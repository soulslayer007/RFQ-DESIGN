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oin\Downloads\"/>
    </mc:Choice>
  </mc:AlternateContent>
  <bookViews>
    <workbookView xWindow="0" yWindow="0" windowWidth="23040" windowHeight="9972"/>
  </bookViews>
  <sheets>
    <sheet name="Sheet3" sheetId="3" r:id="rId1"/>
    <sheet name="Sheet2" sheetId="2" r:id="rId2"/>
  </sheets>
  <calcPr calcId="152511" iterateCount="32766" iterateDelta="0.0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80" i="3" l="1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279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48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1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187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29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00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071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43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15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988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61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34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08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882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56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31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07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782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60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35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12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690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68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46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25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0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58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64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45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26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08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490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73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57" i="3"/>
  <c r="E442" i="3" l="1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41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25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10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396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82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68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55" i="3"/>
  <c r="E344" i="3"/>
  <c r="E345" i="3"/>
  <c r="E346" i="3"/>
  <c r="E347" i="3"/>
  <c r="E348" i="3"/>
  <c r="E349" i="3"/>
  <c r="E350" i="3"/>
  <c r="E351" i="3"/>
  <c r="E352" i="3"/>
  <c r="E353" i="3"/>
  <c r="E354" i="3"/>
  <c r="E343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30" i="3"/>
  <c r="E322" i="3"/>
  <c r="E323" i="3"/>
  <c r="E324" i="3"/>
  <c r="E325" i="3"/>
  <c r="E326" i="3"/>
  <c r="E327" i="3"/>
  <c r="E328" i="3"/>
  <c r="E329" i="3"/>
  <c r="E321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07" i="3"/>
  <c r="E296" i="3"/>
  <c r="E297" i="3"/>
  <c r="E298" i="3"/>
  <c r="E299" i="3"/>
  <c r="E300" i="3"/>
  <c r="E301" i="3"/>
  <c r="E302" i="3"/>
  <c r="E303" i="3"/>
  <c r="E304" i="3"/>
  <c r="E305" i="3"/>
  <c r="E306" i="3"/>
  <c r="E295" i="3"/>
  <c r="E285" i="3"/>
  <c r="E286" i="3"/>
  <c r="E287" i="3"/>
  <c r="E288" i="3"/>
  <c r="E289" i="3"/>
  <c r="E290" i="3"/>
  <c r="E291" i="3"/>
  <c r="E292" i="3"/>
  <c r="E293" i="3"/>
  <c r="E294" i="3"/>
  <c r="E284" i="3"/>
  <c r="E274" i="3"/>
  <c r="E275" i="3"/>
  <c r="E276" i="3"/>
  <c r="E277" i="3"/>
  <c r="E278" i="3"/>
  <c r="E279" i="3"/>
  <c r="E280" i="3"/>
  <c r="E281" i="3"/>
  <c r="E282" i="3"/>
  <c r="E283" i="3"/>
  <c r="E273" i="3"/>
  <c r="E264" i="3"/>
  <c r="E265" i="3"/>
  <c r="E266" i="3"/>
  <c r="E267" i="3"/>
  <c r="E268" i="3"/>
  <c r="E269" i="3"/>
  <c r="E270" i="3"/>
  <c r="E271" i="3"/>
  <c r="E272" i="3"/>
  <c r="E263" i="3"/>
  <c r="E253" i="3"/>
  <c r="E254" i="3"/>
  <c r="E255" i="3"/>
  <c r="E256" i="3"/>
  <c r="E257" i="3"/>
  <c r="E258" i="3"/>
  <c r="E259" i="3"/>
  <c r="E260" i="3"/>
  <c r="E261" i="3"/>
  <c r="E262" i="3"/>
  <c r="E252" i="3"/>
  <c r="E243" i="3"/>
  <c r="E244" i="3"/>
  <c r="E245" i="3"/>
  <c r="E246" i="3"/>
  <c r="E247" i="3"/>
  <c r="E248" i="3"/>
  <c r="E249" i="3"/>
  <c r="E250" i="3"/>
  <c r="E251" i="3"/>
  <c r="E242" i="3"/>
  <c r="E233" i="3"/>
  <c r="E232" i="3"/>
  <c r="E223" i="3"/>
  <c r="E224" i="3"/>
  <c r="E225" i="3"/>
  <c r="E226" i="3"/>
  <c r="E227" i="3"/>
  <c r="E228" i="3"/>
  <c r="E229" i="3"/>
  <c r="E230" i="3"/>
  <c r="E231" i="3"/>
  <c r="E222" i="3"/>
  <c r="E213" i="3"/>
  <c r="E214" i="3"/>
  <c r="E215" i="3"/>
  <c r="E216" i="3"/>
  <c r="E217" i="3"/>
  <c r="E218" i="3"/>
  <c r="E219" i="3"/>
  <c r="E220" i="3"/>
  <c r="E221" i="3"/>
  <c r="E212" i="3"/>
  <c r="E204" i="3"/>
  <c r="E205" i="3"/>
  <c r="E206" i="3"/>
  <c r="E207" i="3"/>
  <c r="E208" i="3"/>
  <c r="E209" i="3"/>
  <c r="E210" i="3"/>
  <c r="E211" i="3"/>
  <c r="E203" i="3"/>
  <c r="E194" i="3"/>
  <c r="E195" i="3"/>
  <c r="E196" i="3"/>
  <c r="E197" i="3"/>
  <c r="E198" i="3"/>
  <c r="E199" i="3"/>
  <c r="E200" i="3"/>
  <c r="E201" i="3"/>
  <c r="E202" i="3"/>
  <c r="E193" i="3"/>
  <c r="E185" i="3"/>
  <c r="E186" i="3"/>
  <c r="E187" i="3"/>
  <c r="E188" i="3"/>
  <c r="E189" i="3"/>
  <c r="E190" i="3"/>
  <c r="E191" i="3"/>
  <c r="E192" i="3"/>
  <c r="E184" i="3"/>
  <c r="E176" i="3"/>
  <c r="E177" i="3"/>
  <c r="E178" i="3"/>
  <c r="E179" i="3"/>
  <c r="E180" i="3"/>
  <c r="E181" i="3"/>
  <c r="E182" i="3"/>
  <c r="E183" i="3"/>
  <c r="E175" i="3"/>
  <c r="E167" i="3"/>
  <c r="E168" i="3"/>
  <c r="E169" i="3"/>
  <c r="E170" i="3"/>
  <c r="E171" i="3"/>
  <c r="E172" i="3"/>
  <c r="E173" i="3"/>
  <c r="E174" i="3"/>
  <c r="E166" i="3"/>
  <c r="E158" i="3"/>
  <c r="E159" i="3"/>
  <c r="E160" i="3"/>
  <c r="E161" i="3"/>
  <c r="E162" i="3"/>
  <c r="E163" i="3"/>
  <c r="E164" i="3"/>
  <c r="E165" i="3"/>
  <c r="E157" i="3"/>
  <c r="E149" i="3"/>
  <c r="E150" i="3"/>
  <c r="E151" i="3"/>
  <c r="E152" i="3"/>
  <c r="E153" i="3"/>
  <c r="E154" i="3"/>
  <c r="E155" i="3"/>
  <c r="E156" i="3"/>
  <c r="E148" i="3"/>
  <c r="E141" i="3"/>
  <c r="E142" i="3"/>
  <c r="E143" i="3"/>
  <c r="E144" i="3"/>
  <c r="E145" i="3"/>
  <c r="E146" i="3"/>
  <c r="E147" i="3"/>
  <c r="E140" i="3"/>
  <c r="E132" i="3"/>
  <c r="E133" i="3"/>
  <c r="E134" i="3"/>
  <c r="E135" i="3"/>
  <c r="E136" i="3"/>
  <c r="E137" i="3"/>
  <c r="E138" i="3"/>
  <c r="E139" i="3"/>
  <c r="E131" i="3"/>
  <c r="E124" i="3"/>
  <c r="E125" i="3"/>
  <c r="E126" i="3"/>
  <c r="E127" i="3"/>
  <c r="E128" i="3"/>
  <c r="E129" i="3"/>
  <c r="E130" i="3"/>
  <c r="E123" i="3"/>
  <c r="E116" i="3"/>
  <c r="E117" i="3"/>
  <c r="E118" i="3"/>
  <c r="E119" i="3"/>
  <c r="E120" i="3"/>
  <c r="E121" i="3"/>
  <c r="E122" i="3"/>
  <c r="E115" i="3"/>
  <c r="E108" i="3"/>
  <c r="E109" i="3"/>
  <c r="E110" i="3"/>
  <c r="E111" i="3"/>
  <c r="E112" i="3"/>
  <c r="E113" i="3"/>
  <c r="E114" i="3"/>
  <c r="E107" i="3"/>
  <c r="E100" i="3"/>
  <c r="E101" i="3"/>
  <c r="E102" i="3"/>
  <c r="E103" i="3"/>
  <c r="F103" i="3" s="1"/>
  <c r="G103" i="3" s="1"/>
  <c r="H103" i="3" s="1"/>
  <c r="J103" i="3" s="1"/>
  <c r="E104" i="3"/>
  <c r="E105" i="3"/>
  <c r="E106" i="3"/>
  <c r="E99" i="3"/>
  <c r="E92" i="3"/>
  <c r="E93" i="3"/>
  <c r="E94" i="3"/>
  <c r="E95" i="3"/>
  <c r="F95" i="3" s="1"/>
  <c r="G95" i="3" s="1"/>
  <c r="H95" i="3" s="1"/>
  <c r="E96" i="3"/>
  <c r="E97" i="3"/>
  <c r="E98" i="3"/>
  <c r="E91" i="3"/>
  <c r="E84" i="3"/>
  <c r="E85" i="3"/>
  <c r="E86" i="3"/>
  <c r="E87" i="3"/>
  <c r="F87" i="3" s="1"/>
  <c r="G87" i="3" s="1"/>
  <c r="H87" i="3" s="1"/>
  <c r="E88" i="3"/>
  <c r="E89" i="3"/>
  <c r="E90" i="3"/>
  <c r="E83" i="3"/>
  <c r="F83" i="3"/>
  <c r="G83" i="3" s="1"/>
  <c r="H83" i="3" s="1"/>
  <c r="J83" i="3" s="1"/>
  <c r="E77" i="3"/>
  <c r="E78" i="3"/>
  <c r="E79" i="3"/>
  <c r="E80" i="3"/>
  <c r="F80" i="3" s="1"/>
  <c r="G80" i="3" s="1"/>
  <c r="H80" i="3" s="1"/>
  <c r="I80" i="3" s="1"/>
  <c r="E81" i="3"/>
  <c r="E82" i="3"/>
  <c r="E76" i="3"/>
  <c r="E70" i="3"/>
  <c r="E71" i="3"/>
  <c r="E72" i="3"/>
  <c r="E73" i="3"/>
  <c r="E74" i="3"/>
  <c r="E75" i="3"/>
  <c r="E69" i="3"/>
  <c r="F107" i="3"/>
  <c r="G107" i="3" s="1"/>
  <c r="H107" i="3" s="1"/>
  <c r="J107" i="3" s="1"/>
  <c r="F106" i="3"/>
  <c r="G106" i="3" s="1"/>
  <c r="H106" i="3" s="1"/>
  <c r="F105" i="3"/>
  <c r="G105" i="3" s="1"/>
  <c r="H105" i="3" s="1"/>
  <c r="F104" i="3"/>
  <c r="G104" i="3" s="1"/>
  <c r="H104" i="3" s="1"/>
  <c r="I104" i="3" s="1"/>
  <c r="G102" i="3"/>
  <c r="H102" i="3" s="1"/>
  <c r="F102" i="3"/>
  <c r="F101" i="3"/>
  <c r="G101" i="3" s="1"/>
  <c r="H101" i="3" s="1"/>
  <c r="F100" i="3"/>
  <c r="G100" i="3" s="1"/>
  <c r="H100" i="3" s="1"/>
  <c r="I100" i="3" s="1"/>
  <c r="F99" i="3"/>
  <c r="G99" i="3" s="1"/>
  <c r="H99" i="3" s="1"/>
  <c r="J99" i="3" s="1"/>
  <c r="G98" i="3"/>
  <c r="H98" i="3" s="1"/>
  <c r="F98" i="3"/>
  <c r="F97" i="3"/>
  <c r="G97" i="3" s="1"/>
  <c r="H97" i="3" s="1"/>
  <c r="J96" i="3"/>
  <c r="F96" i="3"/>
  <c r="G96" i="3" s="1"/>
  <c r="H96" i="3" s="1"/>
  <c r="I96" i="3" s="1"/>
  <c r="F94" i="3"/>
  <c r="G94" i="3" s="1"/>
  <c r="H94" i="3" s="1"/>
  <c r="G93" i="3"/>
  <c r="H93" i="3" s="1"/>
  <c r="F93" i="3"/>
  <c r="F92" i="3"/>
  <c r="G92" i="3" s="1"/>
  <c r="H92" i="3" s="1"/>
  <c r="I92" i="3" s="1"/>
  <c r="F91" i="3"/>
  <c r="G91" i="3" s="1"/>
  <c r="H91" i="3" s="1"/>
  <c r="F90" i="3"/>
  <c r="G90" i="3" s="1"/>
  <c r="H90" i="3" s="1"/>
  <c r="F89" i="3"/>
  <c r="G89" i="3" s="1"/>
  <c r="H89" i="3" s="1"/>
  <c r="F88" i="3"/>
  <c r="G88" i="3" s="1"/>
  <c r="H88" i="3" s="1"/>
  <c r="I88" i="3" s="1"/>
  <c r="F86" i="3"/>
  <c r="G86" i="3" s="1"/>
  <c r="H86" i="3" s="1"/>
  <c r="G85" i="3"/>
  <c r="H85" i="3" s="1"/>
  <c r="F85" i="3"/>
  <c r="F84" i="3"/>
  <c r="G84" i="3" s="1"/>
  <c r="H84" i="3" s="1"/>
  <c r="I84" i="3" s="1"/>
  <c r="F82" i="3"/>
  <c r="G82" i="3" s="1"/>
  <c r="H82" i="3" s="1"/>
  <c r="F81" i="3"/>
  <c r="G81" i="3" s="1"/>
  <c r="H81" i="3" s="1"/>
  <c r="F79" i="3"/>
  <c r="G79" i="3" s="1"/>
  <c r="H79" i="3" s="1"/>
  <c r="J79" i="3" s="1"/>
  <c r="G78" i="3"/>
  <c r="H78" i="3" s="1"/>
  <c r="F78" i="3"/>
  <c r="G77" i="3"/>
  <c r="H77" i="3" s="1"/>
  <c r="F77" i="3"/>
  <c r="F76" i="3"/>
  <c r="G76" i="3" s="1"/>
  <c r="H76" i="3" s="1"/>
  <c r="I76" i="3" s="1"/>
  <c r="F75" i="3"/>
  <c r="G75" i="3" s="1"/>
  <c r="H75" i="3" s="1"/>
  <c r="J75" i="3" s="1"/>
  <c r="F74" i="3"/>
  <c r="G74" i="3" s="1"/>
  <c r="H74" i="3" s="1"/>
  <c r="F73" i="3"/>
  <c r="G73" i="3" s="1"/>
  <c r="H73" i="3" s="1"/>
  <c r="F72" i="3"/>
  <c r="G72" i="3" s="1"/>
  <c r="H72" i="3" s="1"/>
  <c r="I72" i="3" s="1"/>
  <c r="F71" i="3"/>
  <c r="G71" i="3" s="1"/>
  <c r="H71" i="3" s="1"/>
  <c r="G70" i="3"/>
  <c r="H70" i="3" s="1"/>
  <c r="F70" i="3"/>
  <c r="G69" i="3"/>
  <c r="H69" i="3" s="1"/>
  <c r="F69" i="3"/>
  <c r="F13" i="3"/>
  <c r="G13" i="3" s="1"/>
  <c r="H13" i="3" s="1"/>
  <c r="F12" i="3"/>
  <c r="G12" i="3" s="1"/>
  <c r="H12" i="3" s="1"/>
  <c r="J12" i="3" s="1"/>
  <c r="I11" i="3"/>
  <c r="K11" i="3" s="1"/>
  <c r="Q11" i="3" s="1"/>
  <c r="R11" i="3" s="1"/>
  <c r="H11" i="3"/>
  <c r="J11" i="3" s="1"/>
  <c r="F11" i="3"/>
  <c r="G11" i="3" s="1"/>
  <c r="G10" i="3"/>
  <c r="H10" i="3" s="1"/>
  <c r="F10" i="3"/>
  <c r="F9" i="3"/>
  <c r="G9" i="3" s="1"/>
  <c r="H9" i="3" s="1"/>
  <c r="H8" i="3"/>
  <c r="J8" i="3" s="1"/>
  <c r="G8" i="3"/>
  <c r="F8" i="3"/>
  <c r="G7" i="3"/>
  <c r="H7" i="3" s="1"/>
  <c r="F7" i="3"/>
  <c r="F6" i="3"/>
  <c r="G6" i="3" s="1"/>
  <c r="H6" i="3" s="1"/>
  <c r="F5" i="3"/>
  <c r="G5" i="3" s="1"/>
  <c r="H5" i="3" s="1"/>
  <c r="H4" i="3"/>
  <c r="I4" i="3" s="1"/>
  <c r="G4" i="3"/>
  <c r="F4" i="3"/>
  <c r="G3" i="3"/>
  <c r="H3" i="3" s="1"/>
  <c r="F3" i="3"/>
  <c r="Q2" i="3"/>
  <c r="F108" i="3" l="1"/>
  <c r="G108" i="3" s="1"/>
  <c r="H108" i="3" s="1"/>
  <c r="I108" i="3" s="1"/>
  <c r="F109" i="3"/>
  <c r="G109" i="3" s="1"/>
  <c r="H109" i="3" s="1"/>
  <c r="J109" i="3" s="1"/>
  <c r="I99" i="3"/>
  <c r="J95" i="3"/>
  <c r="I95" i="3"/>
  <c r="J91" i="3"/>
  <c r="I91" i="3"/>
  <c r="J87" i="3"/>
  <c r="I87" i="3"/>
  <c r="J71" i="3"/>
  <c r="I71" i="3"/>
  <c r="I75" i="3"/>
  <c r="J72" i="3"/>
  <c r="K72" i="3" s="1"/>
  <c r="Q72" i="3" s="1"/>
  <c r="R72" i="3" s="1"/>
  <c r="J3" i="3"/>
  <c r="I3" i="3"/>
  <c r="J5" i="3"/>
  <c r="I5" i="3"/>
  <c r="I9" i="3"/>
  <c r="J9" i="3"/>
  <c r="J10" i="3"/>
  <c r="I10" i="3"/>
  <c r="J7" i="3"/>
  <c r="I7" i="3"/>
  <c r="I6" i="3"/>
  <c r="J6" i="3"/>
  <c r="I13" i="3"/>
  <c r="J13" i="3"/>
  <c r="I8" i="3"/>
  <c r="L71" i="3"/>
  <c r="K71" i="3"/>
  <c r="Q71" i="3" s="1"/>
  <c r="R71" i="3" s="1"/>
  <c r="J81" i="3"/>
  <c r="I81" i="3"/>
  <c r="J84" i="3"/>
  <c r="L84" i="3" s="1"/>
  <c r="J86" i="3"/>
  <c r="I86" i="3"/>
  <c r="J89" i="3"/>
  <c r="I89" i="3"/>
  <c r="L95" i="3"/>
  <c r="K95" i="3"/>
  <c r="Q95" i="3" s="1"/>
  <c r="R95" i="3" s="1"/>
  <c r="J105" i="3"/>
  <c r="I105" i="3"/>
  <c r="J74" i="3"/>
  <c r="I74" i="3"/>
  <c r="K84" i="3"/>
  <c r="Q84" i="3" s="1"/>
  <c r="R84" i="3" s="1"/>
  <c r="J98" i="3"/>
  <c r="I98" i="3"/>
  <c r="I109" i="3"/>
  <c r="L11" i="3"/>
  <c r="I12" i="3"/>
  <c r="J4" i="3"/>
  <c r="K4" i="3" s="1"/>
  <c r="Q4" i="3" s="1"/>
  <c r="R4" i="3" s="1"/>
  <c r="J69" i="3"/>
  <c r="I69" i="3"/>
  <c r="J77" i="3"/>
  <c r="I77" i="3"/>
  <c r="J80" i="3"/>
  <c r="K80" i="3" s="1"/>
  <c r="Q80" i="3" s="1"/>
  <c r="R80" i="3" s="1"/>
  <c r="J82" i="3"/>
  <c r="I82" i="3"/>
  <c r="I83" i="3"/>
  <c r="J88" i="3"/>
  <c r="L88" i="3" s="1"/>
  <c r="J90" i="3"/>
  <c r="I90" i="3"/>
  <c r="J93" i="3"/>
  <c r="I93" i="3"/>
  <c r="J101" i="3"/>
  <c r="I101" i="3"/>
  <c r="J104" i="3"/>
  <c r="L104" i="3" s="1"/>
  <c r="J106" i="3"/>
  <c r="I106" i="3"/>
  <c r="I107" i="3"/>
  <c r="L75" i="3"/>
  <c r="K75" i="3"/>
  <c r="Q75" i="3" s="1"/>
  <c r="R75" i="3" s="1"/>
  <c r="J85" i="3"/>
  <c r="I85" i="3"/>
  <c r="L91" i="3"/>
  <c r="K91" i="3"/>
  <c r="Q91" i="3" s="1"/>
  <c r="R91" i="3" s="1"/>
  <c r="L99" i="3"/>
  <c r="K99" i="3"/>
  <c r="Q99" i="3" s="1"/>
  <c r="R99" i="3" s="1"/>
  <c r="J70" i="3"/>
  <c r="I70" i="3"/>
  <c r="L72" i="3"/>
  <c r="J73" i="3"/>
  <c r="I73" i="3"/>
  <c r="J76" i="3"/>
  <c r="L76" i="3" s="1"/>
  <c r="J78" i="3"/>
  <c r="I78" i="3"/>
  <c r="I79" i="3"/>
  <c r="L87" i="3"/>
  <c r="K87" i="3"/>
  <c r="Q87" i="3" s="1"/>
  <c r="R87" i="3" s="1"/>
  <c r="J92" i="3"/>
  <c r="L92" i="3" s="1"/>
  <c r="J94" i="3"/>
  <c r="I94" i="3"/>
  <c r="L96" i="3"/>
  <c r="K96" i="3"/>
  <c r="Q96" i="3" s="1"/>
  <c r="R96" i="3" s="1"/>
  <c r="J97" i="3"/>
  <c r="I97" i="3"/>
  <c r="J100" i="3"/>
  <c r="L100" i="3" s="1"/>
  <c r="J102" i="3"/>
  <c r="I102" i="3"/>
  <c r="I103" i="3"/>
  <c r="F2" i="3"/>
  <c r="J108" i="3" l="1"/>
  <c r="L108" i="3" s="1"/>
  <c r="F110" i="3"/>
  <c r="G110" i="3" s="1"/>
  <c r="H110" i="3" s="1"/>
  <c r="K78" i="3"/>
  <c r="Q78" i="3" s="1"/>
  <c r="R78" i="3" s="1"/>
  <c r="L78" i="3"/>
  <c r="N91" i="3"/>
  <c r="M91" i="3"/>
  <c r="N75" i="3"/>
  <c r="M75" i="3"/>
  <c r="L107" i="3"/>
  <c r="K107" i="3"/>
  <c r="Q107" i="3" s="1"/>
  <c r="R107" i="3" s="1"/>
  <c r="L101" i="3"/>
  <c r="K101" i="3"/>
  <c r="Q101" i="3" s="1"/>
  <c r="R101" i="3" s="1"/>
  <c r="L93" i="3"/>
  <c r="K93" i="3"/>
  <c r="Q93" i="3" s="1"/>
  <c r="R93" i="3" s="1"/>
  <c r="K90" i="3"/>
  <c r="Q90" i="3" s="1"/>
  <c r="R90" i="3" s="1"/>
  <c r="L90" i="3"/>
  <c r="K82" i="3"/>
  <c r="Q82" i="3" s="1"/>
  <c r="R82" i="3" s="1"/>
  <c r="L82" i="3"/>
  <c r="L109" i="3"/>
  <c r="K109" i="3"/>
  <c r="Q109" i="3" s="1"/>
  <c r="R109" i="3" s="1"/>
  <c r="L105" i="3"/>
  <c r="K105" i="3"/>
  <c r="Q105" i="3" s="1"/>
  <c r="R105" i="3" s="1"/>
  <c r="K88" i="3"/>
  <c r="Q88" i="3" s="1"/>
  <c r="R88" i="3" s="1"/>
  <c r="L80" i="3"/>
  <c r="L7" i="3"/>
  <c r="K7" i="3"/>
  <c r="Q7" i="3" s="1"/>
  <c r="R7" i="3" s="1"/>
  <c r="L3" i="3"/>
  <c r="K3" i="3"/>
  <c r="Q3" i="3" s="1"/>
  <c r="R3" i="3" s="1"/>
  <c r="M96" i="3"/>
  <c r="N96" i="3"/>
  <c r="L85" i="3"/>
  <c r="K85" i="3"/>
  <c r="Q85" i="3" s="1"/>
  <c r="R85" i="3" s="1"/>
  <c r="K106" i="3"/>
  <c r="Q106" i="3" s="1"/>
  <c r="R106" i="3" s="1"/>
  <c r="L106" i="3"/>
  <c r="K76" i="3"/>
  <c r="Q76" i="3" s="1"/>
  <c r="R76" i="3" s="1"/>
  <c r="M84" i="3"/>
  <c r="N84" i="3"/>
  <c r="N95" i="3"/>
  <c r="M95" i="3"/>
  <c r="L81" i="3"/>
  <c r="K81" i="3"/>
  <c r="Q81" i="3" s="1"/>
  <c r="R81" i="3" s="1"/>
  <c r="L13" i="3"/>
  <c r="K13" i="3"/>
  <c r="Q13" i="3" s="1"/>
  <c r="R13" i="3" s="1"/>
  <c r="L9" i="3"/>
  <c r="K9" i="3"/>
  <c r="Q9" i="3" s="1"/>
  <c r="R9" i="3" s="1"/>
  <c r="L103" i="3"/>
  <c r="K103" i="3"/>
  <c r="Q103" i="3" s="1"/>
  <c r="R103" i="3" s="1"/>
  <c r="L97" i="3"/>
  <c r="K97" i="3"/>
  <c r="Q97" i="3" s="1"/>
  <c r="R97" i="3" s="1"/>
  <c r="K94" i="3"/>
  <c r="Q94" i="3" s="1"/>
  <c r="R94" i="3" s="1"/>
  <c r="L94" i="3"/>
  <c r="N87" i="3"/>
  <c r="M87" i="3"/>
  <c r="M72" i="3"/>
  <c r="N72" i="3"/>
  <c r="N99" i="3"/>
  <c r="M99" i="3"/>
  <c r="K100" i="3"/>
  <c r="Q100" i="3" s="1"/>
  <c r="R100" i="3" s="1"/>
  <c r="K92" i="3"/>
  <c r="Q92" i="3" s="1"/>
  <c r="R92" i="3" s="1"/>
  <c r="L12" i="3"/>
  <c r="K12" i="3"/>
  <c r="Q12" i="3" s="1"/>
  <c r="R12" i="3" s="1"/>
  <c r="K98" i="3"/>
  <c r="Q98" i="3" s="1"/>
  <c r="R98" i="3" s="1"/>
  <c r="L98" i="3"/>
  <c r="K74" i="3"/>
  <c r="Q74" i="3" s="1"/>
  <c r="R74" i="3" s="1"/>
  <c r="L74" i="3"/>
  <c r="K104" i="3"/>
  <c r="Q104" i="3" s="1"/>
  <c r="R104" i="3" s="1"/>
  <c r="L89" i="3"/>
  <c r="K89" i="3"/>
  <c r="Q89" i="3" s="1"/>
  <c r="R89" i="3" s="1"/>
  <c r="K86" i="3"/>
  <c r="Q86" i="3" s="1"/>
  <c r="R86" i="3" s="1"/>
  <c r="L86" i="3"/>
  <c r="N71" i="3"/>
  <c r="M71" i="3"/>
  <c r="L10" i="3"/>
  <c r="K10" i="3"/>
  <c r="Q10" i="3" s="1"/>
  <c r="R10" i="3" s="1"/>
  <c r="L5" i="3"/>
  <c r="K5" i="3"/>
  <c r="Q5" i="3" s="1"/>
  <c r="R5" i="3" s="1"/>
  <c r="L4" i="3"/>
  <c r="K102" i="3"/>
  <c r="Q102" i="3" s="1"/>
  <c r="R102" i="3" s="1"/>
  <c r="L102" i="3"/>
  <c r="L79" i="3"/>
  <c r="K79" i="3"/>
  <c r="Q79" i="3" s="1"/>
  <c r="R79" i="3" s="1"/>
  <c r="L73" i="3"/>
  <c r="K73" i="3"/>
  <c r="Q73" i="3" s="1"/>
  <c r="R73" i="3" s="1"/>
  <c r="K70" i="3"/>
  <c r="Q70" i="3" s="1"/>
  <c r="R70" i="3" s="1"/>
  <c r="L70" i="3"/>
  <c r="L83" i="3"/>
  <c r="K83" i="3"/>
  <c r="Q83" i="3" s="1"/>
  <c r="R83" i="3" s="1"/>
  <c r="L77" i="3"/>
  <c r="K77" i="3"/>
  <c r="Q77" i="3" s="1"/>
  <c r="R77" i="3" s="1"/>
  <c r="L69" i="3"/>
  <c r="K69" i="3"/>
  <c r="Q69" i="3" s="1"/>
  <c r="R69" i="3" s="1"/>
  <c r="N11" i="3"/>
  <c r="M11" i="3"/>
  <c r="K8" i="3"/>
  <c r="Q8" i="3" s="1"/>
  <c r="R8" i="3" s="1"/>
  <c r="L8" i="3"/>
  <c r="L6" i="3"/>
  <c r="K6" i="3"/>
  <c r="Q6" i="3" s="1"/>
  <c r="R6" i="3" s="1"/>
  <c r="K108" i="3" l="1"/>
  <c r="F111" i="3"/>
  <c r="G111" i="3" s="1"/>
  <c r="H111" i="3" s="1"/>
  <c r="J110" i="3"/>
  <c r="I110" i="3"/>
  <c r="N102" i="3"/>
  <c r="M102" i="3"/>
  <c r="N86" i="3"/>
  <c r="M86" i="3"/>
  <c r="M9" i="3"/>
  <c r="N9" i="3"/>
  <c r="N85" i="3"/>
  <c r="M85" i="3"/>
  <c r="N90" i="3"/>
  <c r="M90" i="3"/>
  <c r="N78" i="3"/>
  <c r="M78" i="3"/>
  <c r="M76" i="3"/>
  <c r="N92" i="3"/>
  <c r="N77" i="3"/>
  <c r="M77" i="3"/>
  <c r="N74" i="3"/>
  <c r="M74" i="3"/>
  <c r="N81" i="3"/>
  <c r="M81" i="3"/>
  <c r="N70" i="3"/>
  <c r="M70" i="3"/>
  <c r="N4" i="3"/>
  <c r="M4" i="3"/>
  <c r="N10" i="3"/>
  <c r="M10" i="3"/>
  <c r="M12" i="3"/>
  <c r="N12" i="3"/>
  <c r="N94" i="3"/>
  <c r="M94" i="3"/>
  <c r="N3" i="3"/>
  <c r="M3" i="3"/>
  <c r="N101" i="3"/>
  <c r="M101" i="3"/>
  <c r="N104" i="3"/>
  <c r="N100" i="3"/>
  <c r="M92" i="3"/>
  <c r="M8" i="3"/>
  <c r="N8" i="3"/>
  <c r="N73" i="3"/>
  <c r="M73" i="3"/>
  <c r="N97" i="3"/>
  <c r="M97" i="3"/>
  <c r="M6" i="3"/>
  <c r="N6" i="3"/>
  <c r="N69" i="3"/>
  <c r="M69" i="3"/>
  <c r="N83" i="3"/>
  <c r="M83" i="3"/>
  <c r="N79" i="3"/>
  <c r="M79" i="3"/>
  <c r="N89" i="3"/>
  <c r="M89" i="3"/>
  <c r="N98" i="3"/>
  <c r="M98" i="3"/>
  <c r="N103" i="3"/>
  <c r="M103" i="3"/>
  <c r="N13" i="3"/>
  <c r="M13" i="3"/>
  <c r="N105" i="3"/>
  <c r="M105" i="3"/>
  <c r="N82" i="3"/>
  <c r="M82" i="3"/>
  <c r="M104" i="3"/>
  <c r="M100" i="3"/>
  <c r="N88" i="3"/>
  <c r="N5" i="3"/>
  <c r="M5" i="3"/>
  <c r="N106" i="3"/>
  <c r="M106" i="3"/>
  <c r="N7" i="3"/>
  <c r="M7" i="3"/>
  <c r="M80" i="3"/>
  <c r="N80" i="3"/>
  <c r="N109" i="3"/>
  <c r="M109" i="3"/>
  <c r="N93" i="3"/>
  <c r="M93" i="3"/>
  <c r="N107" i="3"/>
  <c r="M107" i="3"/>
  <c r="N76" i="3"/>
  <c r="M88" i="3"/>
  <c r="Y7" i="3"/>
  <c r="Y5" i="3"/>
  <c r="U2" i="3"/>
  <c r="U3" i="3" s="1"/>
  <c r="Q108" i="3" l="1"/>
  <c r="R108" i="3" s="1"/>
  <c r="M108" i="3"/>
  <c r="N108" i="3"/>
  <c r="J111" i="3"/>
  <c r="I111" i="3"/>
  <c r="L110" i="3"/>
  <c r="K110" i="3"/>
  <c r="Q110" i="3" s="1"/>
  <c r="R110" i="3" s="1"/>
  <c r="F112" i="3"/>
  <c r="G112" i="3" s="1"/>
  <c r="H112" i="3" s="1"/>
  <c r="G2" i="3"/>
  <c r="H2" i="3"/>
  <c r="F113" i="3" l="1"/>
  <c r="G113" i="3" s="1"/>
  <c r="H113" i="3" s="1"/>
  <c r="K111" i="3"/>
  <c r="Q111" i="3" s="1"/>
  <c r="R111" i="3" s="1"/>
  <c r="L111" i="3"/>
  <c r="M110" i="3"/>
  <c r="N110" i="3"/>
  <c r="I112" i="3"/>
  <c r="J112" i="3"/>
  <c r="K112" i="3" s="1"/>
  <c r="Q112" i="3" s="1"/>
  <c r="R112" i="3" s="1"/>
  <c r="J2" i="3"/>
  <c r="I2" i="3"/>
  <c r="N111" i="3" l="1"/>
  <c r="M111" i="3"/>
  <c r="L112" i="3"/>
  <c r="J113" i="3"/>
  <c r="I113" i="3"/>
  <c r="F114" i="3"/>
  <c r="G114" i="3" s="1"/>
  <c r="H114" i="3" s="1"/>
  <c r="K2" i="3"/>
  <c r="R2" i="3" s="1"/>
  <c r="L2" i="3"/>
  <c r="N112" i="3" l="1"/>
  <c r="M112" i="3"/>
  <c r="F115" i="3"/>
  <c r="G115" i="3" s="1"/>
  <c r="H115" i="3" s="1"/>
  <c r="I114" i="3"/>
  <c r="J114" i="3"/>
  <c r="K113" i="3"/>
  <c r="Q113" i="3" s="1"/>
  <c r="R113" i="3" s="1"/>
  <c r="L113" i="3"/>
  <c r="E10" i="3"/>
  <c r="E8" i="3"/>
  <c r="E9" i="3"/>
  <c r="E11" i="3"/>
  <c r="E12" i="3"/>
  <c r="E13" i="3"/>
  <c r="M2" i="3"/>
  <c r="N2" i="3"/>
  <c r="L114" i="3" l="1"/>
  <c r="K114" i="3"/>
  <c r="Q114" i="3" s="1"/>
  <c r="R114" i="3" s="1"/>
  <c r="N113" i="3"/>
  <c r="M113" i="3"/>
  <c r="I115" i="3"/>
  <c r="J115" i="3"/>
  <c r="F116" i="3"/>
  <c r="G116" i="3" s="1"/>
  <c r="H116" i="3" s="1"/>
  <c r="I116" i="3" l="1"/>
  <c r="J116" i="3"/>
  <c r="K116" i="3" s="1"/>
  <c r="Q116" i="3" s="1"/>
  <c r="R116" i="3" s="1"/>
  <c r="F117" i="3"/>
  <c r="G117" i="3" s="1"/>
  <c r="H117" i="3" s="1"/>
  <c r="L115" i="3"/>
  <c r="K115" i="3"/>
  <c r="Q115" i="3" s="1"/>
  <c r="R115" i="3" s="1"/>
  <c r="M114" i="3"/>
  <c r="N114" i="3"/>
  <c r="J117" i="3" l="1"/>
  <c r="I117" i="3"/>
  <c r="F118" i="3"/>
  <c r="G118" i="3" s="1"/>
  <c r="H118" i="3" s="1"/>
  <c r="N115" i="3"/>
  <c r="M115" i="3"/>
  <c r="L116" i="3"/>
  <c r="I118" i="3" l="1"/>
  <c r="J118" i="3"/>
  <c r="N116" i="3"/>
  <c r="M116" i="3"/>
  <c r="F119" i="3"/>
  <c r="G119" i="3" s="1"/>
  <c r="H119" i="3" s="1"/>
  <c r="K117" i="3"/>
  <c r="Q117" i="3" s="1"/>
  <c r="R117" i="3" s="1"/>
  <c r="L117" i="3"/>
  <c r="E18" i="3"/>
  <c r="F18" i="3" s="1"/>
  <c r="G18" i="3" s="1"/>
  <c r="H18" i="3" s="1"/>
  <c r="E16" i="3"/>
  <c r="F16" i="3" s="1"/>
  <c r="G16" i="3" s="1"/>
  <c r="H16" i="3" s="1"/>
  <c r="E17" i="3"/>
  <c r="F17" i="3" s="1"/>
  <c r="G17" i="3" s="1"/>
  <c r="H17" i="3" s="1"/>
  <c r="E19" i="3"/>
  <c r="F19" i="3" s="1"/>
  <c r="G19" i="3" s="1"/>
  <c r="H19" i="3" s="1"/>
  <c r="E20" i="3"/>
  <c r="F20" i="3" s="1"/>
  <c r="G20" i="3" s="1"/>
  <c r="H20" i="3" s="1"/>
  <c r="E15" i="3"/>
  <c r="F15" i="3" s="1"/>
  <c r="G15" i="3" s="1"/>
  <c r="H15" i="3" s="1"/>
  <c r="E14" i="3"/>
  <c r="F14" i="3" s="1"/>
  <c r="G14" i="3" s="1"/>
  <c r="H14" i="3" s="1"/>
  <c r="N117" i="3" l="1"/>
  <c r="M117" i="3"/>
  <c r="J119" i="3"/>
  <c r="I119" i="3"/>
  <c r="F120" i="3"/>
  <c r="G120" i="3" s="1"/>
  <c r="H120" i="3" s="1"/>
  <c r="K118" i="3"/>
  <c r="Q118" i="3" s="1"/>
  <c r="R118" i="3" s="1"/>
  <c r="L118" i="3"/>
  <c r="J19" i="3"/>
  <c r="I19" i="3"/>
  <c r="J14" i="3"/>
  <c r="I14" i="3"/>
  <c r="J17" i="3"/>
  <c r="I17" i="3"/>
  <c r="J15" i="3"/>
  <c r="I15" i="3"/>
  <c r="I16" i="3"/>
  <c r="J16" i="3"/>
  <c r="I20" i="3"/>
  <c r="J20" i="3"/>
  <c r="J18" i="3"/>
  <c r="I18" i="3"/>
  <c r="L119" i="3" l="1"/>
  <c r="K119" i="3"/>
  <c r="Q119" i="3" s="1"/>
  <c r="R119" i="3" s="1"/>
  <c r="I120" i="3"/>
  <c r="J120" i="3"/>
  <c r="N118" i="3"/>
  <c r="M118" i="3"/>
  <c r="F121" i="3"/>
  <c r="G121" i="3" s="1"/>
  <c r="H121" i="3" s="1"/>
  <c r="L15" i="3"/>
  <c r="K15" i="3"/>
  <c r="Q15" i="3" s="1"/>
  <c r="R15" i="3" s="1"/>
  <c r="K14" i="3"/>
  <c r="Q14" i="3" s="1"/>
  <c r="R14" i="3" s="1"/>
  <c r="L14" i="3"/>
  <c r="L20" i="3"/>
  <c r="K20" i="3"/>
  <c r="Q20" i="3" s="1"/>
  <c r="R20" i="3" s="1"/>
  <c r="K18" i="3"/>
  <c r="Q18" i="3" s="1"/>
  <c r="R18" i="3" s="1"/>
  <c r="L18" i="3"/>
  <c r="L17" i="3"/>
  <c r="K17" i="3"/>
  <c r="Q17" i="3" s="1"/>
  <c r="R17" i="3" s="1"/>
  <c r="L19" i="3"/>
  <c r="K19" i="3"/>
  <c r="Q19" i="3" s="1"/>
  <c r="R19" i="3" s="1"/>
  <c r="L16" i="3"/>
  <c r="K16" i="3"/>
  <c r="Q16" i="3" s="1"/>
  <c r="R16" i="3" s="1"/>
  <c r="L120" i="3" l="1"/>
  <c r="K120" i="3"/>
  <c r="Q120" i="3" s="1"/>
  <c r="R120" i="3" s="1"/>
  <c r="J121" i="3"/>
  <c r="I121" i="3"/>
  <c r="F122" i="3"/>
  <c r="G122" i="3" s="1"/>
  <c r="H122" i="3" s="1"/>
  <c r="N119" i="3"/>
  <c r="M119" i="3"/>
  <c r="N18" i="3"/>
  <c r="M18" i="3"/>
  <c r="N14" i="3"/>
  <c r="M14" i="3"/>
  <c r="N19" i="3"/>
  <c r="M19" i="3"/>
  <c r="M16" i="3"/>
  <c r="N16" i="3"/>
  <c r="N17" i="3"/>
  <c r="M17" i="3"/>
  <c r="M20" i="3"/>
  <c r="N20" i="3"/>
  <c r="N15" i="3"/>
  <c r="M15" i="3"/>
  <c r="L121" i="3" l="1"/>
  <c r="K121" i="3"/>
  <c r="Q121" i="3" s="1"/>
  <c r="R121" i="3" s="1"/>
  <c r="J122" i="3"/>
  <c r="I122" i="3"/>
  <c r="F123" i="3"/>
  <c r="G123" i="3" s="1"/>
  <c r="H123" i="3" s="1"/>
  <c r="N120" i="3"/>
  <c r="M120" i="3"/>
  <c r="J123" i="3" l="1"/>
  <c r="I123" i="3"/>
  <c r="K122" i="3"/>
  <c r="Q122" i="3" s="1"/>
  <c r="R122" i="3" s="1"/>
  <c r="L122" i="3"/>
  <c r="F124" i="3"/>
  <c r="G124" i="3" s="1"/>
  <c r="H124" i="3" s="1"/>
  <c r="N121" i="3"/>
  <c r="M121" i="3"/>
  <c r="N122" i="3" l="1"/>
  <c r="M122" i="3"/>
  <c r="I124" i="3"/>
  <c r="J124" i="3"/>
  <c r="K124" i="3" s="1"/>
  <c r="Q124" i="3" s="1"/>
  <c r="R124" i="3" s="1"/>
  <c r="L123" i="3"/>
  <c r="K123" i="3"/>
  <c r="Q123" i="3" s="1"/>
  <c r="R123" i="3" s="1"/>
  <c r="F125" i="3"/>
  <c r="G125" i="3" s="1"/>
  <c r="H125" i="3" s="1"/>
  <c r="E21" i="3"/>
  <c r="F21" i="3" s="1"/>
  <c r="G21" i="3" s="1"/>
  <c r="H21" i="3" s="1"/>
  <c r="E26" i="3"/>
  <c r="F26" i="3" s="1"/>
  <c r="G26" i="3" s="1"/>
  <c r="H26" i="3" s="1"/>
  <c r="E24" i="3"/>
  <c r="F24" i="3" s="1"/>
  <c r="G24" i="3" s="1"/>
  <c r="H24" i="3" s="1"/>
  <c r="E22" i="3"/>
  <c r="F22" i="3" s="1"/>
  <c r="G22" i="3" s="1"/>
  <c r="H22" i="3" s="1"/>
  <c r="E23" i="3"/>
  <c r="F23" i="3" s="1"/>
  <c r="G23" i="3" s="1"/>
  <c r="H23" i="3" s="1"/>
  <c r="E25" i="3"/>
  <c r="F25" i="3" s="1"/>
  <c r="G25" i="3" s="1"/>
  <c r="H25" i="3" s="1"/>
  <c r="L124" i="3" l="1"/>
  <c r="I125" i="3"/>
  <c r="J125" i="3"/>
  <c r="F126" i="3"/>
  <c r="G126" i="3" s="1"/>
  <c r="H126" i="3" s="1"/>
  <c r="N123" i="3"/>
  <c r="M123" i="3"/>
  <c r="J22" i="3"/>
  <c r="I22" i="3"/>
  <c r="I24" i="3"/>
  <c r="J24" i="3"/>
  <c r="J25" i="3"/>
  <c r="I25" i="3"/>
  <c r="J26" i="3"/>
  <c r="I26" i="3"/>
  <c r="J23" i="3"/>
  <c r="I23" i="3"/>
  <c r="J21" i="3"/>
  <c r="I21" i="3"/>
  <c r="F127" i="3" l="1"/>
  <c r="G127" i="3" s="1"/>
  <c r="H127" i="3" s="1"/>
  <c r="L125" i="3"/>
  <c r="K125" i="3"/>
  <c r="Q125" i="3" s="1"/>
  <c r="R125" i="3" s="1"/>
  <c r="J126" i="3"/>
  <c r="I126" i="3"/>
  <c r="M124" i="3"/>
  <c r="N124" i="3"/>
  <c r="L21" i="3"/>
  <c r="K21" i="3"/>
  <c r="Q21" i="3" s="1"/>
  <c r="R21" i="3" s="1"/>
  <c r="L24" i="3"/>
  <c r="K24" i="3"/>
  <c r="Q24" i="3" s="1"/>
  <c r="R24" i="3" s="1"/>
  <c r="K26" i="3"/>
  <c r="Q26" i="3" s="1"/>
  <c r="R26" i="3" s="1"/>
  <c r="L26" i="3"/>
  <c r="L23" i="3"/>
  <c r="K23" i="3"/>
  <c r="Q23" i="3" s="1"/>
  <c r="R23" i="3" s="1"/>
  <c r="L25" i="3"/>
  <c r="K25" i="3"/>
  <c r="Q25" i="3" s="1"/>
  <c r="R25" i="3" s="1"/>
  <c r="K22" i="3"/>
  <c r="Q22" i="3" s="1"/>
  <c r="R22" i="3" s="1"/>
  <c r="L22" i="3"/>
  <c r="L126" i="3" l="1"/>
  <c r="K126" i="3"/>
  <c r="Q126" i="3" s="1"/>
  <c r="R126" i="3" s="1"/>
  <c r="I127" i="3"/>
  <c r="J127" i="3"/>
  <c r="N125" i="3"/>
  <c r="M125" i="3"/>
  <c r="F128" i="3"/>
  <c r="G128" i="3" s="1"/>
  <c r="H128" i="3" s="1"/>
  <c r="N22" i="3"/>
  <c r="M22" i="3"/>
  <c r="N23" i="3"/>
  <c r="M23" i="3"/>
  <c r="M24" i="3"/>
  <c r="N24" i="3"/>
  <c r="N26" i="3"/>
  <c r="M26" i="3"/>
  <c r="N25" i="3"/>
  <c r="M25" i="3"/>
  <c r="N21" i="3"/>
  <c r="M21" i="3"/>
  <c r="I128" i="3" l="1"/>
  <c r="J128" i="3"/>
  <c r="L128" i="3" s="1"/>
  <c r="F129" i="3"/>
  <c r="G129" i="3" s="1"/>
  <c r="H129" i="3" s="1"/>
  <c r="L127" i="3"/>
  <c r="K127" i="3"/>
  <c r="Q127" i="3" s="1"/>
  <c r="R127" i="3" s="1"/>
  <c r="N126" i="3"/>
  <c r="M126" i="3"/>
  <c r="E28" i="3"/>
  <c r="F28" i="3" s="1"/>
  <c r="G28" i="3" s="1"/>
  <c r="H28" i="3" s="1"/>
  <c r="E32" i="3"/>
  <c r="F32" i="3" s="1"/>
  <c r="G32" i="3" s="1"/>
  <c r="H32" i="3" s="1"/>
  <c r="E33" i="3"/>
  <c r="F33" i="3" s="1"/>
  <c r="G33" i="3" s="1"/>
  <c r="H33" i="3" s="1"/>
  <c r="E27" i="3"/>
  <c r="F27" i="3" s="1"/>
  <c r="G27" i="3" s="1"/>
  <c r="H27" i="3" s="1"/>
  <c r="E31" i="3"/>
  <c r="F31" i="3" s="1"/>
  <c r="G31" i="3" s="1"/>
  <c r="H31" i="3" s="1"/>
  <c r="E29" i="3"/>
  <c r="F29" i="3" s="1"/>
  <c r="G29" i="3" s="1"/>
  <c r="H29" i="3" s="1"/>
  <c r="E30" i="3"/>
  <c r="F30" i="3" s="1"/>
  <c r="G30" i="3" s="1"/>
  <c r="H30" i="3" s="1"/>
  <c r="F130" i="3" l="1"/>
  <c r="G130" i="3" s="1"/>
  <c r="H130" i="3" s="1"/>
  <c r="I129" i="3"/>
  <c r="J129" i="3"/>
  <c r="M127" i="3"/>
  <c r="N127" i="3"/>
  <c r="K128" i="3"/>
  <c r="Q128" i="3" s="1"/>
  <c r="R128" i="3" s="1"/>
  <c r="J27" i="3"/>
  <c r="I27" i="3"/>
  <c r="J30" i="3"/>
  <c r="I30" i="3"/>
  <c r="J33" i="3"/>
  <c r="I33" i="3"/>
  <c r="J29" i="3"/>
  <c r="I29" i="3"/>
  <c r="I32" i="3"/>
  <c r="J32" i="3"/>
  <c r="J31" i="3"/>
  <c r="I31" i="3"/>
  <c r="I28" i="3"/>
  <c r="J28" i="3"/>
  <c r="N128" i="3" l="1"/>
  <c r="L129" i="3"/>
  <c r="K129" i="3"/>
  <c r="Q129" i="3" s="1"/>
  <c r="R129" i="3" s="1"/>
  <c r="J130" i="3"/>
  <c r="I130" i="3"/>
  <c r="M128" i="3"/>
  <c r="F131" i="3"/>
  <c r="G131" i="3" s="1"/>
  <c r="H131" i="3" s="1"/>
  <c r="L31" i="3"/>
  <c r="K31" i="3"/>
  <c r="Q31" i="3" s="1"/>
  <c r="R31" i="3" s="1"/>
  <c r="L29" i="3"/>
  <c r="K29" i="3"/>
  <c r="Q29" i="3" s="1"/>
  <c r="R29" i="3" s="1"/>
  <c r="K30" i="3"/>
  <c r="Q30" i="3" s="1"/>
  <c r="R30" i="3" s="1"/>
  <c r="L30" i="3"/>
  <c r="L33" i="3"/>
  <c r="K33" i="3"/>
  <c r="Q33" i="3" s="1"/>
  <c r="R33" i="3" s="1"/>
  <c r="L27" i="3"/>
  <c r="K27" i="3"/>
  <c r="Q27" i="3" s="1"/>
  <c r="R27" i="3" s="1"/>
  <c r="L28" i="3"/>
  <c r="K28" i="3"/>
  <c r="Q28" i="3" s="1"/>
  <c r="R28" i="3" s="1"/>
  <c r="L32" i="3"/>
  <c r="K32" i="3"/>
  <c r="Q32" i="3" s="1"/>
  <c r="R32" i="3" s="1"/>
  <c r="K130" i="3" l="1"/>
  <c r="Q130" i="3" s="1"/>
  <c r="R130" i="3" s="1"/>
  <c r="L130" i="3"/>
  <c r="J131" i="3"/>
  <c r="I131" i="3"/>
  <c r="F132" i="3"/>
  <c r="G132" i="3" s="1"/>
  <c r="H132" i="3" s="1"/>
  <c r="N129" i="3"/>
  <c r="M129" i="3"/>
  <c r="M28" i="3"/>
  <c r="N28" i="3"/>
  <c r="N33" i="3"/>
  <c r="M33" i="3"/>
  <c r="N30" i="3"/>
  <c r="M30" i="3"/>
  <c r="N29" i="3"/>
  <c r="M29" i="3"/>
  <c r="M32" i="3"/>
  <c r="N32" i="3"/>
  <c r="N27" i="3"/>
  <c r="M27" i="3"/>
  <c r="N31" i="3"/>
  <c r="M31" i="3"/>
  <c r="L131" i="3" l="1"/>
  <c r="K131" i="3"/>
  <c r="Q131" i="3" s="1"/>
  <c r="R131" i="3" s="1"/>
  <c r="I132" i="3"/>
  <c r="J132" i="3"/>
  <c r="M130" i="3"/>
  <c r="N130" i="3"/>
  <c r="F133" i="3"/>
  <c r="G133" i="3" s="1"/>
  <c r="H133" i="3" s="1"/>
  <c r="E39" i="3"/>
  <c r="F39" i="3" s="1"/>
  <c r="G39" i="3" s="1"/>
  <c r="H39" i="3" s="1"/>
  <c r="E36" i="3"/>
  <c r="F36" i="3" s="1"/>
  <c r="G36" i="3" s="1"/>
  <c r="H36" i="3" s="1"/>
  <c r="E34" i="3"/>
  <c r="F34" i="3" s="1"/>
  <c r="G34" i="3" s="1"/>
  <c r="H34" i="3" s="1"/>
  <c r="E35" i="3"/>
  <c r="F35" i="3" s="1"/>
  <c r="G35" i="3" s="1"/>
  <c r="H35" i="3" s="1"/>
  <c r="E37" i="3"/>
  <c r="F37" i="3" s="1"/>
  <c r="G37" i="3" s="1"/>
  <c r="H37" i="3" s="1"/>
  <c r="E40" i="3"/>
  <c r="F40" i="3" s="1"/>
  <c r="G40" i="3" s="1"/>
  <c r="H40" i="3" s="1"/>
  <c r="E38" i="3"/>
  <c r="F38" i="3" s="1"/>
  <c r="G38" i="3" s="1"/>
  <c r="H38" i="3" s="1"/>
  <c r="L132" i="3" l="1"/>
  <c r="I133" i="3"/>
  <c r="J133" i="3"/>
  <c r="F134" i="3"/>
  <c r="G134" i="3" s="1"/>
  <c r="H134" i="3" s="1"/>
  <c r="K132" i="3"/>
  <c r="Q132" i="3" s="1"/>
  <c r="R132" i="3" s="1"/>
  <c r="M131" i="3"/>
  <c r="N131" i="3"/>
  <c r="J34" i="3"/>
  <c r="I34" i="3"/>
  <c r="I40" i="3"/>
  <c r="J40" i="3"/>
  <c r="I36" i="3"/>
  <c r="J36" i="3"/>
  <c r="J35" i="3"/>
  <c r="I35" i="3"/>
  <c r="J38" i="3"/>
  <c r="I38" i="3"/>
  <c r="J37" i="3"/>
  <c r="I37" i="3"/>
  <c r="J39" i="3"/>
  <c r="I39" i="3"/>
  <c r="M132" i="3" l="1"/>
  <c r="N132" i="3"/>
  <c r="I134" i="3"/>
  <c r="J134" i="3"/>
  <c r="F135" i="3"/>
  <c r="G135" i="3" s="1"/>
  <c r="H135" i="3" s="1"/>
  <c r="L133" i="3"/>
  <c r="K133" i="3"/>
  <c r="Q133" i="3" s="1"/>
  <c r="R133" i="3" s="1"/>
  <c r="L37" i="3"/>
  <c r="K37" i="3"/>
  <c r="Q37" i="3" s="1"/>
  <c r="R37" i="3" s="1"/>
  <c r="L35" i="3"/>
  <c r="K35" i="3"/>
  <c r="Q35" i="3" s="1"/>
  <c r="R35" i="3" s="1"/>
  <c r="L40" i="3"/>
  <c r="K40" i="3"/>
  <c r="Q40" i="3" s="1"/>
  <c r="R40" i="3" s="1"/>
  <c r="L39" i="3"/>
  <c r="K39" i="3"/>
  <c r="Q39" i="3" s="1"/>
  <c r="R39" i="3" s="1"/>
  <c r="K38" i="3"/>
  <c r="Q38" i="3" s="1"/>
  <c r="R38" i="3" s="1"/>
  <c r="L38" i="3"/>
  <c r="K34" i="3"/>
  <c r="Q34" i="3" s="1"/>
  <c r="R34" i="3" s="1"/>
  <c r="L34" i="3"/>
  <c r="L36" i="3"/>
  <c r="K36" i="3"/>
  <c r="Q36" i="3" s="1"/>
  <c r="R36" i="3" s="1"/>
  <c r="F136" i="3" l="1"/>
  <c r="G136" i="3" s="1"/>
  <c r="H136" i="3" s="1"/>
  <c r="N133" i="3"/>
  <c r="M133" i="3"/>
  <c r="L134" i="3"/>
  <c r="K134" i="3"/>
  <c r="Q134" i="3" s="1"/>
  <c r="R134" i="3" s="1"/>
  <c r="J135" i="3"/>
  <c r="I135" i="3"/>
  <c r="N34" i="3"/>
  <c r="M34" i="3"/>
  <c r="N39" i="3"/>
  <c r="M39" i="3"/>
  <c r="N35" i="3"/>
  <c r="M35" i="3"/>
  <c r="N38" i="3"/>
  <c r="M38" i="3"/>
  <c r="M36" i="3"/>
  <c r="N36" i="3"/>
  <c r="M40" i="3"/>
  <c r="N40" i="3"/>
  <c r="N37" i="3"/>
  <c r="M37" i="3"/>
  <c r="E43" i="3"/>
  <c r="F43" i="3" s="1"/>
  <c r="G43" i="3" s="1"/>
  <c r="H43" i="3" s="1"/>
  <c r="J136" i="3" l="1"/>
  <c r="I136" i="3"/>
  <c r="K135" i="3"/>
  <c r="Q135" i="3" s="1"/>
  <c r="R135" i="3" s="1"/>
  <c r="L135" i="3"/>
  <c r="N134" i="3"/>
  <c r="M134" i="3"/>
  <c r="F137" i="3"/>
  <c r="G137" i="3" s="1"/>
  <c r="H137" i="3" s="1"/>
  <c r="J43" i="3"/>
  <c r="I43" i="3"/>
  <c r="E41" i="3"/>
  <c r="F41" i="3" s="1"/>
  <c r="G41" i="3" s="1"/>
  <c r="H41" i="3" s="1"/>
  <c r="E44" i="3"/>
  <c r="F44" i="3" s="1"/>
  <c r="G44" i="3" s="1"/>
  <c r="H44" i="3" s="1"/>
  <c r="E45" i="3"/>
  <c r="F45" i="3" s="1"/>
  <c r="G45" i="3" s="1"/>
  <c r="H45" i="3" s="1"/>
  <c r="E42" i="3"/>
  <c r="F42" i="3" s="1"/>
  <c r="G42" i="3" s="1"/>
  <c r="H42" i="3" s="1"/>
  <c r="E46" i="3"/>
  <c r="F46" i="3" s="1"/>
  <c r="G46" i="3" s="1"/>
  <c r="H46" i="3" s="1"/>
  <c r="N135" i="3" l="1"/>
  <c r="M135" i="3"/>
  <c r="F138" i="3"/>
  <c r="G138" i="3" s="1"/>
  <c r="H138" i="3" s="1"/>
  <c r="J137" i="3"/>
  <c r="I137" i="3"/>
  <c r="K136" i="3"/>
  <c r="Q136" i="3" s="1"/>
  <c r="R136" i="3" s="1"/>
  <c r="L136" i="3"/>
  <c r="I44" i="3"/>
  <c r="J44" i="3"/>
  <c r="J46" i="3"/>
  <c r="I46" i="3"/>
  <c r="J41" i="3"/>
  <c r="I41" i="3"/>
  <c r="J42" i="3"/>
  <c r="I42" i="3"/>
  <c r="L43" i="3"/>
  <c r="K43" i="3"/>
  <c r="Q43" i="3" s="1"/>
  <c r="R43" i="3" s="1"/>
  <c r="J45" i="3"/>
  <c r="I45" i="3"/>
  <c r="J138" i="3" l="1"/>
  <c r="I138" i="3"/>
  <c r="F139" i="3"/>
  <c r="G139" i="3" s="1"/>
  <c r="H139" i="3" s="1"/>
  <c r="K137" i="3"/>
  <c r="Q137" i="3" s="1"/>
  <c r="R137" i="3" s="1"/>
  <c r="L137" i="3"/>
  <c r="M136" i="3"/>
  <c r="N136" i="3"/>
  <c r="L45" i="3"/>
  <c r="K45" i="3"/>
  <c r="Q45" i="3" s="1"/>
  <c r="R45" i="3" s="1"/>
  <c r="K42" i="3"/>
  <c r="Q42" i="3" s="1"/>
  <c r="R42" i="3" s="1"/>
  <c r="L42" i="3"/>
  <c r="K46" i="3"/>
  <c r="Q46" i="3" s="1"/>
  <c r="R46" i="3" s="1"/>
  <c r="L46" i="3"/>
  <c r="L41" i="3"/>
  <c r="K41" i="3"/>
  <c r="Q41" i="3" s="1"/>
  <c r="R41" i="3" s="1"/>
  <c r="N43" i="3"/>
  <c r="M43" i="3"/>
  <c r="L44" i="3"/>
  <c r="K44" i="3"/>
  <c r="Q44" i="3" s="1"/>
  <c r="R44" i="3" s="1"/>
  <c r="J139" i="3" l="1"/>
  <c r="I139" i="3"/>
  <c r="F140" i="3"/>
  <c r="G140" i="3" s="1"/>
  <c r="H140" i="3" s="1"/>
  <c r="M137" i="3"/>
  <c r="N137" i="3"/>
  <c r="K138" i="3"/>
  <c r="Q138" i="3" s="1"/>
  <c r="R138" i="3" s="1"/>
  <c r="L138" i="3"/>
  <c r="N42" i="3"/>
  <c r="M42" i="3"/>
  <c r="M44" i="3"/>
  <c r="N44" i="3"/>
  <c r="N41" i="3"/>
  <c r="M41" i="3"/>
  <c r="N46" i="3"/>
  <c r="M46" i="3"/>
  <c r="N45" i="3"/>
  <c r="M45" i="3"/>
  <c r="N138" i="3" l="1"/>
  <c r="M138" i="3"/>
  <c r="I140" i="3"/>
  <c r="J140" i="3"/>
  <c r="F141" i="3"/>
  <c r="G141" i="3" s="1"/>
  <c r="H141" i="3" s="1"/>
  <c r="L139" i="3"/>
  <c r="K139" i="3"/>
  <c r="Q139" i="3" s="1"/>
  <c r="R139" i="3" s="1"/>
  <c r="E51" i="3"/>
  <c r="F51" i="3" s="1"/>
  <c r="G51" i="3" s="1"/>
  <c r="H51" i="3" s="1"/>
  <c r="E48" i="3"/>
  <c r="F48" i="3" s="1"/>
  <c r="G48" i="3" s="1"/>
  <c r="H48" i="3" s="1"/>
  <c r="E47" i="3"/>
  <c r="F47" i="3" s="1"/>
  <c r="G47" i="3" s="1"/>
  <c r="H47" i="3" s="1"/>
  <c r="E52" i="3"/>
  <c r="F52" i="3" s="1"/>
  <c r="G52" i="3" s="1"/>
  <c r="H52" i="3" s="1"/>
  <c r="E53" i="3"/>
  <c r="F53" i="3" s="1"/>
  <c r="G53" i="3" s="1"/>
  <c r="H53" i="3" s="1"/>
  <c r="E49" i="3"/>
  <c r="F49" i="3" s="1"/>
  <c r="G49" i="3" s="1"/>
  <c r="H49" i="3" s="1"/>
  <c r="E50" i="3"/>
  <c r="F50" i="3" s="1"/>
  <c r="G50" i="3" s="1"/>
  <c r="H50" i="3" s="1"/>
  <c r="N139" i="3" l="1"/>
  <c r="M139" i="3"/>
  <c r="L140" i="3"/>
  <c r="K140" i="3"/>
  <c r="Q140" i="3" s="1"/>
  <c r="R140" i="3" s="1"/>
  <c r="J141" i="3"/>
  <c r="I141" i="3"/>
  <c r="F142" i="3"/>
  <c r="G142" i="3" s="1"/>
  <c r="H142" i="3" s="1"/>
  <c r="I52" i="3"/>
  <c r="J52" i="3"/>
  <c r="J50" i="3"/>
  <c r="I50" i="3"/>
  <c r="J47" i="3"/>
  <c r="I47" i="3"/>
  <c r="J49" i="3"/>
  <c r="I49" i="3"/>
  <c r="I48" i="3"/>
  <c r="J48" i="3"/>
  <c r="J53" i="3"/>
  <c r="I53" i="3"/>
  <c r="J51" i="3"/>
  <c r="I51" i="3"/>
  <c r="F143" i="3" l="1"/>
  <c r="G143" i="3" s="1"/>
  <c r="H143" i="3" s="1"/>
  <c r="N140" i="3"/>
  <c r="M140" i="3"/>
  <c r="J142" i="3"/>
  <c r="I142" i="3"/>
  <c r="K141" i="3"/>
  <c r="Q141" i="3" s="1"/>
  <c r="R141" i="3" s="1"/>
  <c r="L141" i="3"/>
  <c r="K50" i="3"/>
  <c r="Q50" i="3" s="1"/>
  <c r="R50" i="3" s="1"/>
  <c r="L50" i="3"/>
  <c r="L49" i="3"/>
  <c r="K49" i="3"/>
  <c r="Q49" i="3" s="1"/>
  <c r="R49" i="3" s="1"/>
  <c r="L51" i="3"/>
  <c r="K51" i="3"/>
  <c r="Q51" i="3" s="1"/>
  <c r="R51" i="3" s="1"/>
  <c r="L47" i="3"/>
  <c r="K47" i="3"/>
  <c r="Q47" i="3" s="1"/>
  <c r="R47" i="3" s="1"/>
  <c r="L53" i="3"/>
  <c r="K53" i="3"/>
  <c r="Q53" i="3" s="1"/>
  <c r="R53" i="3" s="1"/>
  <c r="L48" i="3"/>
  <c r="K48" i="3"/>
  <c r="Q48" i="3" s="1"/>
  <c r="R48" i="3" s="1"/>
  <c r="L52" i="3"/>
  <c r="K52" i="3"/>
  <c r="Q52" i="3" s="1"/>
  <c r="R52" i="3" s="1"/>
  <c r="M141" i="3" l="1"/>
  <c r="N141" i="3"/>
  <c r="K142" i="3"/>
  <c r="Q142" i="3" s="1"/>
  <c r="R142" i="3" s="1"/>
  <c r="L142" i="3"/>
  <c r="I143" i="3"/>
  <c r="J143" i="3"/>
  <c r="F144" i="3"/>
  <c r="G144" i="3" s="1"/>
  <c r="H144" i="3" s="1"/>
  <c r="M48" i="3"/>
  <c r="N48" i="3"/>
  <c r="N47" i="3"/>
  <c r="M47" i="3"/>
  <c r="N49" i="3"/>
  <c r="M49" i="3"/>
  <c r="N50" i="3"/>
  <c r="M50" i="3"/>
  <c r="M52" i="3"/>
  <c r="N52" i="3"/>
  <c r="N53" i="3"/>
  <c r="M53" i="3"/>
  <c r="N51" i="3"/>
  <c r="M51" i="3"/>
  <c r="I144" i="3" l="1"/>
  <c r="J144" i="3"/>
  <c r="L144" i="3" s="1"/>
  <c r="N142" i="3"/>
  <c r="M142" i="3"/>
  <c r="F145" i="3"/>
  <c r="G145" i="3" s="1"/>
  <c r="H145" i="3" s="1"/>
  <c r="L143" i="3"/>
  <c r="K143" i="3"/>
  <c r="Q143" i="3" s="1"/>
  <c r="R143" i="3" s="1"/>
  <c r="E58" i="3"/>
  <c r="F58" i="3" s="1"/>
  <c r="G58" i="3" s="1"/>
  <c r="H58" i="3" s="1"/>
  <c r="E60" i="3"/>
  <c r="F60" i="3" s="1"/>
  <c r="G60" i="3" s="1"/>
  <c r="H60" i="3" s="1"/>
  <c r="E59" i="3"/>
  <c r="F59" i="3" s="1"/>
  <c r="G59" i="3" s="1"/>
  <c r="H59" i="3" s="1"/>
  <c r="E54" i="3"/>
  <c r="F54" i="3" s="1"/>
  <c r="G54" i="3" s="1"/>
  <c r="H54" i="3" s="1"/>
  <c r="E57" i="3"/>
  <c r="F57" i="3" s="1"/>
  <c r="G57" i="3" s="1"/>
  <c r="H57" i="3" s="1"/>
  <c r="E55" i="3"/>
  <c r="F55" i="3" s="1"/>
  <c r="G55" i="3" s="1"/>
  <c r="H55" i="3" s="1"/>
  <c r="E56" i="3"/>
  <c r="F56" i="3" s="1"/>
  <c r="G56" i="3" s="1"/>
  <c r="H56" i="3" s="1"/>
  <c r="K144" i="3" l="1"/>
  <c r="Q144" i="3" s="1"/>
  <c r="R144" i="3" s="1"/>
  <c r="F146" i="3"/>
  <c r="G146" i="3" s="1"/>
  <c r="H146" i="3" s="1"/>
  <c r="N143" i="3"/>
  <c r="M143" i="3"/>
  <c r="J145" i="3"/>
  <c r="I145" i="3"/>
  <c r="N144" i="3"/>
  <c r="M144" i="3"/>
  <c r="J54" i="3"/>
  <c r="I54" i="3"/>
  <c r="I56" i="3"/>
  <c r="J56" i="3"/>
  <c r="J59" i="3"/>
  <c r="I59" i="3"/>
  <c r="J55" i="3"/>
  <c r="I55" i="3"/>
  <c r="I60" i="3"/>
  <c r="J60" i="3"/>
  <c r="J57" i="3"/>
  <c r="I57" i="3"/>
  <c r="J58" i="3"/>
  <c r="I58" i="3"/>
  <c r="K145" i="3" l="1"/>
  <c r="Q145" i="3" s="1"/>
  <c r="R145" i="3" s="1"/>
  <c r="L145" i="3"/>
  <c r="J146" i="3"/>
  <c r="I146" i="3"/>
  <c r="F147" i="3"/>
  <c r="G147" i="3" s="1"/>
  <c r="H147" i="3" s="1"/>
  <c r="L55" i="3"/>
  <c r="K55" i="3"/>
  <c r="Q55" i="3" s="1"/>
  <c r="R55" i="3" s="1"/>
  <c r="K54" i="3"/>
  <c r="Q54" i="3" s="1"/>
  <c r="R54" i="3" s="1"/>
  <c r="L54" i="3"/>
  <c r="L57" i="3"/>
  <c r="K57" i="3"/>
  <c r="Q57" i="3" s="1"/>
  <c r="R57" i="3" s="1"/>
  <c r="L56" i="3"/>
  <c r="K56" i="3"/>
  <c r="Q56" i="3" s="1"/>
  <c r="R56" i="3" s="1"/>
  <c r="K58" i="3"/>
  <c r="Q58" i="3" s="1"/>
  <c r="R58" i="3" s="1"/>
  <c r="L58" i="3"/>
  <c r="L59" i="3"/>
  <c r="K59" i="3"/>
  <c r="Q59" i="3" s="1"/>
  <c r="R59" i="3" s="1"/>
  <c r="L60" i="3"/>
  <c r="K60" i="3"/>
  <c r="Q60" i="3" s="1"/>
  <c r="R60" i="3" s="1"/>
  <c r="L146" i="3" l="1"/>
  <c r="K146" i="3"/>
  <c r="Q146" i="3" s="1"/>
  <c r="R146" i="3" s="1"/>
  <c r="J147" i="3"/>
  <c r="I147" i="3"/>
  <c r="N145" i="3"/>
  <c r="M145" i="3"/>
  <c r="F148" i="3"/>
  <c r="G148" i="3" s="1"/>
  <c r="H148" i="3" s="1"/>
  <c r="M56" i="3"/>
  <c r="N56" i="3"/>
  <c r="N58" i="3"/>
  <c r="M58" i="3"/>
  <c r="N54" i="3"/>
  <c r="M54" i="3"/>
  <c r="N59" i="3"/>
  <c r="M59" i="3"/>
  <c r="M60" i="3"/>
  <c r="N60" i="3"/>
  <c r="N57" i="3"/>
  <c r="M57" i="3"/>
  <c r="N55" i="3"/>
  <c r="M55" i="3"/>
  <c r="I148" i="3" l="1"/>
  <c r="J148" i="3"/>
  <c r="L148" i="3" s="1"/>
  <c r="L147" i="3"/>
  <c r="K147" i="3"/>
  <c r="Q147" i="3" s="1"/>
  <c r="R147" i="3" s="1"/>
  <c r="F149" i="3"/>
  <c r="G149" i="3" s="1"/>
  <c r="H149" i="3" s="1"/>
  <c r="M146" i="3"/>
  <c r="N146" i="3"/>
  <c r="E61" i="3"/>
  <c r="F61" i="3" s="1"/>
  <c r="G61" i="3" s="1"/>
  <c r="H61" i="3" s="1"/>
  <c r="E65" i="3"/>
  <c r="F65" i="3" s="1"/>
  <c r="G65" i="3" s="1"/>
  <c r="H65" i="3" s="1"/>
  <c r="E62" i="3"/>
  <c r="F62" i="3" s="1"/>
  <c r="G62" i="3" s="1"/>
  <c r="H62" i="3" s="1"/>
  <c r="E66" i="3"/>
  <c r="F66" i="3" s="1"/>
  <c r="G66" i="3" s="1"/>
  <c r="H66" i="3" s="1"/>
  <c r="E68" i="3"/>
  <c r="F68" i="3" s="1"/>
  <c r="G68" i="3" s="1"/>
  <c r="H68" i="3" s="1"/>
  <c r="E64" i="3"/>
  <c r="F64" i="3" s="1"/>
  <c r="G64" i="3" s="1"/>
  <c r="H64" i="3" s="1"/>
  <c r="E63" i="3"/>
  <c r="F63" i="3" s="1"/>
  <c r="G63" i="3" s="1"/>
  <c r="H63" i="3" s="1"/>
  <c r="E67" i="3"/>
  <c r="F67" i="3" s="1"/>
  <c r="G67" i="3" s="1"/>
  <c r="H67" i="3" s="1"/>
  <c r="K148" i="3" l="1"/>
  <c r="Q148" i="3" s="1"/>
  <c r="R148" i="3" s="1"/>
  <c r="M147" i="3"/>
  <c r="N147" i="3"/>
  <c r="I149" i="3"/>
  <c r="J149" i="3"/>
  <c r="N148" i="3"/>
  <c r="M148" i="3"/>
  <c r="F150" i="3"/>
  <c r="G150" i="3" s="1"/>
  <c r="H150" i="3" s="1"/>
  <c r="J66" i="3"/>
  <c r="I66" i="3"/>
  <c r="J63" i="3"/>
  <c r="I63" i="3"/>
  <c r="J62" i="3"/>
  <c r="I62" i="3"/>
  <c r="J67" i="3"/>
  <c r="I67" i="3"/>
  <c r="I64" i="3"/>
  <c r="J64" i="3"/>
  <c r="J65" i="3"/>
  <c r="I65" i="3"/>
  <c r="I68" i="3"/>
  <c r="J68" i="3"/>
  <c r="J61" i="3"/>
  <c r="I61" i="3"/>
  <c r="J150" i="3" l="1"/>
  <c r="I150" i="3"/>
  <c r="F151" i="3"/>
  <c r="G151" i="3" s="1"/>
  <c r="H151" i="3" s="1"/>
  <c r="K149" i="3"/>
  <c r="Q149" i="3" s="1"/>
  <c r="R149" i="3" s="1"/>
  <c r="L149" i="3"/>
  <c r="L61" i="3"/>
  <c r="K61" i="3"/>
  <c r="Q61" i="3" s="1"/>
  <c r="R61" i="3" s="1"/>
  <c r="L67" i="3"/>
  <c r="K67" i="3"/>
  <c r="Q67" i="3" s="1"/>
  <c r="R67" i="3" s="1"/>
  <c r="K62" i="3"/>
  <c r="Q62" i="3" s="1"/>
  <c r="R62" i="3" s="1"/>
  <c r="L62" i="3"/>
  <c r="K66" i="3"/>
  <c r="Q66" i="3" s="1"/>
  <c r="R66" i="3" s="1"/>
  <c r="L66" i="3"/>
  <c r="L65" i="3"/>
  <c r="K65" i="3"/>
  <c r="Q65" i="3" s="1"/>
  <c r="R65" i="3" s="1"/>
  <c r="L63" i="3"/>
  <c r="K63" i="3"/>
  <c r="Q63" i="3" s="1"/>
  <c r="R63" i="3" s="1"/>
  <c r="L68" i="3"/>
  <c r="K68" i="3"/>
  <c r="Q68" i="3" s="1"/>
  <c r="R68" i="3" s="1"/>
  <c r="L64" i="3"/>
  <c r="K64" i="3"/>
  <c r="Q64" i="3" s="1"/>
  <c r="R64" i="3" s="1"/>
  <c r="I151" i="3" l="1"/>
  <c r="J151" i="3"/>
  <c r="F152" i="3"/>
  <c r="G152" i="3" s="1"/>
  <c r="H152" i="3" s="1"/>
  <c r="N149" i="3"/>
  <c r="M149" i="3"/>
  <c r="L150" i="3"/>
  <c r="K150" i="3"/>
  <c r="Q150" i="3" s="1"/>
  <c r="R150" i="3" s="1"/>
  <c r="N66" i="3"/>
  <c r="M66" i="3"/>
  <c r="M64" i="3"/>
  <c r="N64" i="3"/>
  <c r="N63" i="3"/>
  <c r="M63" i="3"/>
  <c r="N67" i="3"/>
  <c r="M67" i="3"/>
  <c r="N62" i="3"/>
  <c r="M62" i="3"/>
  <c r="M68" i="3"/>
  <c r="N68" i="3"/>
  <c r="N65" i="3"/>
  <c r="M65" i="3"/>
  <c r="N61" i="3"/>
  <c r="M61" i="3"/>
  <c r="J152" i="3" l="1"/>
  <c r="I152" i="3"/>
  <c r="M150" i="3"/>
  <c r="N150" i="3"/>
  <c r="F153" i="3"/>
  <c r="G153" i="3" s="1"/>
  <c r="H153" i="3" s="1"/>
  <c r="L151" i="3"/>
  <c r="K151" i="3"/>
  <c r="Q151" i="3" s="1"/>
  <c r="R151" i="3" s="1"/>
  <c r="J153" i="3" l="1"/>
  <c r="I153" i="3"/>
  <c r="F154" i="3"/>
  <c r="G154" i="3" s="1"/>
  <c r="H154" i="3" s="1"/>
  <c r="N151" i="3"/>
  <c r="M151" i="3"/>
  <c r="L152" i="3"/>
  <c r="K152" i="3"/>
  <c r="Q152" i="3" s="1"/>
  <c r="R152" i="3" s="1"/>
  <c r="J154" i="3" l="1"/>
  <c r="I154" i="3"/>
  <c r="M152" i="3"/>
  <c r="N152" i="3"/>
  <c r="F155" i="3"/>
  <c r="G155" i="3" s="1"/>
  <c r="H155" i="3" s="1"/>
  <c r="L153" i="3"/>
  <c r="K153" i="3"/>
  <c r="Q153" i="3" s="1"/>
  <c r="R153" i="3" s="1"/>
  <c r="N153" i="3" l="1"/>
  <c r="M153" i="3"/>
  <c r="J155" i="3"/>
  <c r="I155" i="3"/>
  <c r="K154" i="3"/>
  <c r="Q154" i="3" s="1"/>
  <c r="R154" i="3" s="1"/>
  <c r="L154" i="3"/>
  <c r="F156" i="3"/>
  <c r="G156" i="3" s="1"/>
  <c r="H156" i="3" s="1"/>
  <c r="I156" i="3" l="1"/>
  <c r="J156" i="3"/>
  <c r="K155" i="3"/>
  <c r="Q155" i="3" s="1"/>
  <c r="R155" i="3" s="1"/>
  <c r="L155" i="3"/>
  <c r="F157" i="3"/>
  <c r="G157" i="3" s="1"/>
  <c r="H157" i="3" s="1"/>
  <c r="M154" i="3"/>
  <c r="N154" i="3"/>
  <c r="M155" i="3" l="1"/>
  <c r="N155" i="3"/>
  <c r="J157" i="3"/>
  <c r="I157" i="3"/>
  <c r="F158" i="3"/>
  <c r="G158" i="3" s="1"/>
  <c r="H158" i="3" s="1"/>
  <c r="K156" i="3"/>
  <c r="Q156" i="3" s="1"/>
  <c r="R156" i="3" s="1"/>
  <c r="L156" i="3"/>
  <c r="I158" i="3" l="1"/>
  <c r="J158" i="3"/>
  <c r="F159" i="3"/>
  <c r="G159" i="3" s="1"/>
  <c r="H159" i="3" s="1"/>
  <c r="M156" i="3"/>
  <c r="N156" i="3"/>
  <c r="L157" i="3"/>
  <c r="K157" i="3"/>
  <c r="Q157" i="3" s="1"/>
  <c r="R157" i="3" s="1"/>
  <c r="I159" i="3" l="1"/>
  <c r="J159" i="3"/>
  <c r="M157" i="3"/>
  <c r="N157" i="3"/>
  <c r="F160" i="3"/>
  <c r="G160" i="3" s="1"/>
  <c r="H160" i="3" s="1"/>
  <c r="K158" i="3"/>
  <c r="Q158" i="3" s="1"/>
  <c r="R158" i="3" s="1"/>
  <c r="L158" i="3"/>
  <c r="M158" i="3" l="1"/>
  <c r="N158" i="3"/>
  <c r="I160" i="3"/>
  <c r="J160" i="3"/>
  <c r="L160" i="3" s="1"/>
  <c r="F161" i="3"/>
  <c r="G161" i="3" s="1"/>
  <c r="H161" i="3" s="1"/>
  <c r="L159" i="3"/>
  <c r="K159" i="3"/>
  <c r="Q159" i="3" s="1"/>
  <c r="R159" i="3" s="1"/>
  <c r="M159" i="3" l="1"/>
  <c r="N159" i="3"/>
  <c r="K160" i="3"/>
  <c r="Q160" i="3" s="1"/>
  <c r="R160" i="3" s="1"/>
  <c r="J161" i="3"/>
  <c r="I161" i="3"/>
  <c r="F162" i="3"/>
  <c r="G162" i="3" s="1"/>
  <c r="H162" i="3" s="1"/>
  <c r="J162" i="3" l="1"/>
  <c r="I162" i="3"/>
  <c r="F163" i="3"/>
  <c r="G163" i="3" s="1"/>
  <c r="H163" i="3" s="1"/>
  <c r="L161" i="3"/>
  <c r="K161" i="3"/>
  <c r="Q161" i="3" s="1"/>
  <c r="R161" i="3" s="1"/>
  <c r="M160" i="3"/>
  <c r="N160" i="3"/>
  <c r="I163" i="3" l="1"/>
  <c r="J163" i="3"/>
  <c r="F164" i="3"/>
  <c r="G164" i="3" s="1"/>
  <c r="H164" i="3" s="1"/>
  <c r="K162" i="3"/>
  <c r="Q162" i="3" s="1"/>
  <c r="R162" i="3" s="1"/>
  <c r="L162" i="3"/>
  <c r="N161" i="3"/>
  <c r="M161" i="3"/>
  <c r="I164" i="3" l="1"/>
  <c r="J164" i="3"/>
  <c r="F165" i="3"/>
  <c r="G165" i="3" s="1"/>
  <c r="H165" i="3" s="1"/>
  <c r="N162" i="3"/>
  <c r="M162" i="3"/>
  <c r="L163" i="3"/>
  <c r="K163" i="3"/>
  <c r="Q163" i="3" s="1"/>
  <c r="R163" i="3" s="1"/>
  <c r="L164" i="3" l="1"/>
  <c r="K164" i="3"/>
  <c r="Q164" i="3" s="1"/>
  <c r="R164" i="3" s="1"/>
  <c r="I165" i="3"/>
  <c r="J165" i="3"/>
  <c r="N163" i="3"/>
  <c r="M163" i="3"/>
  <c r="F166" i="3"/>
  <c r="G166" i="3" s="1"/>
  <c r="H166" i="3" s="1"/>
  <c r="M164" i="3" l="1"/>
  <c r="N164" i="3"/>
  <c r="I166" i="3"/>
  <c r="J166" i="3"/>
  <c r="F167" i="3"/>
  <c r="G167" i="3" s="1"/>
  <c r="H167" i="3" s="1"/>
  <c r="L165" i="3"/>
  <c r="K165" i="3"/>
  <c r="Q165" i="3" s="1"/>
  <c r="R165" i="3" s="1"/>
  <c r="J167" i="3" l="1"/>
  <c r="I167" i="3"/>
  <c r="F168" i="3"/>
  <c r="G168" i="3" s="1"/>
  <c r="H168" i="3" s="1"/>
  <c r="N165" i="3"/>
  <c r="M165" i="3"/>
  <c r="K166" i="3"/>
  <c r="Q166" i="3" s="1"/>
  <c r="R166" i="3" s="1"/>
  <c r="L166" i="3"/>
  <c r="M166" i="3" l="1"/>
  <c r="N166" i="3"/>
  <c r="I168" i="3"/>
  <c r="J168" i="3"/>
  <c r="F169" i="3"/>
  <c r="G169" i="3" s="1"/>
  <c r="H169" i="3" s="1"/>
  <c r="K167" i="3"/>
  <c r="Q167" i="3" s="1"/>
  <c r="R167" i="3" s="1"/>
  <c r="L167" i="3"/>
  <c r="J169" i="3" l="1"/>
  <c r="I169" i="3"/>
  <c r="F170" i="3"/>
  <c r="G170" i="3" s="1"/>
  <c r="H170" i="3" s="1"/>
  <c r="N167" i="3"/>
  <c r="M167" i="3"/>
  <c r="L168" i="3"/>
  <c r="K168" i="3"/>
  <c r="Q168" i="3" s="1"/>
  <c r="R168" i="3" s="1"/>
  <c r="J170" i="3" l="1"/>
  <c r="I170" i="3"/>
  <c r="N168" i="3"/>
  <c r="M168" i="3"/>
  <c r="F171" i="3"/>
  <c r="G171" i="3" s="1"/>
  <c r="H171" i="3" s="1"/>
  <c r="K169" i="3"/>
  <c r="Q169" i="3" s="1"/>
  <c r="R169" i="3" s="1"/>
  <c r="L169" i="3"/>
  <c r="N169" i="3" l="1"/>
  <c r="M169" i="3"/>
  <c r="J171" i="3"/>
  <c r="I171" i="3"/>
  <c r="L170" i="3"/>
  <c r="K170" i="3"/>
  <c r="Q170" i="3" s="1"/>
  <c r="R170" i="3" s="1"/>
  <c r="F172" i="3"/>
  <c r="G172" i="3" s="1"/>
  <c r="H172" i="3" s="1"/>
  <c r="N170" i="3" l="1"/>
  <c r="M170" i="3"/>
  <c r="J172" i="3"/>
  <c r="I172" i="3"/>
  <c r="K172" i="3" s="1"/>
  <c r="Q172" i="3" s="1"/>
  <c r="R172" i="3" s="1"/>
  <c r="K171" i="3"/>
  <c r="Q171" i="3" s="1"/>
  <c r="R171" i="3" s="1"/>
  <c r="L171" i="3"/>
  <c r="F173" i="3"/>
  <c r="G173" i="3" s="1"/>
  <c r="H173" i="3" s="1"/>
  <c r="I173" i="3" l="1"/>
  <c r="J173" i="3"/>
  <c r="F174" i="3"/>
  <c r="G174" i="3" s="1"/>
  <c r="H174" i="3" s="1"/>
  <c r="L172" i="3"/>
  <c r="N171" i="3"/>
  <c r="M171" i="3"/>
  <c r="J174" i="3" l="1"/>
  <c r="I174" i="3"/>
  <c r="F175" i="3"/>
  <c r="G175" i="3" s="1"/>
  <c r="H175" i="3" s="1"/>
  <c r="N172" i="3"/>
  <c r="M172" i="3"/>
  <c r="L173" i="3"/>
  <c r="K173" i="3"/>
  <c r="Q173" i="3" s="1"/>
  <c r="R173" i="3" s="1"/>
  <c r="J175" i="3" l="1"/>
  <c r="I175" i="3"/>
  <c r="N173" i="3"/>
  <c r="M173" i="3"/>
  <c r="F176" i="3"/>
  <c r="G176" i="3" s="1"/>
  <c r="H176" i="3" s="1"/>
  <c r="K174" i="3"/>
  <c r="Q174" i="3" s="1"/>
  <c r="R174" i="3" s="1"/>
  <c r="L174" i="3"/>
  <c r="N174" i="3" l="1"/>
  <c r="M174" i="3"/>
  <c r="I176" i="3"/>
  <c r="J176" i="3"/>
  <c r="K175" i="3"/>
  <c r="Q175" i="3" s="1"/>
  <c r="R175" i="3" s="1"/>
  <c r="L175" i="3"/>
  <c r="F177" i="3"/>
  <c r="G177" i="3" s="1"/>
  <c r="H177" i="3" s="1"/>
  <c r="K176" i="3" l="1"/>
  <c r="Q176" i="3" s="1"/>
  <c r="R176" i="3" s="1"/>
  <c r="J177" i="3"/>
  <c r="I177" i="3"/>
  <c r="F178" i="3"/>
  <c r="G178" i="3" s="1"/>
  <c r="H178" i="3" s="1"/>
  <c r="L176" i="3"/>
  <c r="M175" i="3"/>
  <c r="N175" i="3"/>
  <c r="J178" i="3" l="1"/>
  <c r="I178" i="3"/>
  <c r="F179" i="3"/>
  <c r="G179" i="3" s="1"/>
  <c r="H179" i="3" s="1"/>
  <c r="L177" i="3"/>
  <c r="K177" i="3"/>
  <c r="Q177" i="3" s="1"/>
  <c r="R177" i="3" s="1"/>
  <c r="N176" i="3"/>
  <c r="M176" i="3"/>
  <c r="J179" i="3" l="1"/>
  <c r="I179" i="3"/>
  <c r="F180" i="3"/>
  <c r="G180" i="3" s="1"/>
  <c r="H180" i="3" s="1"/>
  <c r="K178" i="3"/>
  <c r="Q178" i="3" s="1"/>
  <c r="R178" i="3" s="1"/>
  <c r="L178" i="3"/>
  <c r="M177" i="3"/>
  <c r="N177" i="3"/>
  <c r="I180" i="3" l="1"/>
  <c r="J180" i="3"/>
  <c r="F181" i="3"/>
  <c r="G181" i="3" s="1"/>
  <c r="H181" i="3" s="1"/>
  <c r="M178" i="3"/>
  <c r="N178" i="3"/>
  <c r="L179" i="3"/>
  <c r="K179" i="3"/>
  <c r="Q179" i="3" s="1"/>
  <c r="R179" i="3" s="1"/>
  <c r="K180" i="3" l="1"/>
  <c r="Q180" i="3" s="1"/>
  <c r="R180" i="3" s="1"/>
  <c r="J181" i="3"/>
  <c r="I181" i="3"/>
  <c r="M179" i="3"/>
  <c r="N179" i="3"/>
  <c r="F182" i="3"/>
  <c r="G182" i="3" s="1"/>
  <c r="H182" i="3" s="1"/>
  <c r="L180" i="3"/>
  <c r="M180" i="3" l="1"/>
  <c r="N180" i="3"/>
  <c r="I182" i="3"/>
  <c r="J182" i="3"/>
  <c r="L181" i="3"/>
  <c r="K181" i="3"/>
  <c r="Q181" i="3" s="1"/>
  <c r="R181" i="3" s="1"/>
  <c r="F183" i="3"/>
  <c r="G183" i="3" s="1"/>
  <c r="H183" i="3" s="1"/>
  <c r="N181" i="3" l="1"/>
  <c r="M181" i="3"/>
  <c r="J183" i="3"/>
  <c r="I183" i="3"/>
  <c r="F184" i="3"/>
  <c r="G184" i="3" s="1"/>
  <c r="H184" i="3" s="1"/>
  <c r="K182" i="3"/>
  <c r="Q182" i="3" s="1"/>
  <c r="R182" i="3" s="1"/>
  <c r="L182" i="3"/>
  <c r="I184" i="3" l="1"/>
  <c r="J184" i="3"/>
  <c r="F185" i="3"/>
  <c r="G185" i="3" s="1"/>
  <c r="H185" i="3" s="1"/>
  <c r="M182" i="3"/>
  <c r="N182" i="3"/>
  <c r="K183" i="3"/>
  <c r="Q183" i="3" s="1"/>
  <c r="R183" i="3" s="1"/>
  <c r="L183" i="3"/>
  <c r="J185" i="3" l="1"/>
  <c r="I185" i="3"/>
  <c r="F186" i="3"/>
  <c r="G186" i="3" s="1"/>
  <c r="H186" i="3" s="1"/>
  <c r="N183" i="3"/>
  <c r="M183" i="3"/>
  <c r="L184" i="3"/>
  <c r="K184" i="3"/>
  <c r="Q184" i="3" s="1"/>
  <c r="R184" i="3" s="1"/>
  <c r="I186" i="3" l="1"/>
  <c r="J186" i="3"/>
  <c r="M184" i="3"/>
  <c r="N184" i="3"/>
  <c r="F187" i="3"/>
  <c r="G187" i="3" s="1"/>
  <c r="H187" i="3" s="1"/>
  <c r="K185" i="3"/>
  <c r="Q185" i="3" s="1"/>
  <c r="R185" i="3" s="1"/>
  <c r="L185" i="3"/>
  <c r="I187" i="3" l="1"/>
  <c r="J187" i="3"/>
  <c r="N185" i="3"/>
  <c r="M185" i="3"/>
  <c r="F188" i="3"/>
  <c r="G188" i="3" s="1"/>
  <c r="H188" i="3" s="1"/>
  <c r="L186" i="3"/>
  <c r="K186" i="3"/>
  <c r="Q186" i="3" s="1"/>
  <c r="R186" i="3" s="1"/>
  <c r="I188" i="3" l="1"/>
  <c r="J188" i="3"/>
  <c r="F189" i="3"/>
  <c r="G189" i="3" s="1"/>
  <c r="H189" i="3" s="1"/>
  <c r="L187" i="3"/>
  <c r="K187" i="3"/>
  <c r="Q187" i="3" s="1"/>
  <c r="R187" i="3" s="1"/>
  <c r="M186" i="3"/>
  <c r="N186" i="3"/>
  <c r="K188" i="3" l="1"/>
  <c r="Q188" i="3" s="1"/>
  <c r="R188" i="3" s="1"/>
  <c r="L188" i="3"/>
  <c r="M188" i="3" s="1"/>
  <c r="M187" i="3"/>
  <c r="N187" i="3"/>
  <c r="J189" i="3"/>
  <c r="I189" i="3"/>
  <c r="F190" i="3"/>
  <c r="G190" i="3" s="1"/>
  <c r="H190" i="3" s="1"/>
  <c r="N188" i="3" l="1"/>
  <c r="J190" i="3"/>
  <c r="I190" i="3"/>
  <c r="F191" i="3"/>
  <c r="G191" i="3" s="1"/>
  <c r="H191" i="3" s="1"/>
  <c r="L189" i="3"/>
  <c r="K189" i="3"/>
  <c r="Q189" i="3" s="1"/>
  <c r="R189" i="3" s="1"/>
  <c r="J191" i="3" l="1"/>
  <c r="I191" i="3"/>
  <c r="F192" i="3"/>
  <c r="G192" i="3" s="1"/>
  <c r="H192" i="3" s="1"/>
  <c r="L190" i="3"/>
  <c r="K190" i="3"/>
  <c r="Q190" i="3" s="1"/>
  <c r="R190" i="3" s="1"/>
  <c r="M189" i="3"/>
  <c r="N189" i="3"/>
  <c r="I192" i="3" l="1"/>
  <c r="J192" i="3"/>
  <c r="F193" i="3"/>
  <c r="G193" i="3" s="1"/>
  <c r="H193" i="3" s="1"/>
  <c r="K191" i="3"/>
  <c r="Q191" i="3" s="1"/>
  <c r="R191" i="3" s="1"/>
  <c r="L191" i="3"/>
  <c r="M190" i="3"/>
  <c r="N190" i="3"/>
  <c r="L192" i="3" l="1"/>
  <c r="K192" i="3"/>
  <c r="Q192" i="3" s="1"/>
  <c r="R192" i="3" s="1"/>
  <c r="J193" i="3"/>
  <c r="I193" i="3"/>
  <c r="F194" i="3"/>
  <c r="G194" i="3" s="1"/>
  <c r="H194" i="3" s="1"/>
  <c r="M191" i="3"/>
  <c r="N191" i="3"/>
  <c r="M192" i="3" l="1"/>
  <c r="N192" i="3"/>
  <c r="K193" i="3"/>
  <c r="Q193" i="3" s="1"/>
  <c r="R193" i="3" s="1"/>
  <c r="I194" i="3"/>
  <c r="J194" i="3"/>
  <c r="F195" i="3"/>
  <c r="G195" i="3" s="1"/>
  <c r="H195" i="3" s="1"/>
  <c r="L193" i="3"/>
  <c r="I195" i="3" l="1"/>
  <c r="J195" i="3"/>
  <c r="F196" i="3"/>
  <c r="G196" i="3" s="1"/>
  <c r="H196" i="3" s="1"/>
  <c r="N193" i="3"/>
  <c r="M193" i="3"/>
  <c r="K194" i="3"/>
  <c r="Q194" i="3" s="1"/>
  <c r="R194" i="3" s="1"/>
  <c r="L194" i="3"/>
  <c r="I196" i="3" l="1"/>
  <c r="J196" i="3"/>
  <c r="L196" i="3" s="1"/>
  <c r="F197" i="3"/>
  <c r="G197" i="3" s="1"/>
  <c r="H197" i="3" s="1"/>
  <c r="M194" i="3"/>
  <c r="N194" i="3"/>
  <c r="L195" i="3"/>
  <c r="K195" i="3"/>
  <c r="Q195" i="3" s="1"/>
  <c r="R195" i="3" s="1"/>
  <c r="K196" i="3" l="1"/>
  <c r="Q196" i="3" s="1"/>
  <c r="R196" i="3" s="1"/>
  <c r="J197" i="3"/>
  <c r="I197" i="3"/>
  <c r="N195" i="3"/>
  <c r="M195" i="3"/>
  <c r="F198" i="3"/>
  <c r="G198" i="3" s="1"/>
  <c r="H198" i="3" s="1"/>
  <c r="N196" i="3" l="1"/>
  <c r="M196" i="3"/>
  <c r="J198" i="3"/>
  <c r="I198" i="3"/>
  <c r="L197" i="3"/>
  <c r="K197" i="3"/>
  <c r="Q197" i="3" s="1"/>
  <c r="R197" i="3" s="1"/>
  <c r="F199" i="3"/>
  <c r="G199" i="3" s="1"/>
  <c r="H199" i="3" s="1"/>
  <c r="N197" i="3" l="1"/>
  <c r="M197" i="3"/>
  <c r="J199" i="3"/>
  <c r="I199" i="3"/>
  <c r="L198" i="3"/>
  <c r="K198" i="3"/>
  <c r="Q198" i="3" s="1"/>
  <c r="R198" i="3" s="1"/>
  <c r="F200" i="3"/>
  <c r="G200" i="3" s="1"/>
  <c r="H200" i="3" s="1"/>
  <c r="I200" i="3" l="1"/>
  <c r="J200" i="3"/>
  <c r="K199" i="3"/>
  <c r="Q199" i="3" s="1"/>
  <c r="R199" i="3" s="1"/>
  <c r="L199" i="3"/>
  <c r="F201" i="3"/>
  <c r="G201" i="3" s="1"/>
  <c r="H201" i="3" s="1"/>
  <c r="M198" i="3"/>
  <c r="N198" i="3"/>
  <c r="L200" i="3" l="1"/>
  <c r="J201" i="3"/>
  <c r="I201" i="3"/>
  <c r="N199" i="3"/>
  <c r="M199" i="3"/>
  <c r="F202" i="3"/>
  <c r="G202" i="3" s="1"/>
  <c r="H202" i="3" s="1"/>
  <c r="K200" i="3"/>
  <c r="Q200" i="3" s="1"/>
  <c r="R200" i="3" s="1"/>
  <c r="J202" i="3" l="1"/>
  <c r="I202" i="3"/>
  <c r="N200" i="3"/>
  <c r="F203" i="3"/>
  <c r="G203" i="3" s="1"/>
  <c r="H203" i="3" s="1"/>
  <c r="M200" i="3"/>
  <c r="L201" i="3"/>
  <c r="K201" i="3"/>
  <c r="Q201" i="3" s="1"/>
  <c r="R201" i="3" s="1"/>
  <c r="F204" i="3" l="1"/>
  <c r="G204" i="3" s="1"/>
  <c r="H204" i="3" s="1"/>
  <c r="N201" i="3"/>
  <c r="M201" i="3"/>
  <c r="K202" i="3"/>
  <c r="Q202" i="3" s="1"/>
  <c r="R202" i="3" s="1"/>
  <c r="L202" i="3"/>
  <c r="J203" i="3"/>
  <c r="I203" i="3"/>
  <c r="L203" i="3" l="1"/>
  <c r="K203" i="3"/>
  <c r="Q203" i="3" s="1"/>
  <c r="R203" i="3" s="1"/>
  <c r="N202" i="3"/>
  <c r="M202" i="3"/>
  <c r="I204" i="3"/>
  <c r="J204" i="3"/>
  <c r="L204" i="3" s="1"/>
  <c r="F205" i="3"/>
  <c r="G205" i="3" s="1"/>
  <c r="H205" i="3" s="1"/>
  <c r="J205" i="3" l="1"/>
  <c r="I205" i="3"/>
  <c r="F206" i="3"/>
  <c r="G206" i="3" s="1"/>
  <c r="H206" i="3" s="1"/>
  <c r="K204" i="3"/>
  <c r="Q204" i="3" s="1"/>
  <c r="R204" i="3" s="1"/>
  <c r="M203" i="3"/>
  <c r="N203" i="3"/>
  <c r="M204" i="3" l="1"/>
  <c r="N204" i="3"/>
  <c r="J206" i="3"/>
  <c r="I206" i="3"/>
  <c r="F207" i="3"/>
  <c r="G207" i="3" s="1"/>
  <c r="H207" i="3" s="1"/>
  <c r="L205" i="3"/>
  <c r="K205" i="3"/>
  <c r="Q205" i="3" s="1"/>
  <c r="R205" i="3" s="1"/>
  <c r="J207" i="3" l="1"/>
  <c r="I207" i="3"/>
  <c r="F208" i="3"/>
  <c r="G208" i="3" s="1"/>
  <c r="H208" i="3" s="1"/>
  <c r="L206" i="3"/>
  <c r="K206" i="3"/>
  <c r="Q206" i="3" s="1"/>
  <c r="R206" i="3" s="1"/>
  <c r="M205" i="3"/>
  <c r="N205" i="3"/>
  <c r="L207" i="3" l="1"/>
  <c r="K207" i="3"/>
  <c r="Q207" i="3" s="1"/>
  <c r="R207" i="3" s="1"/>
  <c r="N206" i="3"/>
  <c r="M206" i="3"/>
  <c r="I208" i="3"/>
  <c r="J208" i="3"/>
  <c r="F209" i="3"/>
  <c r="G209" i="3" s="1"/>
  <c r="H209" i="3" s="1"/>
  <c r="F210" i="3" l="1"/>
  <c r="G210" i="3" s="1"/>
  <c r="H210" i="3" s="1"/>
  <c r="I209" i="3"/>
  <c r="J209" i="3"/>
  <c r="L208" i="3"/>
  <c r="K208" i="3"/>
  <c r="Q208" i="3" s="1"/>
  <c r="R208" i="3" s="1"/>
  <c r="M207" i="3"/>
  <c r="N207" i="3"/>
  <c r="L209" i="3" l="1"/>
  <c r="K209" i="3"/>
  <c r="Q209" i="3" s="1"/>
  <c r="R209" i="3" s="1"/>
  <c r="I210" i="3"/>
  <c r="J210" i="3"/>
  <c r="N208" i="3"/>
  <c r="M208" i="3"/>
  <c r="F211" i="3"/>
  <c r="G211" i="3" s="1"/>
  <c r="H211" i="3" s="1"/>
  <c r="N209" i="3" l="1"/>
  <c r="M209" i="3"/>
  <c r="K210" i="3"/>
  <c r="Q210" i="3" s="1"/>
  <c r="R210" i="3" s="1"/>
  <c r="L210" i="3"/>
  <c r="F212" i="3"/>
  <c r="G212" i="3" s="1"/>
  <c r="H212" i="3" s="1"/>
  <c r="I211" i="3"/>
  <c r="J211" i="3"/>
  <c r="M210" i="3" l="1"/>
  <c r="N210" i="3"/>
  <c r="I212" i="3"/>
  <c r="J212" i="3"/>
  <c r="L212" i="3" s="1"/>
  <c r="F213" i="3"/>
  <c r="G213" i="3" s="1"/>
  <c r="H213" i="3" s="1"/>
  <c r="K211" i="3"/>
  <c r="Q211" i="3" s="1"/>
  <c r="R211" i="3" s="1"/>
  <c r="L211" i="3"/>
  <c r="K212" i="3" l="1"/>
  <c r="Q212" i="3" s="1"/>
  <c r="R212" i="3" s="1"/>
  <c r="N211" i="3"/>
  <c r="M211" i="3"/>
  <c r="I213" i="3"/>
  <c r="J213" i="3"/>
  <c r="F214" i="3"/>
  <c r="G214" i="3" s="1"/>
  <c r="H214" i="3" s="1"/>
  <c r="N212" i="3" l="1"/>
  <c r="M212" i="3"/>
  <c r="F215" i="3"/>
  <c r="G215" i="3" s="1"/>
  <c r="H215" i="3" s="1"/>
  <c r="I214" i="3"/>
  <c r="J214" i="3"/>
  <c r="L213" i="3"/>
  <c r="K213" i="3"/>
  <c r="Q213" i="3" s="1"/>
  <c r="R213" i="3" s="1"/>
  <c r="K214" i="3" l="1"/>
  <c r="Q214" i="3" s="1"/>
  <c r="R214" i="3" s="1"/>
  <c r="L214" i="3"/>
  <c r="J215" i="3"/>
  <c r="I215" i="3"/>
  <c r="N213" i="3"/>
  <c r="M213" i="3"/>
  <c r="F216" i="3"/>
  <c r="G216" i="3" s="1"/>
  <c r="H216" i="3" s="1"/>
  <c r="F217" i="3" l="1"/>
  <c r="G217" i="3" s="1"/>
  <c r="H217" i="3" s="1"/>
  <c r="I216" i="3"/>
  <c r="J216" i="3"/>
  <c r="N214" i="3"/>
  <c r="M214" i="3"/>
  <c r="L215" i="3"/>
  <c r="K215" i="3"/>
  <c r="Q215" i="3" s="1"/>
  <c r="R215" i="3" s="1"/>
  <c r="L216" i="3" l="1"/>
  <c r="N215" i="3"/>
  <c r="M215" i="3"/>
  <c r="K216" i="3"/>
  <c r="Q216" i="3" s="1"/>
  <c r="R216" i="3" s="1"/>
  <c r="J217" i="3"/>
  <c r="I217" i="3"/>
  <c r="F218" i="3"/>
  <c r="G218" i="3" s="1"/>
  <c r="H218" i="3" s="1"/>
  <c r="F219" i="3" l="1"/>
  <c r="G219" i="3" s="1"/>
  <c r="H219" i="3" s="1"/>
  <c r="L217" i="3"/>
  <c r="K217" i="3"/>
  <c r="Q217" i="3" s="1"/>
  <c r="R217" i="3" s="1"/>
  <c r="N216" i="3"/>
  <c r="J218" i="3"/>
  <c r="I218" i="3"/>
  <c r="M216" i="3"/>
  <c r="L218" i="3" l="1"/>
  <c r="K218" i="3"/>
  <c r="Q218" i="3" s="1"/>
  <c r="R218" i="3" s="1"/>
  <c r="N217" i="3"/>
  <c r="M217" i="3"/>
  <c r="I219" i="3"/>
  <c r="J219" i="3"/>
  <c r="F220" i="3"/>
  <c r="G220" i="3" s="1"/>
  <c r="H220" i="3" s="1"/>
  <c r="I220" i="3" l="1"/>
  <c r="J220" i="3"/>
  <c r="F221" i="3"/>
  <c r="G221" i="3" s="1"/>
  <c r="H221" i="3" s="1"/>
  <c r="K219" i="3"/>
  <c r="Q219" i="3" s="1"/>
  <c r="R219" i="3" s="1"/>
  <c r="L219" i="3"/>
  <c r="N218" i="3"/>
  <c r="M218" i="3"/>
  <c r="L220" i="3" l="1"/>
  <c r="K220" i="3"/>
  <c r="Q220" i="3" s="1"/>
  <c r="R220" i="3" s="1"/>
  <c r="J221" i="3"/>
  <c r="I221" i="3"/>
  <c r="F222" i="3"/>
  <c r="G222" i="3" s="1"/>
  <c r="H222" i="3" s="1"/>
  <c r="N219" i="3"/>
  <c r="M219" i="3"/>
  <c r="M220" i="3" l="1"/>
  <c r="N220" i="3"/>
  <c r="K221" i="3"/>
  <c r="Q221" i="3" s="1"/>
  <c r="R221" i="3" s="1"/>
  <c r="L221" i="3"/>
  <c r="I222" i="3"/>
  <c r="J222" i="3"/>
  <c r="F223" i="3"/>
  <c r="G223" i="3" s="1"/>
  <c r="H223" i="3" s="1"/>
  <c r="J223" i="3" l="1"/>
  <c r="I223" i="3"/>
  <c r="F224" i="3"/>
  <c r="G224" i="3" s="1"/>
  <c r="H224" i="3" s="1"/>
  <c r="L222" i="3"/>
  <c r="K222" i="3"/>
  <c r="Q222" i="3" s="1"/>
  <c r="R222" i="3" s="1"/>
  <c r="N221" i="3"/>
  <c r="M221" i="3"/>
  <c r="I224" i="3" l="1"/>
  <c r="J224" i="3"/>
  <c r="F225" i="3"/>
  <c r="G225" i="3" s="1"/>
  <c r="H225" i="3" s="1"/>
  <c r="L223" i="3"/>
  <c r="K223" i="3"/>
  <c r="Q223" i="3" s="1"/>
  <c r="R223" i="3" s="1"/>
  <c r="N222" i="3"/>
  <c r="M222" i="3"/>
  <c r="L224" i="3" l="1"/>
  <c r="K224" i="3"/>
  <c r="Q224" i="3" s="1"/>
  <c r="R224" i="3" s="1"/>
  <c r="M223" i="3"/>
  <c r="N223" i="3"/>
  <c r="J225" i="3"/>
  <c r="I225" i="3"/>
  <c r="F226" i="3"/>
  <c r="G226" i="3" s="1"/>
  <c r="H226" i="3" s="1"/>
  <c r="M224" i="3" l="1"/>
  <c r="N224" i="3"/>
  <c r="L225" i="3"/>
  <c r="K225" i="3"/>
  <c r="Q225" i="3" s="1"/>
  <c r="R225" i="3" s="1"/>
  <c r="I226" i="3"/>
  <c r="J226" i="3"/>
  <c r="F227" i="3"/>
  <c r="G227" i="3" s="1"/>
  <c r="H227" i="3" s="1"/>
  <c r="J227" i="3" l="1"/>
  <c r="I227" i="3"/>
  <c r="F228" i="3"/>
  <c r="G228" i="3" s="1"/>
  <c r="H228" i="3" s="1"/>
  <c r="N225" i="3"/>
  <c r="M225" i="3"/>
  <c r="L226" i="3"/>
  <c r="K226" i="3"/>
  <c r="Q226" i="3" s="1"/>
  <c r="R226" i="3" s="1"/>
  <c r="I228" i="3" l="1"/>
  <c r="J228" i="3"/>
  <c r="N226" i="3"/>
  <c r="M226" i="3"/>
  <c r="F229" i="3"/>
  <c r="G229" i="3" s="1"/>
  <c r="H229" i="3" s="1"/>
  <c r="K227" i="3"/>
  <c r="Q227" i="3" s="1"/>
  <c r="R227" i="3" s="1"/>
  <c r="L227" i="3"/>
  <c r="M227" i="3" l="1"/>
  <c r="N227" i="3"/>
  <c r="I229" i="3"/>
  <c r="J229" i="3"/>
  <c r="F230" i="3"/>
  <c r="G230" i="3" s="1"/>
  <c r="H230" i="3" s="1"/>
  <c r="L228" i="3"/>
  <c r="K228" i="3"/>
  <c r="Q228" i="3" s="1"/>
  <c r="R228" i="3" s="1"/>
  <c r="J230" i="3" l="1"/>
  <c r="I230" i="3"/>
  <c r="F231" i="3"/>
  <c r="G231" i="3" s="1"/>
  <c r="H231" i="3" s="1"/>
  <c r="M228" i="3"/>
  <c r="N228" i="3"/>
  <c r="K229" i="3"/>
  <c r="Q229" i="3" s="1"/>
  <c r="R229" i="3" s="1"/>
  <c r="L229" i="3"/>
  <c r="M229" i="3" l="1"/>
  <c r="N229" i="3"/>
  <c r="J231" i="3"/>
  <c r="I231" i="3"/>
  <c r="F232" i="3"/>
  <c r="G232" i="3" s="1"/>
  <c r="H232" i="3" s="1"/>
  <c r="K230" i="3"/>
  <c r="Q230" i="3" s="1"/>
  <c r="R230" i="3" s="1"/>
  <c r="L230" i="3"/>
  <c r="M230" i="3" l="1"/>
  <c r="N230" i="3"/>
  <c r="L231" i="3"/>
  <c r="K231" i="3"/>
  <c r="Q231" i="3" s="1"/>
  <c r="R231" i="3" s="1"/>
  <c r="J232" i="3"/>
  <c r="I232" i="3"/>
  <c r="F233" i="3"/>
  <c r="G233" i="3" s="1"/>
  <c r="H233" i="3" s="1"/>
  <c r="K232" i="3" l="1"/>
  <c r="Q232" i="3" s="1"/>
  <c r="R232" i="3" s="1"/>
  <c r="L232" i="3"/>
  <c r="J233" i="3"/>
  <c r="I233" i="3"/>
  <c r="N231" i="3"/>
  <c r="M231" i="3"/>
  <c r="L233" i="3" l="1"/>
  <c r="K233" i="3"/>
  <c r="Q233" i="3" s="1"/>
  <c r="R233" i="3" s="1"/>
  <c r="E234" i="3" s="1"/>
  <c r="F234" i="3" s="1"/>
  <c r="G234" i="3" s="1"/>
  <c r="H234" i="3" s="1"/>
  <c r="J234" i="3" s="1"/>
  <c r="N232" i="3"/>
  <c r="M232" i="3"/>
  <c r="I234" i="3" l="1"/>
  <c r="N233" i="3"/>
  <c r="M233" i="3"/>
  <c r="K234" i="3"/>
  <c r="Q234" i="3" s="1"/>
  <c r="R234" i="3" s="1"/>
  <c r="E235" i="3" s="1"/>
  <c r="F235" i="3" s="1"/>
  <c r="G235" i="3" s="1"/>
  <c r="H235" i="3" s="1"/>
  <c r="J235" i="3" s="1"/>
  <c r="L234" i="3"/>
  <c r="I235" i="3" l="1"/>
  <c r="N234" i="3"/>
  <c r="M234" i="3"/>
  <c r="K235" i="3"/>
  <c r="Q235" i="3" s="1"/>
  <c r="R235" i="3" s="1"/>
  <c r="E236" i="3" s="1"/>
  <c r="F236" i="3" s="1"/>
  <c r="G236" i="3" s="1"/>
  <c r="H236" i="3" s="1"/>
  <c r="J236" i="3" s="1"/>
  <c r="L235" i="3"/>
  <c r="I236" i="3" l="1"/>
  <c r="M235" i="3"/>
  <c r="N235" i="3"/>
  <c r="L236" i="3"/>
  <c r="K236" i="3"/>
  <c r="Q236" i="3" s="1"/>
  <c r="R236" i="3" s="1"/>
  <c r="E237" i="3" s="1"/>
  <c r="F237" i="3" s="1"/>
  <c r="G237" i="3" s="1"/>
  <c r="H237" i="3" s="1"/>
  <c r="I237" i="3" s="1"/>
  <c r="J237" i="3" l="1"/>
  <c r="M236" i="3"/>
  <c r="N236" i="3"/>
  <c r="K237" i="3"/>
  <c r="Q237" i="3" s="1"/>
  <c r="R237" i="3" s="1"/>
  <c r="E238" i="3" s="1"/>
  <c r="F238" i="3" s="1"/>
  <c r="G238" i="3" s="1"/>
  <c r="H238" i="3" s="1"/>
  <c r="J238" i="3" s="1"/>
  <c r="L237" i="3"/>
  <c r="I238" i="3" l="1"/>
  <c r="N237" i="3"/>
  <c r="M237" i="3"/>
  <c r="L238" i="3"/>
  <c r="K238" i="3"/>
  <c r="Q238" i="3" s="1"/>
  <c r="R238" i="3" s="1"/>
  <c r="E239" i="3" s="1"/>
  <c r="F239" i="3" s="1"/>
  <c r="G239" i="3" s="1"/>
  <c r="H239" i="3" s="1"/>
  <c r="I239" i="3" s="1"/>
  <c r="J239" i="3" l="1"/>
  <c r="N238" i="3"/>
  <c r="M238" i="3"/>
  <c r="K239" i="3"/>
  <c r="Q239" i="3" s="1"/>
  <c r="R239" i="3" s="1"/>
  <c r="E240" i="3" s="1"/>
  <c r="F240" i="3" s="1"/>
  <c r="G240" i="3" s="1"/>
  <c r="H240" i="3" s="1"/>
  <c r="J240" i="3" s="1"/>
  <c r="L239" i="3"/>
  <c r="I240" i="3" l="1"/>
  <c r="L240" i="3"/>
  <c r="N239" i="3"/>
  <c r="M239" i="3"/>
  <c r="K240" i="3"/>
  <c r="Q240" i="3" s="1"/>
  <c r="R240" i="3" s="1"/>
  <c r="E241" i="3" s="1"/>
  <c r="F241" i="3" l="1"/>
  <c r="G241" i="3" s="1"/>
  <c r="H241" i="3" s="1"/>
  <c r="M240" i="3"/>
  <c r="N240" i="3"/>
  <c r="F242" i="3" l="1"/>
  <c r="G242" i="3" s="1"/>
  <c r="H242" i="3" s="1"/>
  <c r="J241" i="3"/>
  <c r="I241" i="3"/>
  <c r="K241" i="3" l="1"/>
  <c r="Q241" i="3" s="1"/>
  <c r="R241" i="3" s="1"/>
  <c r="L241" i="3"/>
  <c r="J242" i="3"/>
  <c r="I242" i="3"/>
  <c r="M241" i="3" l="1"/>
  <c r="N241" i="3"/>
  <c r="K242" i="3"/>
  <c r="Q242" i="3" s="1"/>
  <c r="R242" i="3" s="1"/>
  <c r="F243" i="3" s="1"/>
  <c r="G243" i="3" s="1"/>
  <c r="H243" i="3" s="1"/>
  <c r="J243" i="3" s="1"/>
  <c r="L242" i="3"/>
  <c r="I243" i="3" l="1"/>
  <c r="M242" i="3"/>
  <c r="N242" i="3"/>
  <c r="L243" i="3"/>
  <c r="K243" i="3"/>
  <c r="Q243" i="3" s="1"/>
  <c r="R243" i="3" s="1"/>
  <c r="F244" i="3" l="1"/>
  <c r="G244" i="3" s="1"/>
  <c r="H244" i="3" s="1"/>
  <c r="N243" i="3"/>
  <c r="M243" i="3"/>
  <c r="J244" i="3" l="1"/>
  <c r="I244" i="3"/>
  <c r="K244" i="3" l="1"/>
  <c r="Q244" i="3" s="1"/>
  <c r="R244" i="3" s="1"/>
  <c r="L244" i="3"/>
  <c r="N244" i="3" l="1"/>
  <c r="M244" i="3"/>
  <c r="F245" i="3"/>
  <c r="G245" i="3" s="1"/>
  <c r="H245" i="3" s="1"/>
  <c r="J245" i="3" l="1"/>
  <c r="I245" i="3"/>
  <c r="K245" i="3" l="1"/>
  <c r="Q245" i="3" s="1"/>
  <c r="R245" i="3" s="1"/>
  <c r="L245" i="3"/>
  <c r="M245" i="3" l="1"/>
  <c r="N245" i="3"/>
  <c r="F246" i="3"/>
  <c r="G246" i="3" s="1"/>
  <c r="H246" i="3" s="1"/>
  <c r="J246" i="3" l="1"/>
  <c r="I246" i="3"/>
  <c r="L246" i="3" l="1"/>
  <c r="K246" i="3"/>
  <c r="Q246" i="3" s="1"/>
  <c r="R246" i="3" s="1"/>
  <c r="F247" i="3" l="1"/>
  <c r="G247" i="3" s="1"/>
  <c r="H247" i="3" s="1"/>
  <c r="N246" i="3"/>
  <c r="M246" i="3"/>
  <c r="J247" i="3" l="1"/>
  <c r="I247" i="3"/>
  <c r="K247" i="3" l="1"/>
  <c r="Q247" i="3" s="1"/>
  <c r="R247" i="3" s="1"/>
  <c r="L247" i="3"/>
  <c r="N247" i="3" l="1"/>
  <c r="M247" i="3"/>
  <c r="F248" i="3"/>
  <c r="G248" i="3" s="1"/>
  <c r="H248" i="3" s="1"/>
  <c r="J248" i="3" l="1"/>
  <c r="I248" i="3"/>
  <c r="K248" i="3" l="1"/>
  <c r="Q248" i="3" s="1"/>
  <c r="R248" i="3" s="1"/>
  <c r="L248" i="3"/>
  <c r="M248" i="3" l="1"/>
  <c r="N248" i="3"/>
  <c r="F249" i="3"/>
  <c r="G249" i="3" s="1"/>
  <c r="H249" i="3" s="1"/>
  <c r="J249" i="3" l="1"/>
  <c r="I249" i="3"/>
  <c r="L249" i="3" l="1"/>
  <c r="K249" i="3"/>
  <c r="Q249" i="3" s="1"/>
  <c r="R249" i="3" s="1"/>
  <c r="F250" i="3" l="1"/>
  <c r="G250" i="3" s="1"/>
  <c r="H250" i="3" s="1"/>
  <c r="M249" i="3"/>
  <c r="N249" i="3"/>
  <c r="J250" i="3" l="1"/>
  <c r="I250" i="3"/>
  <c r="K250" i="3" l="1"/>
  <c r="Q250" i="3" s="1"/>
  <c r="R250" i="3" s="1"/>
  <c r="L250" i="3"/>
  <c r="M250" i="3" l="1"/>
  <c r="N250" i="3"/>
  <c r="F251" i="3"/>
  <c r="G251" i="3" s="1"/>
  <c r="H251" i="3" s="1"/>
  <c r="I251" i="3" l="1"/>
  <c r="J251" i="3"/>
  <c r="L251" i="3" l="1"/>
  <c r="K251" i="3"/>
  <c r="Q251" i="3" s="1"/>
  <c r="R251" i="3" s="1"/>
  <c r="F252" i="3" l="1"/>
  <c r="G252" i="3" s="1"/>
  <c r="H252" i="3" s="1"/>
  <c r="M251" i="3"/>
  <c r="N251" i="3"/>
  <c r="I252" i="3" l="1"/>
  <c r="J252" i="3"/>
  <c r="K252" i="3" l="1"/>
  <c r="Q252" i="3" s="1"/>
  <c r="R252" i="3" s="1"/>
  <c r="L252" i="3"/>
  <c r="M252" i="3" l="1"/>
  <c r="N252" i="3"/>
  <c r="F253" i="3"/>
  <c r="G253" i="3" s="1"/>
  <c r="H253" i="3" s="1"/>
  <c r="J253" i="3" l="1"/>
  <c r="I253" i="3"/>
  <c r="L253" i="3" l="1"/>
  <c r="K253" i="3"/>
  <c r="Q253" i="3" s="1"/>
  <c r="R253" i="3" s="1"/>
  <c r="F254" i="3" l="1"/>
  <c r="G254" i="3" s="1"/>
  <c r="H254" i="3" s="1"/>
  <c r="N253" i="3"/>
  <c r="M253" i="3"/>
  <c r="I254" i="3" l="1"/>
  <c r="J254" i="3"/>
  <c r="L254" i="3" l="1"/>
  <c r="K254" i="3"/>
  <c r="Q254" i="3" s="1"/>
  <c r="R254" i="3" s="1"/>
  <c r="F255" i="3" l="1"/>
  <c r="G255" i="3" s="1"/>
  <c r="H255" i="3" s="1"/>
  <c r="N254" i="3"/>
  <c r="M254" i="3"/>
  <c r="I255" i="3" l="1"/>
  <c r="J255" i="3"/>
  <c r="K255" i="3" s="1"/>
  <c r="Q255" i="3" s="1"/>
  <c r="R255" i="3" s="1"/>
  <c r="F256" i="3" l="1"/>
  <c r="G256" i="3" s="1"/>
  <c r="H256" i="3" s="1"/>
  <c r="L255" i="3"/>
  <c r="I256" i="3" l="1"/>
  <c r="J256" i="3"/>
  <c r="M255" i="3"/>
  <c r="N255" i="3"/>
  <c r="L256" i="3" l="1"/>
  <c r="K256" i="3"/>
  <c r="Q256" i="3" s="1"/>
  <c r="R256" i="3" s="1"/>
  <c r="F257" i="3" l="1"/>
  <c r="G257" i="3" s="1"/>
  <c r="H257" i="3" s="1"/>
  <c r="M256" i="3"/>
  <c r="N256" i="3"/>
  <c r="I257" i="3" l="1"/>
  <c r="J257" i="3"/>
  <c r="L257" i="3" l="1"/>
  <c r="K257" i="3"/>
  <c r="Q257" i="3" s="1"/>
  <c r="R257" i="3" s="1"/>
  <c r="F258" i="3" l="1"/>
  <c r="G258" i="3" s="1"/>
  <c r="H258" i="3" s="1"/>
  <c r="N257" i="3"/>
  <c r="M257" i="3"/>
  <c r="I258" i="3" l="1"/>
  <c r="J258" i="3"/>
  <c r="L258" i="3" l="1"/>
  <c r="K258" i="3"/>
  <c r="Q258" i="3" s="1"/>
  <c r="R258" i="3" s="1"/>
  <c r="F259" i="3" l="1"/>
  <c r="G259" i="3" s="1"/>
  <c r="H259" i="3" s="1"/>
  <c r="M258" i="3"/>
  <c r="N258" i="3"/>
  <c r="J259" i="3" l="1"/>
  <c r="I259" i="3"/>
  <c r="K259" i="3" l="1"/>
  <c r="Q259" i="3" s="1"/>
  <c r="R259" i="3" s="1"/>
  <c r="L259" i="3"/>
  <c r="N259" i="3" l="1"/>
  <c r="M259" i="3"/>
  <c r="F260" i="3"/>
  <c r="G260" i="3" s="1"/>
  <c r="H260" i="3" s="1"/>
  <c r="I260" i="3" l="1"/>
  <c r="J260" i="3"/>
  <c r="L260" i="3" l="1"/>
  <c r="K260" i="3"/>
  <c r="Q260" i="3" s="1"/>
  <c r="R260" i="3" s="1"/>
  <c r="F261" i="3" l="1"/>
  <c r="G261" i="3" s="1"/>
  <c r="H261" i="3" s="1"/>
  <c r="M260" i="3"/>
  <c r="N260" i="3"/>
  <c r="J261" i="3" l="1"/>
  <c r="I261" i="3"/>
  <c r="K261" i="3" l="1"/>
  <c r="Q261" i="3" s="1"/>
  <c r="R261" i="3" s="1"/>
  <c r="L261" i="3"/>
  <c r="F262" i="3" l="1"/>
  <c r="G262" i="3" s="1"/>
  <c r="H262" i="3" s="1"/>
  <c r="N261" i="3"/>
  <c r="M261" i="3"/>
  <c r="I262" i="3" l="1"/>
  <c r="J262" i="3"/>
  <c r="K262" i="3" l="1"/>
  <c r="Q262" i="3" s="1"/>
  <c r="R262" i="3" s="1"/>
  <c r="L262" i="3"/>
  <c r="N262" i="3" l="1"/>
  <c r="M262" i="3"/>
  <c r="F263" i="3"/>
  <c r="G263" i="3" s="1"/>
  <c r="H263" i="3" s="1"/>
  <c r="I263" i="3" l="1"/>
  <c r="J263" i="3"/>
  <c r="K263" i="3" l="1"/>
  <c r="Q263" i="3" s="1"/>
  <c r="R263" i="3" s="1"/>
  <c r="L263" i="3"/>
  <c r="F264" i="3" l="1"/>
  <c r="G264" i="3" s="1"/>
  <c r="H264" i="3" s="1"/>
  <c r="M263" i="3"/>
  <c r="N263" i="3"/>
  <c r="J264" i="3" l="1"/>
  <c r="I264" i="3"/>
  <c r="K264" i="3" l="1"/>
  <c r="Q264" i="3" s="1"/>
  <c r="R264" i="3" s="1"/>
  <c r="L264" i="3"/>
  <c r="F265" i="3" l="1"/>
  <c r="G265" i="3" s="1"/>
  <c r="H265" i="3" s="1"/>
  <c r="M264" i="3"/>
  <c r="N264" i="3"/>
  <c r="I265" i="3" l="1"/>
  <c r="J265" i="3"/>
  <c r="K265" i="3" l="1"/>
  <c r="Q265" i="3" s="1"/>
  <c r="R265" i="3" s="1"/>
  <c r="L265" i="3"/>
  <c r="M265" i="3" l="1"/>
  <c r="N265" i="3"/>
  <c r="F266" i="3"/>
  <c r="G266" i="3" s="1"/>
  <c r="H266" i="3" s="1"/>
  <c r="J266" i="3" l="1"/>
  <c r="I266" i="3"/>
  <c r="L266" i="3" l="1"/>
  <c r="K266" i="3"/>
  <c r="Q266" i="3" s="1"/>
  <c r="R266" i="3" s="1"/>
  <c r="F267" i="3" l="1"/>
  <c r="G267" i="3" s="1"/>
  <c r="H267" i="3" s="1"/>
  <c r="M266" i="3"/>
  <c r="N266" i="3"/>
  <c r="I267" i="3" l="1"/>
  <c r="J267" i="3"/>
  <c r="L267" i="3" l="1"/>
  <c r="K267" i="3"/>
  <c r="Q267" i="3" s="1"/>
  <c r="R267" i="3" s="1"/>
  <c r="F268" i="3" l="1"/>
  <c r="G268" i="3" s="1"/>
  <c r="H268" i="3" s="1"/>
  <c r="M267" i="3"/>
  <c r="N267" i="3"/>
  <c r="J268" i="3" l="1"/>
  <c r="I268" i="3"/>
  <c r="L268" i="3" l="1"/>
  <c r="K268" i="3"/>
  <c r="Q268" i="3" s="1"/>
  <c r="R268" i="3" s="1"/>
  <c r="F269" i="3" l="1"/>
  <c r="G269" i="3" s="1"/>
  <c r="H269" i="3" s="1"/>
  <c r="N268" i="3"/>
  <c r="M268" i="3"/>
  <c r="I269" i="3" l="1"/>
  <c r="J269" i="3"/>
  <c r="L269" i="3" l="1"/>
  <c r="K269" i="3"/>
  <c r="Q269" i="3" s="1"/>
  <c r="R269" i="3" s="1"/>
  <c r="F270" i="3" l="1"/>
  <c r="G270" i="3" s="1"/>
  <c r="H270" i="3" s="1"/>
  <c r="N269" i="3"/>
  <c r="M269" i="3"/>
  <c r="J270" i="3" l="1"/>
  <c r="I270" i="3"/>
  <c r="L270" i="3" l="1"/>
  <c r="K270" i="3"/>
  <c r="Q270" i="3" s="1"/>
  <c r="R270" i="3" s="1"/>
  <c r="F271" i="3" l="1"/>
  <c r="G271" i="3" s="1"/>
  <c r="H271" i="3" s="1"/>
  <c r="M270" i="3"/>
  <c r="N270" i="3"/>
  <c r="J271" i="3" l="1"/>
  <c r="I271" i="3"/>
  <c r="L271" i="3" l="1"/>
  <c r="K271" i="3"/>
  <c r="Q271" i="3" s="1"/>
  <c r="R271" i="3" s="1"/>
  <c r="F272" i="3" l="1"/>
  <c r="G272" i="3" s="1"/>
  <c r="H272" i="3" s="1"/>
  <c r="M271" i="3"/>
  <c r="N271" i="3"/>
  <c r="I272" i="3" l="1"/>
  <c r="J272" i="3"/>
  <c r="K272" i="3" l="1"/>
  <c r="Q272" i="3" s="1"/>
  <c r="R272" i="3" s="1"/>
  <c r="L272" i="3"/>
  <c r="M272" i="3" l="1"/>
  <c r="N272" i="3"/>
  <c r="F273" i="3"/>
  <c r="G273" i="3" s="1"/>
  <c r="H273" i="3" s="1"/>
  <c r="J273" i="3" l="1"/>
  <c r="I273" i="3"/>
  <c r="L273" i="3" l="1"/>
  <c r="K273" i="3"/>
  <c r="Q273" i="3" s="1"/>
  <c r="R273" i="3" s="1"/>
  <c r="F274" i="3" l="1"/>
  <c r="G274" i="3" s="1"/>
  <c r="H274" i="3" s="1"/>
  <c r="N273" i="3"/>
  <c r="M273" i="3"/>
  <c r="I274" i="3" l="1"/>
  <c r="J274" i="3"/>
  <c r="L274" i="3" l="1"/>
  <c r="K274" i="3"/>
  <c r="Q274" i="3" s="1"/>
  <c r="R274" i="3" s="1"/>
  <c r="F275" i="3" l="1"/>
  <c r="G275" i="3" s="1"/>
  <c r="H275" i="3" s="1"/>
  <c r="M274" i="3"/>
  <c r="N274" i="3"/>
  <c r="J275" i="3" l="1"/>
  <c r="I275" i="3"/>
  <c r="L275" i="3" l="1"/>
  <c r="K275" i="3"/>
  <c r="Q275" i="3" s="1"/>
  <c r="R275" i="3" s="1"/>
  <c r="F276" i="3" l="1"/>
  <c r="G276" i="3" s="1"/>
  <c r="H276" i="3" s="1"/>
  <c r="N275" i="3"/>
  <c r="M275" i="3"/>
  <c r="J276" i="3" l="1"/>
  <c r="I276" i="3"/>
  <c r="K276" i="3" l="1"/>
  <c r="Q276" i="3" s="1"/>
  <c r="R276" i="3" s="1"/>
  <c r="L276" i="3"/>
  <c r="N276" i="3" l="1"/>
  <c r="M276" i="3"/>
  <c r="F277" i="3"/>
  <c r="G277" i="3" s="1"/>
  <c r="H277" i="3" s="1"/>
  <c r="J277" i="3" l="1"/>
  <c r="I277" i="3"/>
  <c r="K277" i="3" l="1"/>
  <c r="Q277" i="3" s="1"/>
  <c r="R277" i="3" s="1"/>
  <c r="L277" i="3"/>
  <c r="N277" i="3" l="1"/>
  <c r="M277" i="3"/>
  <c r="F278" i="3"/>
  <c r="G278" i="3" s="1"/>
  <c r="H278" i="3" s="1"/>
  <c r="J278" i="3" l="1"/>
  <c r="I278" i="3"/>
  <c r="L278" i="3" l="1"/>
  <c r="K278" i="3"/>
  <c r="Q278" i="3" s="1"/>
  <c r="R278" i="3" s="1"/>
  <c r="F279" i="3" l="1"/>
  <c r="G279" i="3" s="1"/>
  <c r="H279" i="3" s="1"/>
  <c r="N278" i="3"/>
  <c r="M278" i="3"/>
  <c r="I279" i="3" l="1"/>
  <c r="J279" i="3"/>
  <c r="K279" i="3" l="1"/>
  <c r="Q279" i="3" s="1"/>
  <c r="R279" i="3" s="1"/>
  <c r="L279" i="3"/>
  <c r="N279" i="3" l="1"/>
  <c r="M279" i="3"/>
  <c r="F280" i="3"/>
  <c r="G280" i="3" s="1"/>
  <c r="H280" i="3" s="1"/>
  <c r="I280" i="3" l="1"/>
  <c r="J280" i="3"/>
  <c r="K280" i="3" l="1"/>
  <c r="Q280" i="3" s="1"/>
  <c r="R280" i="3" s="1"/>
  <c r="L280" i="3"/>
  <c r="N280" i="3" l="1"/>
  <c r="M280" i="3"/>
  <c r="F281" i="3"/>
  <c r="G281" i="3" s="1"/>
  <c r="H281" i="3" s="1"/>
  <c r="J281" i="3" l="1"/>
  <c r="I281" i="3"/>
  <c r="K281" i="3" l="1"/>
  <c r="Q281" i="3" s="1"/>
  <c r="R281" i="3" s="1"/>
  <c r="L281" i="3"/>
  <c r="N281" i="3" l="1"/>
  <c r="M281" i="3"/>
  <c r="F282" i="3"/>
  <c r="G282" i="3" s="1"/>
  <c r="H282" i="3" s="1"/>
  <c r="I282" i="3" l="1"/>
  <c r="J282" i="3"/>
  <c r="L282" i="3" l="1"/>
  <c r="K282" i="3"/>
  <c r="Q282" i="3" s="1"/>
  <c r="R282" i="3" s="1"/>
  <c r="F283" i="3" l="1"/>
  <c r="G283" i="3" s="1"/>
  <c r="H283" i="3" s="1"/>
  <c r="N282" i="3"/>
  <c r="M282" i="3"/>
  <c r="J283" i="3" l="1"/>
  <c r="I283" i="3"/>
  <c r="L283" i="3" l="1"/>
  <c r="K283" i="3"/>
  <c r="Q283" i="3" s="1"/>
  <c r="R283" i="3" s="1"/>
  <c r="F284" i="3" l="1"/>
  <c r="G284" i="3" s="1"/>
  <c r="H284" i="3" s="1"/>
  <c r="N283" i="3"/>
  <c r="M283" i="3"/>
  <c r="I284" i="3" l="1"/>
  <c r="J284" i="3"/>
  <c r="K284" i="3" l="1"/>
  <c r="Q284" i="3" s="1"/>
  <c r="R284" i="3" s="1"/>
  <c r="L284" i="3"/>
  <c r="N284" i="3" l="1"/>
  <c r="M284" i="3"/>
  <c r="F285" i="3"/>
  <c r="G285" i="3" s="1"/>
  <c r="H285" i="3" s="1"/>
  <c r="I285" i="3" l="1"/>
  <c r="J285" i="3"/>
  <c r="L285" i="3" l="1"/>
  <c r="K285" i="3"/>
  <c r="Q285" i="3" s="1"/>
  <c r="R285" i="3" s="1"/>
  <c r="F286" i="3" l="1"/>
  <c r="G286" i="3" s="1"/>
  <c r="H286" i="3" s="1"/>
  <c r="N285" i="3"/>
  <c r="M285" i="3"/>
  <c r="I286" i="3" l="1"/>
  <c r="J286" i="3"/>
  <c r="L286" i="3" l="1"/>
  <c r="K286" i="3"/>
  <c r="Q286" i="3" s="1"/>
  <c r="R286" i="3" s="1"/>
  <c r="F287" i="3" l="1"/>
  <c r="G287" i="3" s="1"/>
  <c r="H287" i="3" s="1"/>
  <c r="N286" i="3"/>
  <c r="M286" i="3"/>
  <c r="J287" i="3" l="1"/>
  <c r="I287" i="3"/>
  <c r="K287" i="3" l="1"/>
  <c r="Q287" i="3" s="1"/>
  <c r="R287" i="3" s="1"/>
  <c r="L287" i="3"/>
  <c r="F288" i="3" l="1"/>
  <c r="G288" i="3" s="1"/>
  <c r="H288" i="3" s="1"/>
  <c r="N287" i="3"/>
  <c r="M287" i="3"/>
  <c r="I288" i="3" l="1"/>
  <c r="J288" i="3"/>
  <c r="K288" i="3" l="1"/>
  <c r="Q288" i="3" s="1"/>
  <c r="R288" i="3" s="1"/>
  <c r="L288" i="3"/>
  <c r="N288" i="3" l="1"/>
  <c r="M288" i="3"/>
  <c r="F289" i="3"/>
  <c r="G289" i="3" s="1"/>
  <c r="H289" i="3" s="1"/>
  <c r="J289" i="3" l="1"/>
  <c r="I289" i="3"/>
  <c r="L289" i="3" l="1"/>
  <c r="K289" i="3"/>
  <c r="Q289" i="3" s="1"/>
  <c r="R289" i="3" s="1"/>
  <c r="F290" i="3" l="1"/>
  <c r="G290" i="3" s="1"/>
  <c r="H290" i="3" s="1"/>
  <c r="M289" i="3"/>
  <c r="N289" i="3"/>
  <c r="I290" i="3" l="1"/>
  <c r="J290" i="3"/>
  <c r="L290" i="3" l="1"/>
  <c r="K290" i="3"/>
  <c r="Q290" i="3" s="1"/>
  <c r="R290" i="3" s="1"/>
  <c r="F291" i="3" l="1"/>
  <c r="G291" i="3" s="1"/>
  <c r="H291" i="3" s="1"/>
  <c r="N290" i="3"/>
  <c r="M290" i="3"/>
  <c r="I291" i="3" l="1"/>
  <c r="J291" i="3"/>
  <c r="L291" i="3" l="1"/>
  <c r="K291" i="3"/>
  <c r="Q291" i="3" s="1"/>
  <c r="R291" i="3" s="1"/>
  <c r="F292" i="3" l="1"/>
  <c r="G292" i="3" s="1"/>
  <c r="H292" i="3" s="1"/>
  <c r="M291" i="3"/>
  <c r="N291" i="3"/>
  <c r="J292" i="3" l="1"/>
  <c r="I292" i="3"/>
  <c r="L292" i="3" l="1"/>
  <c r="K292" i="3"/>
  <c r="Q292" i="3" s="1"/>
  <c r="R292" i="3" s="1"/>
  <c r="F293" i="3" l="1"/>
  <c r="G293" i="3" s="1"/>
  <c r="H293" i="3" s="1"/>
  <c r="M292" i="3"/>
  <c r="N292" i="3"/>
  <c r="I293" i="3" l="1"/>
  <c r="J293" i="3"/>
  <c r="L293" i="3" l="1"/>
  <c r="K293" i="3"/>
  <c r="Q293" i="3" s="1"/>
  <c r="R293" i="3" s="1"/>
  <c r="F294" i="3" l="1"/>
  <c r="G294" i="3" s="1"/>
  <c r="H294" i="3" s="1"/>
  <c r="M293" i="3"/>
  <c r="N293" i="3"/>
  <c r="I294" i="3" l="1"/>
  <c r="J294" i="3"/>
  <c r="K294" i="3" l="1"/>
  <c r="Q294" i="3" s="1"/>
  <c r="R294" i="3" s="1"/>
  <c r="L294" i="3"/>
  <c r="N294" i="3" l="1"/>
  <c r="M294" i="3"/>
  <c r="F295" i="3"/>
  <c r="G295" i="3" s="1"/>
  <c r="H295" i="3" s="1"/>
  <c r="I295" i="3" l="1"/>
  <c r="J295" i="3"/>
  <c r="L295" i="3" l="1"/>
  <c r="K295" i="3"/>
  <c r="Q295" i="3" s="1"/>
  <c r="R295" i="3" s="1"/>
  <c r="F296" i="3" l="1"/>
  <c r="G296" i="3" s="1"/>
  <c r="H296" i="3" s="1"/>
  <c r="N295" i="3"/>
  <c r="M295" i="3"/>
  <c r="J296" i="3" l="1"/>
  <c r="I296" i="3"/>
  <c r="L296" i="3" l="1"/>
  <c r="K296" i="3"/>
  <c r="Q296" i="3" s="1"/>
  <c r="R296" i="3" s="1"/>
  <c r="F297" i="3" l="1"/>
  <c r="G297" i="3" s="1"/>
  <c r="H297" i="3" s="1"/>
  <c r="M296" i="3"/>
  <c r="N296" i="3"/>
  <c r="I297" i="3" l="1"/>
  <c r="J297" i="3"/>
  <c r="K297" i="3" l="1"/>
  <c r="Q297" i="3" s="1"/>
  <c r="R297" i="3" s="1"/>
  <c r="L297" i="3"/>
  <c r="M297" i="3" l="1"/>
  <c r="N297" i="3"/>
  <c r="F298" i="3"/>
  <c r="G298" i="3" s="1"/>
  <c r="H298" i="3" s="1"/>
  <c r="J298" i="3" l="1"/>
  <c r="I298" i="3"/>
  <c r="L298" i="3" l="1"/>
  <c r="K298" i="3"/>
  <c r="Q298" i="3" s="1"/>
  <c r="R298" i="3" s="1"/>
  <c r="F299" i="3" l="1"/>
  <c r="G299" i="3" s="1"/>
  <c r="H299" i="3" s="1"/>
  <c r="N298" i="3"/>
  <c r="M298" i="3"/>
  <c r="J299" i="3" l="1"/>
  <c r="I299" i="3"/>
  <c r="K299" i="3" l="1"/>
  <c r="Q299" i="3" s="1"/>
  <c r="R299" i="3" s="1"/>
  <c r="L299" i="3"/>
  <c r="M299" i="3" l="1"/>
  <c r="N299" i="3"/>
  <c r="F300" i="3"/>
  <c r="G300" i="3" s="1"/>
  <c r="H300" i="3" s="1"/>
  <c r="I300" i="3" l="1"/>
  <c r="J300" i="3"/>
  <c r="K300" i="3" l="1"/>
  <c r="Q300" i="3" s="1"/>
  <c r="R300" i="3" s="1"/>
  <c r="L300" i="3"/>
  <c r="M300" i="3" l="1"/>
  <c r="N300" i="3"/>
  <c r="F301" i="3"/>
  <c r="G301" i="3" s="1"/>
  <c r="H301" i="3" s="1"/>
  <c r="I301" i="3" l="1"/>
  <c r="J301" i="3"/>
  <c r="L301" i="3" l="1"/>
  <c r="K301" i="3"/>
  <c r="Q301" i="3" s="1"/>
  <c r="R301" i="3" s="1"/>
  <c r="F302" i="3" l="1"/>
  <c r="G302" i="3" s="1"/>
  <c r="H302" i="3" s="1"/>
  <c r="N301" i="3"/>
  <c r="M301" i="3"/>
  <c r="I302" i="3" l="1"/>
  <c r="J302" i="3"/>
  <c r="L302" i="3" l="1"/>
  <c r="K302" i="3"/>
  <c r="Q302" i="3" s="1"/>
  <c r="R302" i="3" s="1"/>
  <c r="F303" i="3" l="1"/>
  <c r="G303" i="3" s="1"/>
  <c r="H303" i="3" s="1"/>
  <c r="N302" i="3"/>
  <c r="M302" i="3"/>
  <c r="I303" i="3" l="1"/>
  <c r="J303" i="3"/>
  <c r="K303" i="3" l="1"/>
  <c r="Q303" i="3" s="1"/>
  <c r="R303" i="3" s="1"/>
  <c r="L303" i="3"/>
  <c r="N303" i="3" l="1"/>
  <c r="M303" i="3"/>
  <c r="F304" i="3"/>
  <c r="G304" i="3" s="1"/>
  <c r="H304" i="3" s="1"/>
  <c r="J304" i="3" l="1"/>
  <c r="I304" i="3"/>
  <c r="K304" i="3" l="1"/>
  <c r="Q304" i="3" s="1"/>
  <c r="R304" i="3" s="1"/>
  <c r="L304" i="3"/>
  <c r="M304" i="3" l="1"/>
  <c r="N304" i="3"/>
  <c r="F305" i="3"/>
  <c r="G305" i="3" s="1"/>
  <c r="H305" i="3" s="1"/>
  <c r="J305" i="3" l="1"/>
  <c r="I305" i="3"/>
  <c r="K305" i="3" l="1"/>
  <c r="Q305" i="3" s="1"/>
  <c r="R305" i="3" s="1"/>
  <c r="L305" i="3"/>
  <c r="N305" i="3" l="1"/>
  <c r="M305" i="3"/>
  <c r="F306" i="3"/>
  <c r="G306" i="3" s="1"/>
  <c r="H306" i="3" s="1"/>
  <c r="I306" i="3" l="1"/>
  <c r="J306" i="3"/>
  <c r="L306" i="3" l="1"/>
  <c r="K306" i="3"/>
  <c r="Q306" i="3" s="1"/>
  <c r="R306" i="3" s="1"/>
  <c r="F307" i="3" l="1"/>
  <c r="G307" i="3" s="1"/>
  <c r="H307" i="3" s="1"/>
  <c r="N306" i="3"/>
  <c r="M306" i="3"/>
  <c r="I307" i="3" l="1"/>
  <c r="J307" i="3"/>
  <c r="L307" i="3" l="1"/>
  <c r="K307" i="3"/>
  <c r="Q307" i="3" s="1"/>
  <c r="R307" i="3" s="1"/>
  <c r="F308" i="3" l="1"/>
  <c r="G308" i="3" s="1"/>
  <c r="H308" i="3" s="1"/>
  <c r="M307" i="3"/>
  <c r="N307" i="3"/>
  <c r="I308" i="3" l="1"/>
  <c r="J308" i="3"/>
  <c r="K308" i="3" l="1"/>
  <c r="Q308" i="3" s="1"/>
  <c r="R308" i="3" s="1"/>
  <c r="L308" i="3"/>
  <c r="N308" i="3" l="1"/>
  <c r="M308" i="3"/>
  <c r="F309" i="3"/>
  <c r="G309" i="3" s="1"/>
  <c r="H309" i="3" s="1"/>
  <c r="I309" i="3" l="1"/>
  <c r="J309" i="3"/>
  <c r="K309" i="3" l="1"/>
  <c r="Q309" i="3" s="1"/>
  <c r="R309" i="3" s="1"/>
  <c r="L309" i="3"/>
  <c r="M309" i="3" l="1"/>
  <c r="N309" i="3"/>
  <c r="F310" i="3"/>
  <c r="G310" i="3" s="1"/>
  <c r="H310" i="3" s="1"/>
  <c r="J310" i="3" l="1"/>
  <c r="I310" i="3"/>
  <c r="K310" i="3" l="1"/>
  <c r="Q310" i="3" s="1"/>
  <c r="R310" i="3" s="1"/>
  <c r="L310" i="3"/>
  <c r="N310" i="3" l="1"/>
  <c r="M310" i="3"/>
  <c r="F311" i="3"/>
  <c r="G311" i="3" s="1"/>
  <c r="H311" i="3" s="1"/>
  <c r="J311" i="3" l="1"/>
  <c r="I311" i="3"/>
  <c r="K311" i="3" l="1"/>
  <c r="Q311" i="3" s="1"/>
  <c r="R311" i="3" s="1"/>
  <c r="L311" i="3"/>
  <c r="M311" i="3" l="1"/>
  <c r="N311" i="3"/>
  <c r="F312" i="3"/>
  <c r="G312" i="3" s="1"/>
  <c r="H312" i="3" s="1"/>
  <c r="I312" i="3" l="1"/>
  <c r="J312" i="3"/>
  <c r="L312" i="3" l="1"/>
  <c r="K312" i="3"/>
  <c r="Q312" i="3" s="1"/>
  <c r="R312" i="3" s="1"/>
  <c r="F313" i="3" l="1"/>
  <c r="G313" i="3" s="1"/>
  <c r="H313" i="3" s="1"/>
  <c r="M312" i="3"/>
  <c r="N312" i="3"/>
  <c r="I313" i="3" l="1"/>
  <c r="J313" i="3"/>
  <c r="K313" i="3" l="1"/>
  <c r="Q313" i="3" s="1"/>
  <c r="R313" i="3" s="1"/>
  <c r="L313" i="3"/>
  <c r="N313" i="3" l="1"/>
  <c r="M313" i="3"/>
  <c r="F314" i="3"/>
  <c r="G314" i="3" s="1"/>
  <c r="H314" i="3" s="1"/>
  <c r="I314" i="3" l="1"/>
  <c r="J314" i="3"/>
  <c r="K314" i="3" l="1"/>
  <c r="Q314" i="3" s="1"/>
  <c r="R314" i="3" s="1"/>
  <c r="L314" i="3"/>
  <c r="M314" i="3" l="1"/>
  <c r="N314" i="3"/>
  <c r="F315" i="3"/>
  <c r="G315" i="3" s="1"/>
  <c r="H315" i="3" s="1"/>
  <c r="J315" i="3" l="1"/>
  <c r="I315" i="3"/>
  <c r="L315" i="3" l="1"/>
  <c r="K315" i="3"/>
  <c r="Q315" i="3" s="1"/>
  <c r="R315" i="3" s="1"/>
  <c r="F316" i="3" l="1"/>
  <c r="G316" i="3" s="1"/>
  <c r="H316" i="3" s="1"/>
  <c r="M315" i="3"/>
  <c r="N315" i="3"/>
  <c r="I316" i="3" l="1"/>
  <c r="J316" i="3"/>
  <c r="K316" i="3" l="1"/>
  <c r="Q316" i="3" s="1"/>
  <c r="R316" i="3" s="1"/>
  <c r="L316" i="3"/>
  <c r="N316" i="3" l="1"/>
  <c r="M316" i="3"/>
  <c r="F317" i="3"/>
  <c r="G317" i="3" s="1"/>
  <c r="H317" i="3" s="1"/>
  <c r="J317" i="3" l="1"/>
  <c r="I317" i="3"/>
  <c r="L317" i="3" l="1"/>
  <c r="K317" i="3"/>
  <c r="Q317" i="3" s="1"/>
  <c r="R317" i="3" s="1"/>
  <c r="F318" i="3" l="1"/>
  <c r="G318" i="3" s="1"/>
  <c r="H318" i="3" s="1"/>
  <c r="M317" i="3"/>
  <c r="N317" i="3"/>
  <c r="I318" i="3" l="1"/>
  <c r="J318" i="3"/>
  <c r="L318" i="3" l="1"/>
  <c r="K318" i="3"/>
  <c r="Q318" i="3" s="1"/>
  <c r="R318" i="3" s="1"/>
  <c r="F319" i="3" l="1"/>
  <c r="G319" i="3" s="1"/>
  <c r="H319" i="3" s="1"/>
  <c r="M318" i="3"/>
  <c r="N318" i="3"/>
  <c r="J319" i="3" l="1"/>
  <c r="I319" i="3"/>
  <c r="L319" i="3" l="1"/>
  <c r="K319" i="3"/>
  <c r="Q319" i="3" s="1"/>
  <c r="R319" i="3" s="1"/>
  <c r="F320" i="3" l="1"/>
  <c r="G320" i="3" s="1"/>
  <c r="H320" i="3" s="1"/>
  <c r="M319" i="3"/>
  <c r="N319" i="3"/>
  <c r="I320" i="3" l="1"/>
  <c r="J320" i="3"/>
  <c r="L320" i="3" l="1"/>
  <c r="K320" i="3"/>
  <c r="Q320" i="3" s="1"/>
  <c r="R320" i="3" s="1"/>
  <c r="F321" i="3" l="1"/>
  <c r="G321" i="3" s="1"/>
  <c r="H321" i="3" s="1"/>
  <c r="N320" i="3"/>
  <c r="M320" i="3"/>
  <c r="J321" i="3" l="1"/>
  <c r="I321" i="3"/>
  <c r="L321" i="3" l="1"/>
  <c r="K321" i="3"/>
  <c r="Q321" i="3" s="1"/>
  <c r="R321" i="3" s="1"/>
  <c r="F322" i="3" l="1"/>
  <c r="G322" i="3" s="1"/>
  <c r="H322" i="3" s="1"/>
  <c r="N321" i="3"/>
  <c r="M321" i="3"/>
  <c r="J322" i="3" l="1"/>
  <c r="I322" i="3"/>
  <c r="L322" i="3" l="1"/>
  <c r="K322" i="3"/>
  <c r="Q322" i="3" s="1"/>
  <c r="R322" i="3" s="1"/>
  <c r="F323" i="3" l="1"/>
  <c r="G323" i="3" s="1"/>
  <c r="H323" i="3" s="1"/>
  <c r="M322" i="3"/>
  <c r="N322" i="3"/>
  <c r="I323" i="3" l="1"/>
  <c r="J323" i="3"/>
  <c r="L323" i="3" l="1"/>
  <c r="K323" i="3"/>
  <c r="Q323" i="3" s="1"/>
  <c r="R323" i="3" s="1"/>
  <c r="F324" i="3" l="1"/>
  <c r="G324" i="3" s="1"/>
  <c r="H324" i="3" s="1"/>
  <c r="N323" i="3"/>
  <c r="M323" i="3"/>
  <c r="I324" i="3" l="1"/>
  <c r="J324" i="3"/>
  <c r="K324" i="3" l="1"/>
  <c r="Q324" i="3" s="1"/>
  <c r="R324" i="3" s="1"/>
  <c r="L324" i="3"/>
  <c r="M324" i="3" l="1"/>
  <c r="N324" i="3"/>
  <c r="F325" i="3"/>
  <c r="G325" i="3" s="1"/>
  <c r="H325" i="3" s="1"/>
  <c r="I325" i="3" l="1"/>
  <c r="J325" i="3"/>
  <c r="L325" i="3" l="1"/>
  <c r="K325" i="3"/>
  <c r="Q325" i="3" s="1"/>
  <c r="R325" i="3" s="1"/>
  <c r="F326" i="3" l="1"/>
  <c r="G326" i="3" s="1"/>
  <c r="H326" i="3" s="1"/>
  <c r="N325" i="3"/>
  <c r="M325" i="3"/>
  <c r="J326" i="3" l="1"/>
  <c r="I326" i="3"/>
  <c r="K326" i="3" l="1"/>
  <c r="Q326" i="3" s="1"/>
  <c r="R326" i="3" s="1"/>
  <c r="L326" i="3"/>
  <c r="M326" i="3" l="1"/>
  <c r="N326" i="3"/>
  <c r="F327" i="3"/>
  <c r="G327" i="3" s="1"/>
  <c r="H327" i="3" s="1"/>
  <c r="J327" i="3" l="1"/>
  <c r="I327" i="3"/>
  <c r="K327" i="3" l="1"/>
  <c r="Q327" i="3" s="1"/>
  <c r="R327" i="3" s="1"/>
  <c r="L327" i="3"/>
  <c r="M327" i="3" l="1"/>
  <c r="N327" i="3"/>
  <c r="F328" i="3"/>
  <c r="G328" i="3" s="1"/>
  <c r="H328" i="3" s="1"/>
  <c r="I328" i="3" l="1"/>
  <c r="J328" i="3"/>
  <c r="L328" i="3" l="1"/>
  <c r="K328" i="3"/>
  <c r="Q328" i="3" s="1"/>
  <c r="R328" i="3" s="1"/>
  <c r="F329" i="3" l="1"/>
  <c r="G329" i="3" s="1"/>
  <c r="H329" i="3" s="1"/>
  <c r="N328" i="3"/>
  <c r="M328" i="3"/>
  <c r="I329" i="3" l="1"/>
  <c r="J329" i="3"/>
  <c r="L329" i="3" l="1"/>
  <c r="K329" i="3"/>
  <c r="Q329" i="3" s="1"/>
  <c r="R329" i="3" s="1"/>
  <c r="F330" i="3" l="1"/>
  <c r="G330" i="3" s="1"/>
  <c r="H330" i="3" s="1"/>
  <c r="N329" i="3"/>
  <c r="M329" i="3"/>
  <c r="I330" i="3" l="1"/>
  <c r="J330" i="3"/>
  <c r="L330" i="3" l="1"/>
  <c r="K330" i="3"/>
  <c r="Q330" i="3" s="1"/>
  <c r="R330" i="3" s="1"/>
  <c r="F331" i="3" l="1"/>
  <c r="G331" i="3" s="1"/>
  <c r="H331" i="3" s="1"/>
  <c r="M330" i="3"/>
  <c r="N330" i="3"/>
  <c r="J331" i="3" l="1"/>
  <c r="I331" i="3"/>
  <c r="L331" i="3" l="1"/>
  <c r="K331" i="3"/>
  <c r="Q331" i="3" s="1"/>
  <c r="R331" i="3" s="1"/>
  <c r="F332" i="3" l="1"/>
  <c r="G332" i="3" s="1"/>
  <c r="H332" i="3" s="1"/>
  <c r="N331" i="3"/>
  <c r="M331" i="3"/>
  <c r="I332" i="3" l="1"/>
  <c r="J332" i="3"/>
  <c r="K332" i="3" l="1"/>
  <c r="Q332" i="3" s="1"/>
  <c r="R332" i="3" s="1"/>
  <c r="L332" i="3"/>
  <c r="N332" i="3" l="1"/>
  <c r="M332" i="3"/>
  <c r="F333" i="3"/>
  <c r="G333" i="3" s="1"/>
  <c r="H333" i="3" s="1"/>
  <c r="I333" i="3" l="1"/>
  <c r="J333" i="3"/>
  <c r="K333" i="3" l="1"/>
  <c r="Q333" i="3" s="1"/>
  <c r="R333" i="3" s="1"/>
  <c r="L333" i="3"/>
  <c r="N333" i="3" l="1"/>
  <c r="M333" i="3"/>
  <c r="F334" i="3"/>
  <c r="G334" i="3" s="1"/>
  <c r="H334" i="3" s="1"/>
  <c r="I334" i="3" l="1"/>
  <c r="J334" i="3"/>
  <c r="L334" i="3" l="1"/>
  <c r="K334" i="3"/>
  <c r="Q334" i="3" s="1"/>
  <c r="R334" i="3" s="1"/>
  <c r="F335" i="3" l="1"/>
  <c r="G335" i="3" s="1"/>
  <c r="H335" i="3" s="1"/>
  <c r="M334" i="3"/>
  <c r="N334" i="3"/>
  <c r="J335" i="3" l="1"/>
  <c r="I335" i="3"/>
  <c r="K335" i="3" l="1"/>
  <c r="Q335" i="3" s="1"/>
  <c r="R335" i="3" s="1"/>
  <c r="L335" i="3"/>
  <c r="M335" i="3" l="1"/>
  <c r="N335" i="3"/>
  <c r="F336" i="3"/>
  <c r="G336" i="3" s="1"/>
  <c r="H336" i="3" s="1"/>
  <c r="J336" i="3" l="1"/>
  <c r="I336" i="3"/>
  <c r="K336" i="3" l="1"/>
  <c r="Q336" i="3" s="1"/>
  <c r="R336" i="3" s="1"/>
  <c r="L336" i="3"/>
  <c r="N336" i="3" l="1"/>
  <c r="M336" i="3"/>
  <c r="F337" i="3"/>
  <c r="G337" i="3" s="1"/>
  <c r="H337" i="3" s="1"/>
  <c r="I337" i="3" l="1"/>
  <c r="J337" i="3"/>
  <c r="L337" i="3" l="1"/>
  <c r="K337" i="3"/>
  <c r="Q337" i="3" s="1"/>
  <c r="R337" i="3" s="1"/>
  <c r="F338" i="3" l="1"/>
  <c r="G338" i="3" s="1"/>
  <c r="H338" i="3" s="1"/>
  <c r="M337" i="3"/>
  <c r="N337" i="3"/>
  <c r="J338" i="3" l="1"/>
  <c r="I338" i="3"/>
  <c r="L338" i="3" l="1"/>
  <c r="K338" i="3"/>
  <c r="Q338" i="3" s="1"/>
  <c r="R338" i="3" s="1"/>
  <c r="F339" i="3" l="1"/>
  <c r="G339" i="3" s="1"/>
  <c r="H339" i="3" s="1"/>
  <c r="N338" i="3"/>
  <c r="M338" i="3"/>
  <c r="J339" i="3" l="1"/>
  <c r="I339" i="3"/>
  <c r="K339" i="3" l="1"/>
  <c r="Q339" i="3" s="1"/>
  <c r="R339" i="3" s="1"/>
  <c r="L339" i="3"/>
  <c r="M339" i="3" l="1"/>
  <c r="N339" i="3"/>
  <c r="F340" i="3"/>
  <c r="G340" i="3" s="1"/>
  <c r="H340" i="3" s="1"/>
  <c r="J340" i="3" l="1"/>
  <c r="I340" i="3"/>
  <c r="L340" i="3" l="1"/>
  <c r="K340" i="3"/>
  <c r="Q340" i="3" s="1"/>
  <c r="R340" i="3" s="1"/>
  <c r="F341" i="3" l="1"/>
  <c r="G341" i="3" s="1"/>
  <c r="H341" i="3" s="1"/>
  <c r="M340" i="3"/>
  <c r="N340" i="3"/>
  <c r="J341" i="3" l="1"/>
  <c r="I341" i="3"/>
  <c r="K341" i="3" l="1"/>
  <c r="Q341" i="3" s="1"/>
  <c r="R341" i="3" s="1"/>
  <c r="L341" i="3"/>
  <c r="M341" i="3" l="1"/>
  <c r="N341" i="3"/>
  <c r="F342" i="3"/>
  <c r="G342" i="3" s="1"/>
  <c r="H342" i="3" s="1"/>
  <c r="J342" i="3" l="1"/>
  <c r="I342" i="3"/>
  <c r="L342" i="3" l="1"/>
  <c r="K342" i="3"/>
  <c r="Q342" i="3" s="1"/>
  <c r="R342" i="3" s="1"/>
  <c r="F343" i="3" l="1"/>
  <c r="G343" i="3" s="1"/>
  <c r="H343" i="3" s="1"/>
  <c r="N342" i="3"/>
  <c r="M342" i="3"/>
  <c r="J343" i="3" l="1"/>
  <c r="I343" i="3"/>
  <c r="K343" i="3" l="1"/>
  <c r="Q343" i="3" s="1"/>
  <c r="R343" i="3" s="1"/>
  <c r="L343" i="3"/>
  <c r="N343" i="3" l="1"/>
  <c r="M343" i="3"/>
  <c r="F344" i="3"/>
  <c r="G344" i="3" s="1"/>
  <c r="H344" i="3" s="1"/>
  <c r="J344" i="3" l="1"/>
  <c r="I344" i="3"/>
  <c r="L344" i="3" l="1"/>
  <c r="K344" i="3"/>
  <c r="Q344" i="3" s="1"/>
  <c r="R344" i="3" s="1"/>
  <c r="F345" i="3" l="1"/>
  <c r="G345" i="3" s="1"/>
  <c r="H345" i="3" s="1"/>
  <c r="N344" i="3"/>
  <c r="M344" i="3"/>
  <c r="I345" i="3" l="1"/>
  <c r="J345" i="3"/>
  <c r="L345" i="3" l="1"/>
  <c r="K345" i="3"/>
  <c r="Q345" i="3" s="1"/>
  <c r="R345" i="3" s="1"/>
  <c r="F346" i="3" l="1"/>
  <c r="G346" i="3" s="1"/>
  <c r="H346" i="3" s="1"/>
  <c r="N345" i="3"/>
  <c r="M345" i="3"/>
  <c r="I346" i="3" l="1"/>
  <c r="J346" i="3"/>
  <c r="L346" i="3" l="1"/>
  <c r="K346" i="3"/>
  <c r="Q346" i="3" s="1"/>
  <c r="R346" i="3" s="1"/>
  <c r="F347" i="3" l="1"/>
  <c r="G347" i="3" s="1"/>
  <c r="H347" i="3" s="1"/>
  <c r="N346" i="3"/>
  <c r="M346" i="3"/>
  <c r="J347" i="3" l="1"/>
  <c r="I347" i="3"/>
  <c r="K347" i="3" l="1"/>
  <c r="Q347" i="3" s="1"/>
  <c r="R347" i="3" s="1"/>
  <c r="L347" i="3"/>
  <c r="M347" i="3" l="1"/>
  <c r="N347" i="3"/>
  <c r="F348" i="3"/>
  <c r="G348" i="3" s="1"/>
  <c r="H348" i="3" s="1"/>
  <c r="I348" i="3" l="1"/>
  <c r="J348" i="3"/>
  <c r="L348" i="3" l="1"/>
  <c r="K348" i="3"/>
  <c r="Q348" i="3" s="1"/>
  <c r="R348" i="3" s="1"/>
  <c r="F349" i="3" l="1"/>
  <c r="G349" i="3" s="1"/>
  <c r="H349" i="3" s="1"/>
  <c r="M348" i="3"/>
  <c r="N348" i="3"/>
  <c r="J349" i="3" l="1"/>
  <c r="I349" i="3"/>
  <c r="L349" i="3" l="1"/>
  <c r="K349" i="3"/>
  <c r="Q349" i="3" s="1"/>
  <c r="R349" i="3" s="1"/>
  <c r="F350" i="3" l="1"/>
  <c r="G350" i="3" s="1"/>
  <c r="H350" i="3" s="1"/>
  <c r="N349" i="3"/>
  <c r="M349" i="3"/>
  <c r="J350" i="3" l="1"/>
  <c r="I350" i="3"/>
  <c r="L350" i="3" l="1"/>
  <c r="K350" i="3"/>
  <c r="Q350" i="3" s="1"/>
  <c r="R350" i="3" s="1"/>
  <c r="F351" i="3" l="1"/>
  <c r="G351" i="3" s="1"/>
  <c r="H351" i="3" s="1"/>
  <c r="M350" i="3"/>
  <c r="N350" i="3"/>
  <c r="I351" i="3" l="1"/>
  <c r="J351" i="3"/>
  <c r="L351" i="3" l="1"/>
  <c r="K351" i="3"/>
  <c r="Q351" i="3" s="1"/>
  <c r="R351" i="3" s="1"/>
  <c r="F352" i="3" l="1"/>
  <c r="G352" i="3" s="1"/>
  <c r="H352" i="3" s="1"/>
  <c r="M351" i="3"/>
  <c r="N351" i="3"/>
  <c r="J352" i="3" l="1"/>
  <c r="I352" i="3"/>
  <c r="L352" i="3" l="1"/>
  <c r="K352" i="3"/>
  <c r="Q352" i="3" s="1"/>
  <c r="R352" i="3" s="1"/>
  <c r="F353" i="3" l="1"/>
  <c r="G353" i="3" s="1"/>
  <c r="H353" i="3" s="1"/>
  <c r="M352" i="3"/>
  <c r="N352" i="3"/>
  <c r="J353" i="3" l="1"/>
  <c r="I353" i="3"/>
  <c r="L353" i="3" l="1"/>
  <c r="K353" i="3"/>
  <c r="Q353" i="3" s="1"/>
  <c r="R353" i="3" s="1"/>
  <c r="F354" i="3" l="1"/>
  <c r="G354" i="3" s="1"/>
  <c r="H354" i="3" s="1"/>
  <c r="M353" i="3"/>
  <c r="N353" i="3"/>
  <c r="J354" i="3" l="1"/>
  <c r="I354" i="3"/>
  <c r="L354" i="3" l="1"/>
  <c r="K354" i="3"/>
  <c r="Q354" i="3" s="1"/>
  <c r="R354" i="3" s="1"/>
  <c r="F355" i="3" l="1"/>
  <c r="G355" i="3" s="1"/>
  <c r="H355" i="3" s="1"/>
  <c r="N354" i="3"/>
  <c r="M354" i="3"/>
  <c r="J355" i="3" l="1"/>
  <c r="I355" i="3"/>
  <c r="L355" i="3" l="1"/>
  <c r="K355" i="3"/>
  <c r="Q355" i="3" s="1"/>
  <c r="R355" i="3" s="1"/>
  <c r="F356" i="3" l="1"/>
  <c r="G356" i="3" s="1"/>
  <c r="H356" i="3" s="1"/>
  <c r="N355" i="3"/>
  <c r="M355" i="3"/>
  <c r="I356" i="3" l="1"/>
  <c r="J356" i="3"/>
  <c r="L356" i="3" l="1"/>
  <c r="K356" i="3"/>
  <c r="Q356" i="3" s="1"/>
  <c r="R356" i="3" s="1"/>
  <c r="F357" i="3" l="1"/>
  <c r="G357" i="3" s="1"/>
  <c r="H357" i="3" s="1"/>
  <c r="M356" i="3"/>
  <c r="N356" i="3"/>
  <c r="I357" i="3" l="1"/>
  <c r="J357" i="3"/>
  <c r="L357" i="3" l="1"/>
  <c r="K357" i="3"/>
  <c r="Q357" i="3" s="1"/>
  <c r="R357" i="3" s="1"/>
  <c r="F358" i="3" l="1"/>
  <c r="G358" i="3" s="1"/>
  <c r="H358" i="3" s="1"/>
  <c r="N357" i="3"/>
  <c r="M357" i="3"/>
  <c r="I358" i="3" l="1"/>
  <c r="J358" i="3"/>
  <c r="L358" i="3" l="1"/>
  <c r="K358" i="3"/>
  <c r="Q358" i="3" s="1"/>
  <c r="R358" i="3" s="1"/>
  <c r="F359" i="3" l="1"/>
  <c r="G359" i="3" s="1"/>
  <c r="H359" i="3" s="1"/>
  <c r="N358" i="3"/>
  <c r="M358" i="3"/>
  <c r="J359" i="3" l="1"/>
  <c r="I359" i="3"/>
  <c r="L359" i="3" l="1"/>
  <c r="K359" i="3"/>
  <c r="Q359" i="3" s="1"/>
  <c r="R359" i="3" s="1"/>
  <c r="F360" i="3" l="1"/>
  <c r="G360" i="3" s="1"/>
  <c r="H360" i="3" s="1"/>
  <c r="N359" i="3"/>
  <c r="M359" i="3"/>
  <c r="J360" i="3" l="1"/>
  <c r="I360" i="3"/>
  <c r="L360" i="3" l="1"/>
  <c r="K360" i="3"/>
  <c r="Q360" i="3" s="1"/>
  <c r="R360" i="3" s="1"/>
  <c r="F361" i="3" l="1"/>
  <c r="G361" i="3" s="1"/>
  <c r="H361" i="3" s="1"/>
  <c r="M360" i="3"/>
  <c r="N360" i="3"/>
  <c r="J361" i="3" l="1"/>
  <c r="I361" i="3"/>
  <c r="K361" i="3" l="1"/>
  <c r="Q361" i="3" s="1"/>
  <c r="R361" i="3" s="1"/>
  <c r="L361" i="3"/>
  <c r="M361" i="3" l="1"/>
  <c r="N361" i="3"/>
  <c r="F362" i="3"/>
  <c r="G362" i="3" s="1"/>
  <c r="H362" i="3" s="1"/>
  <c r="I362" i="3" l="1"/>
  <c r="J362" i="3"/>
  <c r="L362" i="3" l="1"/>
  <c r="K362" i="3"/>
  <c r="Q362" i="3" s="1"/>
  <c r="R362" i="3" s="1"/>
  <c r="F363" i="3" l="1"/>
  <c r="G363" i="3" s="1"/>
  <c r="H363" i="3" s="1"/>
  <c r="N362" i="3"/>
  <c r="M362" i="3"/>
  <c r="J363" i="3" l="1"/>
  <c r="I363" i="3"/>
  <c r="L363" i="3" l="1"/>
  <c r="K363" i="3"/>
  <c r="Q363" i="3" s="1"/>
  <c r="R363" i="3" s="1"/>
  <c r="F364" i="3" l="1"/>
  <c r="G364" i="3" s="1"/>
  <c r="H364" i="3" s="1"/>
  <c r="M363" i="3"/>
  <c r="N363" i="3"/>
  <c r="I364" i="3" l="1"/>
  <c r="J364" i="3"/>
  <c r="K364" i="3" l="1"/>
  <c r="Q364" i="3" s="1"/>
  <c r="R364" i="3" s="1"/>
  <c r="L364" i="3"/>
  <c r="M364" i="3" l="1"/>
  <c r="N364" i="3"/>
  <c r="F365" i="3"/>
  <c r="G365" i="3" s="1"/>
  <c r="H365" i="3" s="1"/>
  <c r="J365" i="3" l="1"/>
  <c r="I365" i="3"/>
  <c r="L365" i="3" l="1"/>
  <c r="K365" i="3"/>
  <c r="Q365" i="3" s="1"/>
  <c r="R365" i="3" s="1"/>
  <c r="F366" i="3" l="1"/>
  <c r="G366" i="3" s="1"/>
  <c r="H366" i="3" s="1"/>
  <c r="M365" i="3"/>
  <c r="N365" i="3"/>
  <c r="J366" i="3" l="1"/>
  <c r="I366" i="3"/>
  <c r="L366" i="3" l="1"/>
  <c r="K366" i="3"/>
  <c r="Q366" i="3" s="1"/>
  <c r="R366" i="3" s="1"/>
  <c r="F367" i="3" l="1"/>
  <c r="G367" i="3" s="1"/>
  <c r="H367" i="3" s="1"/>
  <c r="M366" i="3"/>
  <c r="N366" i="3"/>
  <c r="J367" i="3" l="1"/>
  <c r="I367" i="3"/>
  <c r="L367" i="3" l="1"/>
  <c r="K367" i="3"/>
  <c r="Q367" i="3" s="1"/>
  <c r="R367" i="3" s="1"/>
  <c r="F368" i="3" l="1"/>
  <c r="G368" i="3" s="1"/>
  <c r="H368" i="3" s="1"/>
  <c r="N367" i="3"/>
  <c r="M367" i="3"/>
  <c r="I368" i="3" l="1"/>
  <c r="J368" i="3"/>
  <c r="L368" i="3" l="1"/>
  <c r="K368" i="3"/>
  <c r="Q368" i="3" s="1"/>
  <c r="R368" i="3" s="1"/>
  <c r="F369" i="3" l="1"/>
  <c r="G369" i="3" s="1"/>
  <c r="H369" i="3" s="1"/>
  <c r="M368" i="3"/>
  <c r="N368" i="3"/>
  <c r="J369" i="3" l="1"/>
  <c r="I369" i="3"/>
  <c r="L369" i="3" l="1"/>
  <c r="K369" i="3"/>
  <c r="Q369" i="3" s="1"/>
  <c r="R369" i="3" s="1"/>
  <c r="F370" i="3" l="1"/>
  <c r="G370" i="3" s="1"/>
  <c r="H370" i="3" s="1"/>
  <c r="M369" i="3"/>
  <c r="N369" i="3"/>
  <c r="I370" i="3" l="1"/>
  <c r="J370" i="3"/>
  <c r="L370" i="3" l="1"/>
  <c r="K370" i="3"/>
  <c r="Q370" i="3" s="1"/>
  <c r="R370" i="3" s="1"/>
  <c r="F371" i="3" l="1"/>
  <c r="G371" i="3" s="1"/>
  <c r="H371" i="3" s="1"/>
  <c r="N370" i="3"/>
  <c r="M370" i="3"/>
  <c r="J371" i="3" l="1"/>
  <c r="I371" i="3"/>
  <c r="L371" i="3" l="1"/>
  <c r="K371" i="3"/>
  <c r="Q371" i="3" s="1"/>
  <c r="R371" i="3" s="1"/>
  <c r="F372" i="3" l="1"/>
  <c r="G372" i="3" s="1"/>
  <c r="H372" i="3" s="1"/>
  <c r="N371" i="3"/>
  <c r="M371" i="3"/>
  <c r="I372" i="3" l="1"/>
  <c r="J372" i="3"/>
  <c r="L372" i="3" l="1"/>
  <c r="K372" i="3"/>
  <c r="Q372" i="3" s="1"/>
  <c r="R372" i="3" s="1"/>
  <c r="F373" i="3" l="1"/>
  <c r="G373" i="3" s="1"/>
  <c r="H373" i="3" s="1"/>
  <c r="M372" i="3"/>
  <c r="N372" i="3"/>
  <c r="J373" i="3" l="1"/>
  <c r="I373" i="3"/>
  <c r="K373" i="3" l="1"/>
  <c r="Q373" i="3" s="1"/>
  <c r="R373" i="3" s="1"/>
  <c r="L373" i="3"/>
  <c r="N373" i="3" l="1"/>
  <c r="M373" i="3"/>
  <c r="F374" i="3"/>
  <c r="G374" i="3" s="1"/>
  <c r="H374" i="3" s="1"/>
  <c r="J374" i="3" l="1"/>
  <c r="I374" i="3"/>
  <c r="K374" i="3" l="1"/>
  <c r="Q374" i="3" s="1"/>
  <c r="R374" i="3" s="1"/>
  <c r="L374" i="3"/>
  <c r="N374" i="3" l="1"/>
  <c r="M374" i="3"/>
  <c r="F375" i="3"/>
  <c r="G375" i="3" s="1"/>
  <c r="H375" i="3" s="1"/>
  <c r="J375" i="3" l="1"/>
  <c r="I375" i="3"/>
  <c r="L375" i="3" l="1"/>
  <c r="K375" i="3"/>
  <c r="Q375" i="3" s="1"/>
  <c r="R375" i="3" s="1"/>
  <c r="F376" i="3" l="1"/>
  <c r="G376" i="3" s="1"/>
  <c r="H376" i="3" s="1"/>
  <c r="M375" i="3"/>
  <c r="N375" i="3"/>
  <c r="I376" i="3" l="1"/>
  <c r="J376" i="3"/>
  <c r="L376" i="3" l="1"/>
  <c r="K376" i="3"/>
  <c r="Q376" i="3" s="1"/>
  <c r="R376" i="3" s="1"/>
  <c r="F377" i="3" l="1"/>
  <c r="G377" i="3" s="1"/>
  <c r="H377" i="3" s="1"/>
  <c r="M376" i="3"/>
  <c r="N376" i="3"/>
  <c r="I377" i="3" l="1"/>
  <c r="J377" i="3"/>
  <c r="K377" i="3" l="1"/>
  <c r="Q377" i="3" s="1"/>
  <c r="R377" i="3" s="1"/>
  <c r="L377" i="3"/>
  <c r="M377" i="3" l="1"/>
  <c r="N377" i="3"/>
  <c r="F378" i="3"/>
  <c r="G378" i="3" s="1"/>
  <c r="H378" i="3" s="1"/>
  <c r="I378" i="3" l="1"/>
  <c r="J378" i="3"/>
  <c r="K378" i="3" l="1"/>
  <c r="Q378" i="3" s="1"/>
  <c r="R378" i="3" s="1"/>
  <c r="L378" i="3"/>
  <c r="M378" i="3" l="1"/>
  <c r="N378" i="3"/>
  <c r="F379" i="3"/>
  <c r="G379" i="3" s="1"/>
  <c r="H379" i="3" s="1"/>
  <c r="J379" i="3" l="1"/>
  <c r="I379" i="3"/>
  <c r="K379" i="3" l="1"/>
  <c r="Q379" i="3" s="1"/>
  <c r="R379" i="3" s="1"/>
  <c r="L379" i="3"/>
  <c r="M379" i="3" l="1"/>
  <c r="N379" i="3"/>
  <c r="F380" i="3"/>
  <c r="G380" i="3" s="1"/>
  <c r="H380" i="3" s="1"/>
  <c r="I380" i="3" l="1"/>
  <c r="J380" i="3"/>
  <c r="L380" i="3" l="1"/>
  <c r="K380" i="3"/>
  <c r="Q380" i="3" s="1"/>
  <c r="R380" i="3" s="1"/>
  <c r="F381" i="3" l="1"/>
  <c r="G381" i="3" s="1"/>
  <c r="H381" i="3" s="1"/>
  <c r="N380" i="3"/>
  <c r="M380" i="3"/>
  <c r="I381" i="3" l="1"/>
  <c r="J381" i="3"/>
  <c r="K381" i="3" l="1"/>
  <c r="Q381" i="3" s="1"/>
  <c r="R381" i="3" s="1"/>
  <c r="L381" i="3"/>
  <c r="M381" i="3" l="1"/>
  <c r="N381" i="3"/>
  <c r="F382" i="3"/>
  <c r="G382" i="3" s="1"/>
  <c r="H382" i="3" s="1"/>
  <c r="J382" i="3" l="1"/>
  <c r="I382" i="3"/>
  <c r="L382" i="3" l="1"/>
  <c r="K382" i="3"/>
  <c r="Q382" i="3" s="1"/>
  <c r="R382" i="3" s="1"/>
  <c r="F383" i="3" l="1"/>
  <c r="G383" i="3" s="1"/>
  <c r="H383" i="3" s="1"/>
  <c r="M382" i="3"/>
  <c r="N382" i="3"/>
  <c r="J383" i="3" l="1"/>
  <c r="I383" i="3"/>
  <c r="L383" i="3" l="1"/>
  <c r="K383" i="3"/>
  <c r="Q383" i="3" s="1"/>
  <c r="R383" i="3" s="1"/>
  <c r="F384" i="3" l="1"/>
  <c r="G384" i="3" s="1"/>
  <c r="H384" i="3" s="1"/>
  <c r="N383" i="3"/>
  <c r="M383" i="3"/>
  <c r="J384" i="3" l="1"/>
  <c r="I384" i="3"/>
  <c r="K384" i="3" l="1"/>
  <c r="Q384" i="3" s="1"/>
  <c r="R384" i="3" s="1"/>
  <c r="L384" i="3"/>
  <c r="M384" i="3" l="1"/>
  <c r="N384" i="3"/>
  <c r="F385" i="3"/>
  <c r="G385" i="3" s="1"/>
  <c r="H385" i="3" s="1"/>
  <c r="I385" i="3" l="1"/>
  <c r="J385" i="3"/>
  <c r="K385" i="3" l="1"/>
  <c r="Q385" i="3" s="1"/>
  <c r="R385" i="3" s="1"/>
  <c r="L385" i="3"/>
  <c r="N385" i="3" l="1"/>
  <c r="M385" i="3"/>
  <c r="F386" i="3"/>
  <c r="G386" i="3" s="1"/>
  <c r="H386" i="3" s="1"/>
  <c r="I386" i="3" l="1"/>
  <c r="J386" i="3"/>
  <c r="K386" i="3" l="1"/>
  <c r="Q386" i="3" s="1"/>
  <c r="R386" i="3" s="1"/>
  <c r="L386" i="3"/>
  <c r="M386" i="3" l="1"/>
  <c r="N386" i="3"/>
  <c r="F387" i="3"/>
  <c r="G387" i="3" s="1"/>
  <c r="H387" i="3" s="1"/>
  <c r="I387" i="3" l="1"/>
  <c r="J387" i="3"/>
  <c r="K387" i="3" l="1"/>
  <c r="Q387" i="3" s="1"/>
  <c r="R387" i="3" s="1"/>
  <c r="L387" i="3"/>
  <c r="N387" i="3" l="1"/>
  <c r="M387" i="3"/>
  <c r="F388" i="3"/>
  <c r="G388" i="3" s="1"/>
  <c r="H388" i="3" s="1"/>
  <c r="J388" i="3" l="1"/>
  <c r="I388" i="3"/>
  <c r="L388" i="3" l="1"/>
  <c r="K388" i="3"/>
  <c r="Q388" i="3" s="1"/>
  <c r="R388" i="3" s="1"/>
  <c r="F389" i="3" l="1"/>
  <c r="G389" i="3" s="1"/>
  <c r="H389" i="3" s="1"/>
  <c r="N388" i="3"/>
  <c r="M388" i="3"/>
  <c r="I389" i="3" l="1"/>
  <c r="J389" i="3"/>
  <c r="K389" i="3" l="1"/>
  <c r="Q389" i="3" s="1"/>
  <c r="R389" i="3" s="1"/>
  <c r="L389" i="3"/>
  <c r="N389" i="3" l="1"/>
  <c r="M389" i="3"/>
  <c r="F390" i="3"/>
  <c r="G390" i="3" s="1"/>
  <c r="H390" i="3" s="1"/>
  <c r="I390" i="3" l="1"/>
  <c r="J390" i="3"/>
  <c r="K390" i="3" l="1"/>
  <c r="Q390" i="3" s="1"/>
  <c r="R390" i="3" s="1"/>
  <c r="L390" i="3"/>
  <c r="M390" i="3" l="1"/>
  <c r="N390" i="3"/>
  <c r="F391" i="3"/>
  <c r="G391" i="3" s="1"/>
  <c r="H391" i="3" s="1"/>
  <c r="I391" i="3" l="1"/>
  <c r="J391" i="3"/>
  <c r="K391" i="3" l="1"/>
  <c r="Q391" i="3" s="1"/>
  <c r="R391" i="3" s="1"/>
  <c r="L391" i="3"/>
  <c r="F392" i="3" l="1"/>
  <c r="G392" i="3" s="1"/>
  <c r="H392" i="3" s="1"/>
  <c r="N391" i="3"/>
  <c r="M391" i="3"/>
  <c r="I392" i="3" l="1"/>
  <c r="J392" i="3"/>
  <c r="L392" i="3" l="1"/>
  <c r="K392" i="3"/>
  <c r="Q392" i="3" s="1"/>
  <c r="R392" i="3" s="1"/>
  <c r="F393" i="3" l="1"/>
  <c r="G393" i="3" s="1"/>
  <c r="H393" i="3" s="1"/>
  <c r="N392" i="3"/>
  <c r="M392" i="3"/>
  <c r="J393" i="3" l="1"/>
  <c r="I393" i="3"/>
  <c r="L393" i="3" l="1"/>
  <c r="K393" i="3"/>
  <c r="Q393" i="3" s="1"/>
  <c r="R393" i="3" s="1"/>
  <c r="N393" i="3" l="1"/>
  <c r="M393" i="3"/>
  <c r="F394" i="3"/>
  <c r="G394" i="3" s="1"/>
  <c r="H394" i="3" s="1"/>
  <c r="I394" i="3" l="1"/>
  <c r="J394" i="3"/>
  <c r="L394" i="3" l="1"/>
  <c r="K394" i="3"/>
  <c r="Q394" i="3" s="1"/>
  <c r="R394" i="3" s="1"/>
  <c r="F395" i="3" l="1"/>
  <c r="G395" i="3" s="1"/>
  <c r="H395" i="3" s="1"/>
  <c r="N394" i="3"/>
  <c r="M394" i="3"/>
  <c r="J395" i="3" l="1"/>
  <c r="I395" i="3"/>
  <c r="L395" i="3" l="1"/>
  <c r="K395" i="3"/>
  <c r="Q395" i="3" s="1"/>
  <c r="R395" i="3" s="1"/>
  <c r="F396" i="3" l="1"/>
  <c r="G396" i="3" s="1"/>
  <c r="H396" i="3" s="1"/>
  <c r="N395" i="3"/>
  <c r="M395" i="3"/>
  <c r="I396" i="3" l="1"/>
  <c r="J396" i="3"/>
  <c r="L396" i="3" l="1"/>
  <c r="K396" i="3"/>
  <c r="Q396" i="3" s="1"/>
  <c r="R396" i="3" s="1"/>
  <c r="F397" i="3" l="1"/>
  <c r="G397" i="3" s="1"/>
  <c r="H397" i="3" s="1"/>
  <c r="M396" i="3"/>
  <c r="N396" i="3"/>
  <c r="I397" i="3" l="1"/>
  <c r="J397" i="3"/>
  <c r="K397" i="3" l="1"/>
  <c r="Q397" i="3" s="1"/>
  <c r="R397" i="3" s="1"/>
  <c r="L397" i="3"/>
  <c r="N397" i="3" l="1"/>
  <c r="M397" i="3"/>
  <c r="F398" i="3"/>
  <c r="G398" i="3" s="1"/>
  <c r="H398" i="3" s="1"/>
  <c r="J398" i="3" l="1"/>
  <c r="I398" i="3"/>
  <c r="L398" i="3" l="1"/>
  <c r="K398" i="3"/>
  <c r="Q398" i="3" s="1"/>
  <c r="R398" i="3" s="1"/>
  <c r="F399" i="3" l="1"/>
  <c r="G399" i="3" s="1"/>
  <c r="H399" i="3" s="1"/>
  <c r="N398" i="3"/>
  <c r="M398" i="3"/>
  <c r="I399" i="3" l="1"/>
  <c r="J399" i="3"/>
  <c r="K399" i="3" l="1"/>
  <c r="Q399" i="3" s="1"/>
  <c r="R399" i="3" s="1"/>
  <c r="L399" i="3"/>
  <c r="F400" i="3" l="1"/>
  <c r="G400" i="3" s="1"/>
  <c r="H400" i="3" s="1"/>
  <c r="M399" i="3"/>
  <c r="N399" i="3"/>
  <c r="I400" i="3" l="1"/>
  <c r="J400" i="3"/>
  <c r="K400" i="3" l="1"/>
  <c r="Q400" i="3" s="1"/>
  <c r="R400" i="3" s="1"/>
  <c r="L400" i="3"/>
  <c r="M400" i="3" l="1"/>
  <c r="N400" i="3"/>
  <c r="F401" i="3"/>
  <c r="G401" i="3" s="1"/>
  <c r="H401" i="3" s="1"/>
  <c r="I401" i="3" l="1"/>
  <c r="J401" i="3"/>
  <c r="K401" i="3" l="1"/>
  <c r="Q401" i="3" s="1"/>
  <c r="R401" i="3" s="1"/>
  <c r="L401" i="3"/>
  <c r="M401" i="3" l="1"/>
  <c r="N401" i="3"/>
  <c r="F402" i="3"/>
  <c r="G402" i="3" s="1"/>
  <c r="H402" i="3" s="1"/>
  <c r="J402" i="3" l="1"/>
  <c r="I402" i="3"/>
  <c r="L402" i="3" l="1"/>
  <c r="K402" i="3"/>
  <c r="Q402" i="3" s="1"/>
  <c r="R402" i="3" s="1"/>
  <c r="F403" i="3" l="1"/>
  <c r="G403" i="3" s="1"/>
  <c r="H403" i="3" s="1"/>
  <c r="M402" i="3"/>
  <c r="N402" i="3"/>
  <c r="J403" i="3" l="1"/>
  <c r="I403" i="3"/>
  <c r="L403" i="3" l="1"/>
  <c r="K403" i="3"/>
  <c r="Q403" i="3" s="1"/>
  <c r="R403" i="3" s="1"/>
  <c r="M403" i="3" l="1"/>
  <c r="N403" i="3"/>
  <c r="F404" i="3"/>
  <c r="G404" i="3" s="1"/>
  <c r="H404" i="3" s="1"/>
  <c r="I404" i="3" l="1"/>
  <c r="J404" i="3"/>
  <c r="L404" i="3" l="1"/>
  <c r="K404" i="3"/>
  <c r="Q404" i="3" s="1"/>
  <c r="R404" i="3" s="1"/>
  <c r="F405" i="3" l="1"/>
  <c r="G405" i="3" s="1"/>
  <c r="H405" i="3" s="1"/>
  <c r="M404" i="3"/>
  <c r="N404" i="3"/>
  <c r="I405" i="3" l="1"/>
  <c r="J405" i="3"/>
  <c r="L405" i="3" l="1"/>
  <c r="K405" i="3"/>
  <c r="Q405" i="3" s="1"/>
  <c r="R405" i="3" s="1"/>
  <c r="F406" i="3" l="1"/>
  <c r="G406" i="3" s="1"/>
  <c r="H406" i="3" s="1"/>
  <c r="N405" i="3"/>
  <c r="M405" i="3"/>
  <c r="I406" i="3" l="1"/>
  <c r="J406" i="3"/>
  <c r="L406" i="3" l="1"/>
  <c r="K406" i="3"/>
  <c r="Q406" i="3" s="1"/>
  <c r="R406" i="3" s="1"/>
  <c r="F407" i="3" l="1"/>
  <c r="G407" i="3" s="1"/>
  <c r="H407" i="3" s="1"/>
  <c r="M406" i="3"/>
  <c r="N406" i="3"/>
  <c r="J407" i="3" l="1"/>
  <c r="I407" i="3"/>
  <c r="K407" i="3" l="1"/>
  <c r="Q407" i="3" s="1"/>
  <c r="R407" i="3" s="1"/>
  <c r="L407" i="3"/>
  <c r="N407" i="3" l="1"/>
  <c r="M407" i="3"/>
  <c r="F408" i="3"/>
  <c r="G408" i="3" s="1"/>
  <c r="H408" i="3" s="1"/>
  <c r="I408" i="3" l="1"/>
  <c r="J408" i="3"/>
  <c r="L408" i="3" l="1"/>
  <c r="K408" i="3"/>
  <c r="Q408" i="3" s="1"/>
  <c r="R408" i="3" s="1"/>
  <c r="F409" i="3" l="1"/>
  <c r="G409" i="3" s="1"/>
  <c r="H409" i="3" s="1"/>
  <c r="M408" i="3"/>
  <c r="N408" i="3"/>
  <c r="J409" i="3" l="1"/>
  <c r="I409" i="3"/>
  <c r="L409" i="3" l="1"/>
  <c r="K409" i="3"/>
  <c r="Q409" i="3" s="1"/>
  <c r="R409" i="3" s="1"/>
  <c r="F410" i="3" l="1"/>
  <c r="G410" i="3" s="1"/>
  <c r="H410" i="3" s="1"/>
  <c r="N409" i="3"/>
  <c r="M409" i="3"/>
  <c r="J410" i="3" l="1"/>
  <c r="I410" i="3"/>
  <c r="K410" i="3" l="1"/>
  <c r="Q410" i="3" s="1"/>
  <c r="R410" i="3" s="1"/>
  <c r="L410" i="3"/>
  <c r="M410" i="3" l="1"/>
  <c r="N410" i="3"/>
  <c r="F411" i="3"/>
  <c r="G411" i="3" s="1"/>
  <c r="H411" i="3" s="1"/>
  <c r="J411" i="3" l="1"/>
  <c r="I411" i="3"/>
  <c r="L411" i="3" l="1"/>
  <c r="K411" i="3"/>
  <c r="Q411" i="3" s="1"/>
  <c r="R411" i="3" s="1"/>
  <c r="N411" i="3" l="1"/>
  <c r="M411" i="3"/>
  <c r="F412" i="3"/>
  <c r="G412" i="3" s="1"/>
  <c r="H412" i="3" s="1"/>
  <c r="J412" i="3" l="1"/>
  <c r="I412" i="3"/>
  <c r="L412" i="3" l="1"/>
  <c r="K412" i="3"/>
  <c r="Q412" i="3" s="1"/>
  <c r="R412" i="3" s="1"/>
  <c r="F413" i="3" l="1"/>
  <c r="G413" i="3" s="1"/>
  <c r="H413" i="3" s="1"/>
  <c r="M412" i="3"/>
  <c r="N412" i="3"/>
  <c r="J413" i="3" l="1"/>
  <c r="I413" i="3"/>
  <c r="L413" i="3" l="1"/>
  <c r="K413" i="3"/>
  <c r="Q413" i="3" s="1"/>
  <c r="R413" i="3" s="1"/>
  <c r="F414" i="3" l="1"/>
  <c r="G414" i="3" s="1"/>
  <c r="H414" i="3" s="1"/>
  <c r="N413" i="3"/>
  <c r="M413" i="3"/>
  <c r="I414" i="3" l="1"/>
  <c r="J414" i="3"/>
  <c r="K414" i="3" l="1"/>
  <c r="Q414" i="3" s="1"/>
  <c r="R414" i="3" s="1"/>
  <c r="L414" i="3"/>
  <c r="M414" i="3" l="1"/>
  <c r="N414" i="3"/>
  <c r="F415" i="3"/>
  <c r="G415" i="3" s="1"/>
  <c r="H415" i="3" s="1"/>
  <c r="I415" i="3" l="1"/>
  <c r="J415" i="3"/>
  <c r="L415" i="3" l="1"/>
  <c r="K415" i="3"/>
  <c r="Q415" i="3" s="1"/>
  <c r="R415" i="3" s="1"/>
  <c r="F416" i="3" l="1"/>
  <c r="G416" i="3" s="1"/>
  <c r="H416" i="3" s="1"/>
  <c r="M415" i="3"/>
  <c r="N415" i="3"/>
  <c r="J416" i="3" l="1"/>
  <c r="I416" i="3"/>
  <c r="L416" i="3" l="1"/>
  <c r="K416" i="3"/>
  <c r="Q416" i="3" s="1"/>
  <c r="R416" i="3" s="1"/>
  <c r="M416" i="3" l="1"/>
  <c r="N416" i="3"/>
  <c r="F417" i="3"/>
  <c r="G417" i="3" s="1"/>
  <c r="H417" i="3" s="1"/>
  <c r="J417" i="3" l="1"/>
  <c r="I417" i="3"/>
  <c r="L417" i="3" l="1"/>
  <c r="K417" i="3"/>
  <c r="Q417" i="3" s="1"/>
  <c r="R417" i="3" s="1"/>
  <c r="F418" i="3" l="1"/>
  <c r="G418" i="3" s="1"/>
  <c r="H418" i="3" s="1"/>
  <c r="M417" i="3"/>
  <c r="N417" i="3"/>
  <c r="J418" i="3" l="1"/>
  <c r="I418" i="3"/>
  <c r="K418" i="3" l="1"/>
  <c r="Q418" i="3" s="1"/>
  <c r="R418" i="3" s="1"/>
  <c r="L418" i="3"/>
  <c r="N418" i="3" l="1"/>
  <c r="M418" i="3"/>
  <c r="F419" i="3"/>
  <c r="G419" i="3" s="1"/>
  <c r="H419" i="3" s="1"/>
  <c r="J419" i="3" l="1"/>
  <c r="I419" i="3"/>
  <c r="K419" i="3" l="1"/>
  <c r="Q419" i="3" s="1"/>
  <c r="R419" i="3" s="1"/>
  <c r="L419" i="3"/>
  <c r="N419" i="3" l="1"/>
  <c r="M419" i="3"/>
  <c r="F420" i="3"/>
  <c r="G420" i="3" s="1"/>
  <c r="H420" i="3" s="1"/>
  <c r="I420" i="3" l="1"/>
  <c r="J420" i="3"/>
  <c r="K420" i="3" l="1"/>
  <c r="Q420" i="3" s="1"/>
  <c r="R420" i="3" s="1"/>
  <c r="L420" i="3"/>
  <c r="M420" i="3" l="1"/>
  <c r="N420" i="3"/>
  <c r="F421" i="3"/>
  <c r="G421" i="3" s="1"/>
  <c r="H421" i="3" s="1"/>
  <c r="J421" i="3" l="1"/>
  <c r="I421" i="3"/>
  <c r="L421" i="3" l="1"/>
  <c r="K421" i="3"/>
  <c r="Q421" i="3" s="1"/>
  <c r="R421" i="3" s="1"/>
  <c r="F422" i="3" l="1"/>
  <c r="G422" i="3" s="1"/>
  <c r="H422" i="3" s="1"/>
  <c r="M421" i="3"/>
  <c r="N421" i="3"/>
  <c r="J422" i="3" l="1"/>
  <c r="I422" i="3"/>
  <c r="L422" i="3" l="1"/>
  <c r="K422" i="3"/>
  <c r="Q422" i="3" s="1"/>
  <c r="R422" i="3" s="1"/>
  <c r="F423" i="3" l="1"/>
  <c r="G423" i="3" s="1"/>
  <c r="H423" i="3" s="1"/>
  <c r="M422" i="3"/>
  <c r="N422" i="3"/>
  <c r="J423" i="3" l="1"/>
  <c r="I423" i="3"/>
  <c r="L423" i="3" l="1"/>
  <c r="K423" i="3"/>
  <c r="Q423" i="3" s="1"/>
  <c r="R423" i="3" s="1"/>
  <c r="F424" i="3" l="1"/>
  <c r="G424" i="3" s="1"/>
  <c r="H424" i="3" s="1"/>
  <c r="N423" i="3"/>
  <c r="M423" i="3"/>
  <c r="I424" i="3" l="1"/>
  <c r="J424" i="3"/>
  <c r="K424" i="3" l="1"/>
  <c r="Q424" i="3" s="1"/>
  <c r="R424" i="3" s="1"/>
  <c r="L424" i="3"/>
  <c r="M424" i="3" l="1"/>
  <c r="N424" i="3"/>
  <c r="F425" i="3"/>
  <c r="G425" i="3" s="1"/>
  <c r="H425" i="3" s="1"/>
  <c r="I425" i="3" l="1"/>
  <c r="J425" i="3"/>
  <c r="L425" i="3" l="1"/>
  <c r="K425" i="3"/>
  <c r="Q425" i="3" s="1"/>
  <c r="R425" i="3" s="1"/>
  <c r="F426" i="3" l="1"/>
  <c r="G426" i="3" s="1"/>
  <c r="H426" i="3" s="1"/>
  <c r="M425" i="3"/>
  <c r="N425" i="3"/>
  <c r="J426" i="3" l="1"/>
  <c r="I426" i="3"/>
  <c r="K426" i="3" l="1"/>
  <c r="Q426" i="3" s="1"/>
  <c r="R426" i="3" s="1"/>
  <c r="L426" i="3"/>
  <c r="N426" i="3" l="1"/>
  <c r="M426" i="3"/>
  <c r="F427" i="3"/>
  <c r="G427" i="3" s="1"/>
  <c r="H427" i="3" s="1"/>
  <c r="J427" i="3" l="1"/>
  <c r="I427" i="3"/>
  <c r="K427" i="3" l="1"/>
  <c r="Q427" i="3" s="1"/>
  <c r="R427" i="3" s="1"/>
  <c r="L427" i="3"/>
  <c r="M427" i="3" l="1"/>
  <c r="N427" i="3"/>
  <c r="F428" i="3"/>
  <c r="G428" i="3" s="1"/>
  <c r="H428" i="3" s="1"/>
  <c r="I428" i="3" l="1"/>
  <c r="J428" i="3"/>
  <c r="K428" i="3" l="1"/>
  <c r="Q428" i="3" s="1"/>
  <c r="R428" i="3" s="1"/>
  <c r="L428" i="3"/>
  <c r="M428" i="3" l="1"/>
  <c r="N428" i="3"/>
  <c r="F429" i="3"/>
  <c r="G429" i="3" s="1"/>
  <c r="H429" i="3" s="1"/>
  <c r="J429" i="3" l="1"/>
  <c r="I429" i="3"/>
  <c r="K429" i="3" l="1"/>
  <c r="Q429" i="3" s="1"/>
  <c r="R429" i="3" s="1"/>
  <c r="L429" i="3"/>
  <c r="N429" i="3" l="1"/>
  <c r="M429" i="3"/>
  <c r="F430" i="3"/>
  <c r="G430" i="3" s="1"/>
  <c r="H430" i="3" s="1"/>
  <c r="I430" i="3" l="1"/>
  <c r="J430" i="3"/>
  <c r="L430" i="3" l="1"/>
  <c r="K430" i="3"/>
  <c r="Q430" i="3" s="1"/>
  <c r="R430" i="3" s="1"/>
  <c r="F431" i="3" l="1"/>
  <c r="G431" i="3" s="1"/>
  <c r="H431" i="3" s="1"/>
  <c r="M430" i="3"/>
  <c r="N430" i="3"/>
  <c r="I431" i="3" l="1"/>
  <c r="J431" i="3"/>
  <c r="L431" i="3" l="1"/>
  <c r="K431" i="3"/>
  <c r="Q431" i="3" s="1"/>
  <c r="R431" i="3" s="1"/>
  <c r="F432" i="3" l="1"/>
  <c r="G432" i="3" s="1"/>
  <c r="H432" i="3" s="1"/>
  <c r="M431" i="3"/>
  <c r="N431" i="3"/>
  <c r="I432" i="3" l="1"/>
  <c r="J432" i="3"/>
  <c r="K432" i="3" l="1"/>
  <c r="Q432" i="3" s="1"/>
  <c r="R432" i="3" s="1"/>
  <c r="L432" i="3"/>
  <c r="M432" i="3" l="1"/>
  <c r="N432" i="3"/>
  <c r="F433" i="3"/>
  <c r="G433" i="3" s="1"/>
  <c r="H433" i="3" s="1"/>
  <c r="J433" i="3" l="1"/>
  <c r="I433" i="3"/>
  <c r="L433" i="3" l="1"/>
  <c r="K433" i="3"/>
  <c r="Q433" i="3" s="1"/>
  <c r="R433" i="3" s="1"/>
  <c r="F434" i="3" l="1"/>
  <c r="G434" i="3" s="1"/>
  <c r="H434" i="3" s="1"/>
  <c r="M433" i="3"/>
  <c r="N433" i="3"/>
  <c r="J434" i="3" l="1"/>
  <c r="I434" i="3"/>
  <c r="L434" i="3" l="1"/>
  <c r="K434" i="3"/>
  <c r="Q434" i="3" s="1"/>
  <c r="R434" i="3" s="1"/>
  <c r="F435" i="3" l="1"/>
  <c r="G435" i="3" s="1"/>
  <c r="H435" i="3" s="1"/>
  <c r="N434" i="3"/>
  <c r="M434" i="3"/>
  <c r="I435" i="3" l="1"/>
  <c r="J435" i="3"/>
  <c r="L435" i="3" l="1"/>
  <c r="K435" i="3"/>
  <c r="Q435" i="3" s="1"/>
  <c r="R435" i="3" s="1"/>
  <c r="F436" i="3" l="1"/>
  <c r="G436" i="3" s="1"/>
  <c r="H436" i="3" s="1"/>
  <c r="N435" i="3"/>
  <c r="M435" i="3"/>
  <c r="J436" i="3" l="1"/>
  <c r="I436" i="3"/>
  <c r="L436" i="3" l="1"/>
  <c r="K436" i="3"/>
  <c r="Q436" i="3" s="1"/>
  <c r="R436" i="3" s="1"/>
  <c r="F437" i="3" l="1"/>
  <c r="G437" i="3" s="1"/>
  <c r="H437" i="3" s="1"/>
  <c r="N436" i="3"/>
  <c r="M436" i="3"/>
  <c r="J437" i="3" l="1"/>
  <c r="I437" i="3"/>
  <c r="L437" i="3" l="1"/>
  <c r="K437" i="3"/>
  <c r="Q437" i="3" s="1"/>
  <c r="R437" i="3" s="1"/>
  <c r="N437" i="3" l="1"/>
  <c r="M437" i="3"/>
  <c r="F438" i="3"/>
  <c r="G438" i="3" s="1"/>
  <c r="H438" i="3" s="1"/>
  <c r="J438" i="3" l="1"/>
  <c r="I438" i="3"/>
  <c r="L438" i="3" l="1"/>
  <c r="K438" i="3"/>
  <c r="Q438" i="3" s="1"/>
  <c r="R438" i="3" s="1"/>
  <c r="M438" i="3" l="1"/>
  <c r="N438" i="3"/>
  <c r="F439" i="3"/>
  <c r="G439" i="3" s="1"/>
  <c r="H439" i="3" s="1"/>
  <c r="J439" i="3" l="1"/>
  <c r="I439" i="3"/>
  <c r="L439" i="3" l="1"/>
  <c r="K439" i="3"/>
  <c r="Q439" i="3" s="1"/>
  <c r="R439" i="3" s="1"/>
  <c r="F440" i="3" l="1"/>
  <c r="G440" i="3" s="1"/>
  <c r="H440" i="3" s="1"/>
  <c r="M439" i="3"/>
  <c r="N439" i="3"/>
  <c r="I440" i="3" l="1"/>
  <c r="J440" i="3"/>
  <c r="L440" i="3" l="1"/>
  <c r="K440" i="3"/>
  <c r="Q440" i="3" s="1"/>
  <c r="R440" i="3" s="1"/>
  <c r="F441" i="3" l="1"/>
  <c r="G441" i="3" s="1"/>
  <c r="H441" i="3" s="1"/>
  <c r="N440" i="3"/>
  <c r="M440" i="3"/>
  <c r="J441" i="3" l="1"/>
  <c r="I441" i="3"/>
  <c r="L441" i="3" l="1"/>
  <c r="K441" i="3"/>
  <c r="Q441" i="3" s="1"/>
  <c r="R441" i="3" s="1"/>
  <c r="N441" i="3" l="1"/>
  <c r="M441" i="3"/>
  <c r="F442" i="3"/>
  <c r="G442" i="3" s="1"/>
  <c r="H442" i="3" s="1"/>
  <c r="I442" i="3" l="1"/>
  <c r="J442" i="3"/>
  <c r="K442" i="3" l="1"/>
  <c r="Q442" i="3" s="1"/>
  <c r="R442" i="3" s="1"/>
  <c r="L442" i="3"/>
  <c r="N442" i="3" l="1"/>
  <c r="M442" i="3"/>
  <c r="F443" i="3"/>
  <c r="G443" i="3" s="1"/>
  <c r="H443" i="3" s="1"/>
  <c r="I443" i="3" l="1"/>
  <c r="J443" i="3"/>
  <c r="K443" i="3" l="1"/>
  <c r="Q443" i="3" s="1"/>
  <c r="R443" i="3" s="1"/>
  <c r="L443" i="3"/>
  <c r="M443" i="3" l="1"/>
  <c r="N443" i="3"/>
  <c r="F444" i="3"/>
  <c r="G444" i="3" s="1"/>
  <c r="H444" i="3" s="1"/>
  <c r="I444" i="3" l="1"/>
  <c r="J444" i="3"/>
  <c r="K444" i="3" l="1"/>
  <c r="Q444" i="3" s="1"/>
  <c r="R444" i="3" s="1"/>
  <c r="L444" i="3"/>
  <c r="M444" i="3" l="1"/>
  <c r="N444" i="3"/>
  <c r="F445" i="3"/>
  <c r="G445" i="3" s="1"/>
  <c r="H445" i="3" s="1"/>
  <c r="I445" i="3" l="1"/>
  <c r="J445" i="3"/>
  <c r="L445" i="3" l="1"/>
  <c r="K445" i="3"/>
  <c r="Q445" i="3" s="1"/>
  <c r="R445" i="3" s="1"/>
  <c r="M445" i="3" l="1"/>
  <c r="N445" i="3"/>
  <c r="F446" i="3"/>
  <c r="G446" i="3" s="1"/>
  <c r="H446" i="3" s="1"/>
  <c r="J446" i="3" l="1"/>
  <c r="I446" i="3"/>
  <c r="L446" i="3" l="1"/>
  <c r="K446" i="3"/>
  <c r="Q446" i="3" s="1"/>
  <c r="R446" i="3" s="1"/>
  <c r="F447" i="3" l="1"/>
  <c r="G447" i="3" s="1"/>
  <c r="H447" i="3" s="1"/>
  <c r="M446" i="3"/>
  <c r="N446" i="3"/>
  <c r="I447" i="3" l="1"/>
  <c r="J447" i="3"/>
  <c r="K447" i="3" l="1"/>
  <c r="Q447" i="3" s="1"/>
  <c r="R447" i="3" s="1"/>
  <c r="L447" i="3"/>
  <c r="N447" i="3" l="1"/>
  <c r="M447" i="3"/>
  <c r="F448" i="3"/>
  <c r="G448" i="3" s="1"/>
  <c r="H448" i="3" s="1"/>
  <c r="I448" i="3" l="1"/>
  <c r="J448" i="3"/>
  <c r="L448" i="3" l="1"/>
  <c r="K448" i="3"/>
  <c r="Q448" i="3" s="1"/>
  <c r="R448" i="3" s="1"/>
  <c r="N448" i="3" l="1"/>
  <c r="M448" i="3"/>
  <c r="F449" i="3"/>
  <c r="G449" i="3" s="1"/>
  <c r="H449" i="3" s="1"/>
  <c r="I449" i="3" l="1"/>
  <c r="J449" i="3"/>
  <c r="L449" i="3" l="1"/>
  <c r="K449" i="3"/>
  <c r="Q449" i="3" s="1"/>
  <c r="R449" i="3" s="1"/>
  <c r="F450" i="3" l="1"/>
  <c r="G450" i="3" s="1"/>
  <c r="H450" i="3" s="1"/>
  <c r="N449" i="3"/>
  <c r="M449" i="3"/>
  <c r="J450" i="3" l="1"/>
  <c r="I450" i="3"/>
  <c r="L450" i="3" l="1"/>
  <c r="K450" i="3"/>
  <c r="Q450" i="3" s="1"/>
  <c r="R450" i="3" s="1"/>
  <c r="F451" i="3" l="1"/>
  <c r="G451" i="3" s="1"/>
  <c r="H451" i="3" s="1"/>
  <c r="M450" i="3"/>
  <c r="N450" i="3"/>
  <c r="J451" i="3" l="1"/>
  <c r="I451" i="3"/>
  <c r="L451" i="3" l="1"/>
  <c r="K451" i="3"/>
  <c r="Q451" i="3" s="1"/>
  <c r="R451" i="3" s="1"/>
  <c r="F452" i="3" l="1"/>
  <c r="G452" i="3" s="1"/>
  <c r="H452" i="3" s="1"/>
  <c r="M451" i="3"/>
  <c r="N451" i="3"/>
  <c r="I452" i="3" l="1"/>
  <c r="J452" i="3"/>
  <c r="L452" i="3" l="1"/>
  <c r="K452" i="3"/>
  <c r="Q452" i="3" s="1"/>
  <c r="R452" i="3" s="1"/>
  <c r="F453" i="3" l="1"/>
  <c r="G453" i="3" s="1"/>
  <c r="H453" i="3" s="1"/>
  <c r="M452" i="3"/>
  <c r="N452" i="3"/>
  <c r="I453" i="3" l="1"/>
  <c r="J453" i="3"/>
  <c r="L453" i="3" l="1"/>
  <c r="K453" i="3"/>
  <c r="Q453" i="3" s="1"/>
  <c r="R453" i="3" s="1"/>
  <c r="F454" i="3" l="1"/>
  <c r="G454" i="3" s="1"/>
  <c r="H454" i="3" s="1"/>
  <c r="N453" i="3"/>
  <c r="M453" i="3"/>
  <c r="J454" i="3" l="1"/>
  <c r="I454" i="3"/>
  <c r="K454" i="3" l="1"/>
  <c r="Q454" i="3" s="1"/>
  <c r="R454" i="3" s="1"/>
  <c r="L454" i="3"/>
  <c r="F455" i="3" l="1"/>
  <c r="G455" i="3" s="1"/>
  <c r="H455" i="3" s="1"/>
  <c r="N454" i="3"/>
  <c r="M454" i="3"/>
  <c r="J455" i="3" l="1"/>
  <c r="I455" i="3"/>
  <c r="L455" i="3" l="1"/>
  <c r="K455" i="3"/>
  <c r="Q455" i="3" s="1"/>
  <c r="R455" i="3" s="1"/>
  <c r="F456" i="3" l="1"/>
  <c r="G456" i="3" s="1"/>
  <c r="H456" i="3" s="1"/>
  <c r="N455" i="3"/>
  <c r="M455" i="3"/>
  <c r="I456" i="3" l="1"/>
  <c r="J456" i="3"/>
  <c r="K456" i="3" l="1"/>
  <c r="Q456" i="3" s="1"/>
  <c r="R456" i="3" s="1"/>
  <c r="L456" i="3"/>
  <c r="M456" i="3" l="1"/>
  <c r="N456" i="3"/>
  <c r="F457" i="3"/>
  <c r="G457" i="3" s="1"/>
  <c r="H457" i="3" s="1"/>
  <c r="I457" i="3" l="1"/>
  <c r="J457" i="3"/>
  <c r="L457" i="3" l="1"/>
  <c r="K457" i="3"/>
  <c r="Q457" i="3" s="1"/>
  <c r="R457" i="3" s="1"/>
  <c r="F458" i="3" l="1"/>
  <c r="G458" i="3" s="1"/>
  <c r="H458" i="3" s="1"/>
  <c r="M457" i="3"/>
  <c r="N457" i="3"/>
  <c r="J458" i="3" l="1"/>
  <c r="I458" i="3"/>
  <c r="L458" i="3" l="1"/>
  <c r="K458" i="3"/>
  <c r="Q458" i="3" s="1"/>
  <c r="R458" i="3" s="1"/>
  <c r="N458" i="3" l="1"/>
  <c r="M458" i="3"/>
  <c r="F459" i="3"/>
  <c r="G459" i="3" s="1"/>
  <c r="H459" i="3" s="1"/>
  <c r="I459" i="3" l="1"/>
  <c r="J459" i="3"/>
  <c r="L459" i="3" l="1"/>
  <c r="K459" i="3"/>
  <c r="Q459" i="3" s="1"/>
  <c r="R459" i="3" s="1"/>
  <c r="M459" i="3" l="1"/>
  <c r="N459" i="3"/>
  <c r="F460" i="3"/>
  <c r="G460" i="3" s="1"/>
  <c r="H460" i="3" s="1"/>
  <c r="J460" i="3" l="1"/>
  <c r="I460" i="3"/>
  <c r="K460" i="3" l="1"/>
  <c r="Q460" i="3" s="1"/>
  <c r="R460" i="3" s="1"/>
  <c r="L460" i="3"/>
  <c r="M460" i="3" l="1"/>
  <c r="N460" i="3"/>
  <c r="F461" i="3"/>
  <c r="G461" i="3" s="1"/>
  <c r="H461" i="3" s="1"/>
  <c r="J461" i="3" l="1"/>
  <c r="I461" i="3"/>
  <c r="L461" i="3" l="1"/>
  <c r="K461" i="3"/>
  <c r="Q461" i="3" s="1"/>
  <c r="R461" i="3" s="1"/>
  <c r="F462" i="3" l="1"/>
  <c r="G462" i="3" s="1"/>
  <c r="H462" i="3" s="1"/>
  <c r="N461" i="3"/>
  <c r="M461" i="3"/>
  <c r="J462" i="3" l="1"/>
  <c r="I462" i="3"/>
  <c r="K462" i="3" l="1"/>
  <c r="Q462" i="3" s="1"/>
  <c r="R462" i="3" s="1"/>
  <c r="L462" i="3"/>
  <c r="M462" i="3" l="1"/>
  <c r="N462" i="3"/>
  <c r="F463" i="3"/>
  <c r="G463" i="3" s="1"/>
  <c r="H463" i="3" s="1"/>
  <c r="J463" i="3" l="1"/>
  <c r="I463" i="3"/>
  <c r="L463" i="3" l="1"/>
  <c r="K463" i="3"/>
  <c r="Q463" i="3" s="1"/>
  <c r="R463" i="3" s="1"/>
  <c r="N463" i="3" l="1"/>
  <c r="M463" i="3"/>
  <c r="F464" i="3"/>
  <c r="G464" i="3" s="1"/>
  <c r="H464" i="3" s="1"/>
  <c r="J464" i="3" l="1"/>
  <c r="I464" i="3"/>
  <c r="K464" i="3" l="1"/>
  <c r="Q464" i="3" s="1"/>
  <c r="R464" i="3" s="1"/>
  <c r="L464" i="3"/>
  <c r="F465" i="3" l="1"/>
  <c r="G465" i="3" s="1"/>
  <c r="H465" i="3" s="1"/>
  <c r="M464" i="3"/>
  <c r="N464" i="3"/>
  <c r="I465" i="3" l="1"/>
  <c r="J465" i="3"/>
  <c r="L465" i="3" l="1"/>
  <c r="K465" i="3"/>
  <c r="Q465" i="3" s="1"/>
  <c r="R465" i="3" s="1"/>
  <c r="M465" i="3" l="1"/>
  <c r="N465" i="3"/>
  <c r="F466" i="3"/>
  <c r="G466" i="3" s="1"/>
  <c r="H466" i="3" s="1"/>
  <c r="J466" i="3" l="1"/>
  <c r="I466" i="3"/>
  <c r="L466" i="3" l="1"/>
  <c r="K466" i="3"/>
  <c r="Q466" i="3" s="1"/>
  <c r="R466" i="3" s="1"/>
  <c r="M466" i="3" l="1"/>
  <c r="N466" i="3"/>
  <c r="F467" i="3"/>
  <c r="G467" i="3" s="1"/>
  <c r="H467" i="3" s="1"/>
  <c r="J467" i="3" l="1"/>
  <c r="I467" i="3"/>
  <c r="L467" i="3" l="1"/>
  <c r="K467" i="3"/>
  <c r="Q467" i="3" s="1"/>
  <c r="R467" i="3" s="1"/>
  <c r="F468" i="3" l="1"/>
  <c r="G468" i="3" s="1"/>
  <c r="H468" i="3" s="1"/>
  <c r="N467" i="3"/>
  <c r="M467" i="3"/>
  <c r="J468" i="3" l="1"/>
  <c r="I468" i="3"/>
  <c r="L468" i="3" l="1"/>
  <c r="K468" i="3"/>
  <c r="Q468" i="3" s="1"/>
  <c r="R468" i="3" s="1"/>
  <c r="M468" i="3" l="1"/>
  <c r="N468" i="3"/>
  <c r="F469" i="3"/>
  <c r="G469" i="3" s="1"/>
  <c r="H469" i="3" s="1"/>
  <c r="I469" i="3" l="1"/>
  <c r="J469" i="3"/>
  <c r="K469" i="3" l="1"/>
  <c r="Q469" i="3" s="1"/>
  <c r="R469" i="3" s="1"/>
  <c r="L469" i="3"/>
  <c r="N469" i="3" l="1"/>
  <c r="M469" i="3"/>
  <c r="F470" i="3"/>
  <c r="G470" i="3" s="1"/>
  <c r="H470" i="3" s="1"/>
  <c r="J470" i="3" l="1"/>
  <c r="I470" i="3"/>
  <c r="K470" i="3" l="1"/>
  <c r="Q470" i="3" s="1"/>
  <c r="R470" i="3" s="1"/>
  <c r="L470" i="3"/>
  <c r="N470" i="3" l="1"/>
  <c r="M470" i="3"/>
  <c r="F471" i="3"/>
  <c r="G471" i="3" s="1"/>
  <c r="H471" i="3" s="1"/>
  <c r="J471" i="3" l="1"/>
  <c r="I471" i="3"/>
  <c r="K471" i="3" l="1"/>
  <c r="Q471" i="3" s="1"/>
  <c r="R471" i="3" s="1"/>
  <c r="L471" i="3"/>
  <c r="M471" i="3" l="1"/>
  <c r="N471" i="3"/>
  <c r="F472" i="3"/>
  <c r="G472" i="3" s="1"/>
  <c r="H472" i="3" s="1"/>
  <c r="I472" i="3" l="1"/>
  <c r="J472" i="3"/>
  <c r="K472" i="3" l="1"/>
  <c r="Q472" i="3" s="1"/>
  <c r="R472" i="3" s="1"/>
  <c r="L472" i="3"/>
  <c r="F473" i="3" l="1"/>
  <c r="G473" i="3" s="1"/>
  <c r="H473" i="3" s="1"/>
  <c r="N472" i="3"/>
  <c r="M472" i="3"/>
  <c r="I473" i="3" l="1"/>
  <c r="J473" i="3"/>
  <c r="L473" i="3" l="1"/>
  <c r="K473" i="3"/>
  <c r="Q473" i="3" s="1"/>
  <c r="R473" i="3" s="1"/>
  <c r="N473" i="3" l="1"/>
  <c r="M473" i="3"/>
  <c r="F474" i="3"/>
  <c r="G474" i="3" s="1"/>
  <c r="H474" i="3" s="1"/>
  <c r="I474" i="3" l="1"/>
  <c r="J474" i="3"/>
  <c r="L474" i="3" l="1"/>
  <c r="K474" i="3"/>
  <c r="Q474" i="3" s="1"/>
  <c r="R474" i="3" s="1"/>
  <c r="F475" i="3" l="1"/>
  <c r="G475" i="3" s="1"/>
  <c r="H475" i="3" s="1"/>
  <c r="N474" i="3"/>
  <c r="M474" i="3"/>
  <c r="I475" i="3" l="1"/>
  <c r="J475" i="3"/>
  <c r="K475" i="3" l="1"/>
  <c r="Q475" i="3" s="1"/>
  <c r="R475" i="3" s="1"/>
  <c r="L475" i="3"/>
  <c r="N475" i="3" l="1"/>
  <c r="M475" i="3"/>
  <c r="F476" i="3"/>
  <c r="G476" i="3" s="1"/>
  <c r="H476" i="3" s="1"/>
  <c r="I476" i="3" l="1"/>
  <c r="J476" i="3"/>
  <c r="K476" i="3" l="1"/>
  <c r="Q476" i="3" s="1"/>
  <c r="R476" i="3" s="1"/>
  <c r="L476" i="3"/>
  <c r="M476" i="3" l="1"/>
  <c r="N476" i="3"/>
  <c r="F477" i="3"/>
  <c r="G477" i="3" s="1"/>
  <c r="H477" i="3" s="1"/>
  <c r="J477" i="3" l="1"/>
  <c r="I477" i="3"/>
  <c r="L477" i="3" l="1"/>
  <c r="K477" i="3"/>
  <c r="Q477" i="3" s="1"/>
  <c r="R477" i="3" s="1"/>
  <c r="N477" i="3" l="1"/>
  <c r="M477" i="3"/>
  <c r="F478" i="3"/>
  <c r="G478" i="3" s="1"/>
  <c r="H478" i="3" s="1"/>
  <c r="J478" i="3" l="1"/>
  <c r="I478" i="3"/>
  <c r="L478" i="3" l="1"/>
  <c r="K478" i="3"/>
  <c r="Q478" i="3" s="1"/>
  <c r="R478" i="3" s="1"/>
  <c r="F479" i="3" l="1"/>
  <c r="G479" i="3" s="1"/>
  <c r="H479" i="3" s="1"/>
  <c r="N478" i="3"/>
  <c r="M478" i="3"/>
  <c r="I479" i="3" l="1"/>
  <c r="J479" i="3"/>
  <c r="L479" i="3" l="1"/>
  <c r="K479" i="3"/>
  <c r="Q479" i="3" s="1"/>
  <c r="R479" i="3" s="1"/>
  <c r="F480" i="3" l="1"/>
  <c r="G480" i="3" s="1"/>
  <c r="H480" i="3" s="1"/>
  <c r="N479" i="3"/>
  <c r="M479" i="3"/>
  <c r="I480" i="3" l="1"/>
  <c r="J480" i="3"/>
  <c r="L480" i="3" l="1"/>
  <c r="K480" i="3"/>
  <c r="Q480" i="3" s="1"/>
  <c r="R480" i="3" s="1"/>
  <c r="N480" i="3" l="1"/>
  <c r="M480" i="3"/>
  <c r="F481" i="3"/>
  <c r="G481" i="3" s="1"/>
  <c r="H481" i="3" s="1"/>
  <c r="I481" i="3" l="1"/>
  <c r="J481" i="3"/>
  <c r="K481" i="3" l="1"/>
  <c r="Q481" i="3" s="1"/>
  <c r="R481" i="3" s="1"/>
  <c r="L481" i="3"/>
  <c r="M481" i="3" l="1"/>
  <c r="N481" i="3"/>
  <c r="F482" i="3"/>
  <c r="G482" i="3" s="1"/>
  <c r="H482" i="3" s="1"/>
  <c r="J482" i="3" l="1"/>
  <c r="I482" i="3"/>
  <c r="L482" i="3" l="1"/>
  <c r="K482" i="3"/>
  <c r="Q482" i="3" s="1"/>
  <c r="R482" i="3" s="1"/>
  <c r="F483" i="3" l="1"/>
  <c r="G483" i="3" s="1"/>
  <c r="H483" i="3" s="1"/>
  <c r="N482" i="3"/>
  <c r="M482" i="3"/>
  <c r="J483" i="3" l="1"/>
  <c r="I483" i="3"/>
  <c r="K483" i="3" l="1"/>
  <c r="Q483" i="3" s="1"/>
  <c r="R483" i="3" s="1"/>
  <c r="L483" i="3"/>
  <c r="N483" i="3" l="1"/>
  <c r="M483" i="3"/>
  <c r="F484" i="3"/>
  <c r="G484" i="3" s="1"/>
  <c r="H484" i="3" s="1"/>
  <c r="I484" i="3" l="1"/>
  <c r="J484" i="3"/>
  <c r="L484" i="3" l="1"/>
  <c r="K484" i="3"/>
  <c r="Q484" i="3" s="1"/>
  <c r="R484" i="3" s="1"/>
  <c r="F485" i="3" l="1"/>
  <c r="G485" i="3" s="1"/>
  <c r="H485" i="3" s="1"/>
  <c r="M484" i="3"/>
  <c r="N484" i="3"/>
  <c r="J485" i="3" l="1"/>
  <c r="I485" i="3"/>
  <c r="K485" i="3" l="1"/>
  <c r="Q485" i="3" s="1"/>
  <c r="R485" i="3" s="1"/>
  <c r="L485" i="3"/>
  <c r="M485" i="3" l="1"/>
  <c r="N485" i="3"/>
  <c r="F486" i="3"/>
  <c r="G486" i="3" s="1"/>
  <c r="H486" i="3" s="1"/>
  <c r="I486" i="3" l="1"/>
  <c r="J486" i="3"/>
  <c r="K486" i="3" l="1"/>
  <c r="Q486" i="3" s="1"/>
  <c r="R486" i="3" s="1"/>
  <c r="L486" i="3"/>
  <c r="F487" i="3" l="1"/>
  <c r="G487" i="3" s="1"/>
  <c r="H487" i="3" s="1"/>
  <c r="N486" i="3"/>
  <c r="M486" i="3"/>
  <c r="I487" i="3" l="1"/>
  <c r="J487" i="3"/>
  <c r="L487" i="3" l="1"/>
  <c r="K487" i="3"/>
  <c r="Q487" i="3" s="1"/>
  <c r="R487" i="3" s="1"/>
  <c r="F488" i="3" l="1"/>
  <c r="G488" i="3" s="1"/>
  <c r="H488" i="3" s="1"/>
  <c r="N487" i="3"/>
  <c r="M487" i="3"/>
  <c r="I488" i="3" l="1"/>
  <c r="J488" i="3"/>
  <c r="L488" i="3" l="1"/>
  <c r="K488" i="3"/>
  <c r="Q488" i="3" s="1"/>
  <c r="R488" i="3" s="1"/>
  <c r="F489" i="3" l="1"/>
  <c r="G489" i="3" s="1"/>
  <c r="H489" i="3" s="1"/>
  <c r="M488" i="3"/>
  <c r="N488" i="3"/>
  <c r="J489" i="3" l="1"/>
  <c r="I489" i="3"/>
  <c r="L489" i="3" l="1"/>
  <c r="K489" i="3"/>
  <c r="Q489" i="3" s="1"/>
  <c r="R489" i="3" s="1"/>
  <c r="F490" i="3" l="1"/>
  <c r="G490" i="3" s="1"/>
  <c r="H490" i="3" s="1"/>
  <c r="N489" i="3"/>
  <c r="M489" i="3"/>
  <c r="I490" i="3" l="1"/>
  <c r="J490" i="3"/>
  <c r="L490" i="3" l="1"/>
  <c r="K490" i="3"/>
  <c r="Q490" i="3" s="1"/>
  <c r="R490" i="3" s="1"/>
  <c r="F491" i="3" l="1"/>
  <c r="G491" i="3" s="1"/>
  <c r="H491" i="3" s="1"/>
  <c r="N490" i="3"/>
  <c r="M490" i="3"/>
  <c r="J491" i="3" l="1"/>
  <c r="I491" i="3"/>
  <c r="K491" i="3" l="1"/>
  <c r="Q491" i="3" s="1"/>
  <c r="R491" i="3" s="1"/>
  <c r="L491" i="3"/>
  <c r="N491" i="3" l="1"/>
  <c r="M491" i="3"/>
  <c r="F492" i="3"/>
  <c r="G492" i="3" s="1"/>
  <c r="H492" i="3" s="1"/>
  <c r="I492" i="3" l="1"/>
  <c r="J492" i="3"/>
  <c r="K492" i="3" l="1"/>
  <c r="Q492" i="3" s="1"/>
  <c r="R492" i="3" s="1"/>
  <c r="L492" i="3"/>
  <c r="N492" i="3" l="1"/>
  <c r="M492" i="3"/>
  <c r="F493" i="3"/>
  <c r="G493" i="3" s="1"/>
  <c r="H493" i="3" s="1"/>
  <c r="J493" i="3" l="1"/>
  <c r="I493" i="3"/>
  <c r="K493" i="3" l="1"/>
  <c r="Q493" i="3" s="1"/>
  <c r="R493" i="3" s="1"/>
  <c r="L493" i="3"/>
  <c r="N493" i="3" l="1"/>
  <c r="M493" i="3"/>
  <c r="F494" i="3"/>
  <c r="G494" i="3" s="1"/>
  <c r="H494" i="3" s="1"/>
  <c r="I494" i="3" l="1"/>
  <c r="J494" i="3"/>
  <c r="L494" i="3" l="1"/>
  <c r="K494" i="3"/>
  <c r="Q494" i="3" s="1"/>
  <c r="R494" i="3" s="1"/>
  <c r="F495" i="3" l="1"/>
  <c r="G495" i="3" s="1"/>
  <c r="H495" i="3" s="1"/>
  <c r="M494" i="3"/>
  <c r="N494" i="3"/>
  <c r="I495" i="3" l="1"/>
  <c r="J495" i="3"/>
  <c r="L495" i="3" l="1"/>
  <c r="K495" i="3"/>
  <c r="Q495" i="3" s="1"/>
  <c r="R495" i="3" s="1"/>
  <c r="F496" i="3" l="1"/>
  <c r="G496" i="3" s="1"/>
  <c r="H496" i="3" s="1"/>
  <c r="N495" i="3"/>
  <c r="M495" i="3"/>
  <c r="J496" i="3" l="1"/>
  <c r="I496" i="3"/>
  <c r="L496" i="3" l="1"/>
  <c r="K496" i="3"/>
  <c r="Q496" i="3" s="1"/>
  <c r="R496" i="3" s="1"/>
  <c r="F497" i="3" l="1"/>
  <c r="G497" i="3" s="1"/>
  <c r="H497" i="3" s="1"/>
  <c r="M496" i="3"/>
  <c r="N496" i="3"/>
  <c r="J497" i="3" l="1"/>
  <c r="I497" i="3"/>
  <c r="K497" i="3" l="1"/>
  <c r="Q497" i="3" s="1"/>
  <c r="R497" i="3" s="1"/>
  <c r="L497" i="3"/>
  <c r="F498" i="3" l="1"/>
  <c r="G498" i="3" s="1"/>
  <c r="H498" i="3" s="1"/>
  <c r="N497" i="3"/>
  <c r="M497" i="3"/>
  <c r="J498" i="3" l="1"/>
  <c r="I498" i="3"/>
  <c r="L498" i="3" l="1"/>
  <c r="K498" i="3"/>
  <c r="Q498" i="3" s="1"/>
  <c r="R498" i="3" s="1"/>
  <c r="F499" i="3" l="1"/>
  <c r="G499" i="3" s="1"/>
  <c r="H499" i="3" s="1"/>
  <c r="M498" i="3"/>
  <c r="N498" i="3"/>
  <c r="J499" i="3" l="1"/>
  <c r="I499" i="3"/>
  <c r="L499" i="3" l="1"/>
  <c r="K499" i="3"/>
  <c r="Q499" i="3" s="1"/>
  <c r="R499" i="3" s="1"/>
  <c r="F500" i="3" l="1"/>
  <c r="G500" i="3" s="1"/>
  <c r="H500" i="3" s="1"/>
  <c r="N499" i="3"/>
  <c r="M499" i="3"/>
  <c r="J500" i="3" l="1"/>
  <c r="I500" i="3"/>
  <c r="K500" i="3" l="1"/>
  <c r="Q500" i="3" s="1"/>
  <c r="R500" i="3" s="1"/>
  <c r="L500" i="3"/>
  <c r="N500" i="3" l="1"/>
  <c r="M500" i="3"/>
  <c r="F501" i="3"/>
  <c r="G501" i="3" s="1"/>
  <c r="H501" i="3" s="1"/>
  <c r="J501" i="3" l="1"/>
  <c r="I501" i="3"/>
  <c r="K501" i="3" l="1"/>
  <c r="Q501" i="3" s="1"/>
  <c r="R501" i="3" s="1"/>
  <c r="L501" i="3"/>
  <c r="M501" i="3" l="1"/>
  <c r="N501" i="3"/>
  <c r="F502" i="3"/>
  <c r="G502" i="3" s="1"/>
  <c r="H502" i="3" s="1"/>
  <c r="J502" i="3" l="1"/>
  <c r="I502" i="3"/>
  <c r="L502" i="3" l="1"/>
  <c r="K502" i="3"/>
  <c r="Q502" i="3" s="1"/>
  <c r="R502" i="3" s="1"/>
  <c r="F503" i="3" l="1"/>
  <c r="G503" i="3" s="1"/>
  <c r="H503" i="3" s="1"/>
  <c r="M502" i="3"/>
  <c r="N502" i="3"/>
  <c r="J503" i="3" l="1"/>
  <c r="I503" i="3"/>
  <c r="L503" i="3" l="1"/>
  <c r="K503" i="3"/>
  <c r="Q503" i="3" s="1"/>
  <c r="R503" i="3" s="1"/>
  <c r="F504" i="3" l="1"/>
  <c r="G504" i="3" s="1"/>
  <c r="H504" i="3" s="1"/>
  <c r="M503" i="3"/>
  <c r="N503" i="3"/>
  <c r="I504" i="3" l="1"/>
  <c r="J504" i="3"/>
  <c r="L504" i="3" l="1"/>
  <c r="K504" i="3"/>
  <c r="Q504" i="3" s="1"/>
  <c r="R504" i="3" s="1"/>
  <c r="F505" i="3" l="1"/>
  <c r="G505" i="3" s="1"/>
  <c r="H505" i="3" s="1"/>
  <c r="N504" i="3"/>
  <c r="M504" i="3"/>
  <c r="I505" i="3" l="1"/>
  <c r="J505" i="3"/>
  <c r="K505" i="3" l="1"/>
  <c r="Q505" i="3" s="1"/>
  <c r="R505" i="3" s="1"/>
  <c r="L505" i="3"/>
  <c r="N505" i="3" l="1"/>
  <c r="M505" i="3"/>
  <c r="F506" i="3"/>
  <c r="G506" i="3" s="1"/>
  <c r="H506" i="3" s="1"/>
  <c r="J506" i="3" l="1"/>
  <c r="I506" i="3"/>
  <c r="L506" i="3" l="1"/>
  <c r="K506" i="3"/>
  <c r="Q506" i="3" s="1"/>
  <c r="R506" i="3" s="1"/>
  <c r="F507" i="3" l="1"/>
  <c r="G507" i="3" s="1"/>
  <c r="H507" i="3" s="1"/>
  <c r="M506" i="3"/>
  <c r="N506" i="3"/>
  <c r="I507" i="3" l="1"/>
  <c r="J507" i="3"/>
  <c r="K507" i="3" l="1"/>
  <c r="Q507" i="3" s="1"/>
  <c r="R507" i="3" s="1"/>
  <c r="L507" i="3"/>
  <c r="M507" i="3" l="1"/>
  <c r="N507" i="3"/>
  <c r="F508" i="3"/>
  <c r="G508" i="3" s="1"/>
  <c r="H508" i="3" s="1"/>
  <c r="J508" i="3" l="1"/>
  <c r="I508" i="3"/>
  <c r="L508" i="3" l="1"/>
  <c r="K508" i="3"/>
  <c r="Q508" i="3" s="1"/>
  <c r="R508" i="3" s="1"/>
  <c r="F509" i="3" l="1"/>
  <c r="G509" i="3" s="1"/>
  <c r="H509" i="3" s="1"/>
  <c r="M508" i="3"/>
  <c r="N508" i="3"/>
  <c r="I509" i="3" l="1"/>
  <c r="J509" i="3"/>
  <c r="K509" i="3" l="1"/>
  <c r="Q509" i="3" s="1"/>
  <c r="R509" i="3" s="1"/>
  <c r="L509" i="3"/>
  <c r="N509" i="3" l="1"/>
  <c r="M509" i="3"/>
  <c r="F510" i="3"/>
  <c r="G510" i="3" s="1"/>
  <c r="H510" i="3" s="1"/>
  <c r="I510" i="3" l="1"/>
  <c r="J510" i="3"/>
  <c r="L510" i="3" l="1"/>
  <c r="K510" i="3"/>
  <c r="Q510" i="3" s="1"/>
  <c r="R510" i="3" s="1"/>
  <c r="F511" i="3" l="1"/>
  <c r="G511" i="3" s="1"/>
  <c r="H511" i="3" s="1"/>
  <c r="M510" i="3"/>
  <c r="N510" i="3"/>
  <c r="I511" i="3" l="1"/>
  <c r="J511" i="3"/>
  <c r="L511" i="3" l="1"/>
  <c r="K511" i="3"/>
  <c r="Q511" i="3" s="1"/>
  <c r="R511" i="3" s="1"/>
  <c r="M511" i="3" l="1"/>
  <c r="N511" i="3"/>
  <c r="F512" i="3"/>
  <c r="G512" i="3" s="1"/>
  <c r="H512" i="3" s="1"/>
  <c r="J512" i="3" l="1"/>
  <c r="I512" i="3"/>
  <c r="K512" i="3" l="1"/>
  <c r="Q512" i="3" s="1"/>
  <c r="R512" i="3" s="1"/>
  <c r="L512" i="3"/>
  <c r="N512" i="3" l="1"/>
  <c r="M512" i="3"/>
  <c r="F513" i="3"/>
  <c r="G513" i="3" s="1"/>
  <c r="H513" i="3" s="1"/>
  <c r="J513" i="3" l="1"/>
  <c r="I513" i="3"/>
  <c r="L513" i="3" l="1"/>
  <c r="K513" i="3"/>
  <c r="Q513" i="3" s="1"/>
  <c r="R513" i="3" s="1"/>
  <c r="N513" i="3" l="1"/>
  <c r="M513" i="3"/>
  <c r="F514" i="3"/>
  <c r="G514" i="3" s="1"/>
  <c r="H514" i="3" s="1"/>
  <c r="J514" i="3" l="1"/>
  <c r="I514" i="3"/>
  <c r="L514" i="3" l="1"/>
  <c r="K514" i="3"/>
  <c r="Q514" i="3" s="1"/>
  <c r="R514" i="3" s="1"/>
  <c r="M514" i="3" l="1"/>
  <c r="N514" i="3"/>
  <c r="F515" i="3"/>
  <c r="G515" i="3" s="1"/>
  <c r="H515" i="3" s="1"/>
  <c r="I515" i="3" l="1"/>
  <c r="J515" i="3"/>
  <c r="L515" i="3" l="1"/>
  <c r="K515" i="3"/>
  <c r="Q515" i="3" s="1"/>
  <c r="R515" i="3" s="1"/>
  <c r="F516" i="3" l="1"/>
  <c r="G516" i="3" s="1"/>
  <c r="H516" i="3" s="1"/>
  <c r="N515" i="3"/>
  <c r="M515" i="3"/>
  <c r="I516" i="3" l="1"/>
  <c r="J516" i="3"/>
  <c r="K516" i="3" l="1"/>
  <c r="Q516" i="3" s="1"/>
  <c r="R516" i="3" s="1"/>
  <c r="L516" i="3"/>
  <c r="N516" i="3" l="1"/>
  <c r="M516" i="3"/>
  <c r="F517" i="3"/>
  <c r="G517" i="3" s="1"/>
  <c r="H517" i="3" s="1"/>
  <c r="I517" i="3" l="1"/>
  <c r="J517" i="3"/>
  <c r="L517" i="3" l="1"/>
  <c r="K517" i="3"/>
  <c r="Q517" i="3" s="1"/>
  <c r="R517" i="3" s="1"/>
  <c r="N517" i="3" l="1"/>
  <c r="M517" i="3"/>
  <c r="F518" i="3"/>
  <c r="G518" i="3" s="1"/>
  <c r="H518" i="3" s="1"/>
  <c r="J518" i="3" l="1"/>
  <c r="I518" i="3"/>
  <c r="K518" i="3" l="1"/>
  <c r="Q518" i="3" s="1"/>
  <c r="R518" i="3" s="1"/>
  <c r="L518" i="3"/>
  <c r="F519" i="3" l="1"/>
  <c r="G519" i="3" s="1"/>
  <c r="H519" i="3" s="1"/>
  <c r="N518" i="3"/>
  <c r="M518" i="3"/>
  <c r="I519" i="3" l="1"/>
  <c r="J519" i="3"/>
  <c r="L519" i="3" l="1"/>
  <c r="K519" i="3"/>
  <c r="Q519" i="3" s="1"/>
  <c r="R519" i="3" s="1"/>
  <c r="F520" i="3" l="1"/>
  <c r="G520" i="3" s="1"/>
  <c r="H520" i="3" s="1"/>
  <c r="N519" i="3"/>
  <c r="M519" i="3"/>
  <c r="J520" i="3" l="1"/>
  <c r="I520" i="3"/>
  <c r="L520" i="3" l="1"/>
  <c r="K520" i="3"/>
  <c r="Q520" i="3" s="1"/>
  <c r="R520" i="3" s="1"/>
  <c r="F521" i="3" l="1"/>
  <c r="G521" i="3" s="1"/>
  <c r="H521" i="3" s="1"/>
  <c r="M520" i="3"/>
  <c r="N520" i="3"/>
  <c r="J521" i="3" l="1"/>
  <c r="I521" i="3"/>
  <c r="L521" i="3" l="1"/>
  <c r="K521" i="3"/>
  <c r="Q521" i="3" s="1"/>
  <c r="R521" i="3" s="1"/>
  <c r="F522" i="3" l="1"/>
  <c r="G522" i="3" s="1"/>
  <c r="H522" i="3" s="1"/>
  <c r="N521" i="3"/>
  <c r="M521" i="3"/>
  <c r="I522" i="3" l="1"/>
  <c r="J522" i="3"/>
  <c r="L522" i="3" l="1"/>
  <c r="K522" i="3"/>
  <c r="Q522" i="3" s="1"/>
  <c r="R522" i="3" s="1"/>
  <c r="F523" i="3" l="1"/>
  <c r="G523" i="3" s="1"/>
  <c r="H523" i="3" s="1"/>
  <c r="N522" i="3"/>
  <c r="M522" i="3"/>
  <c r="J523" i="3" l="1"/>
  <c r="I523" i="3"/>
  <c r="L523" i="3" l="1"/>
  <c r="K523" i="3"/>
  <c r="Q523" i="3" s="1"/>
  <c r="R523" i="3" s="1"/>
  <c r="F524" i="3" l="1"/>
  <c r="G524" i="3" s="1"/>
  <c r="H524" i="3" s="1"/>
  <c r="N523" i="3"/>
  <c r="M523" i="3"/>
  <c r="I524" i="3" l="1"/>
  <c r="J524" i="3"/>
  <c r="L524" i="3" l="1"/>
  <c r="K524" i="3"/>
  <c r="Q524" i="3" s="1"/>
  <c r="R524" i="3" s="1"/>
  <c r="N524" i="3" l="1"/>
  <c r="M524" i="3"/>
  <c r="F525" i="3"/>
  <c r="G525" i="3" s="1"/>
  <c r="H525" i="3" s="1"/>
  <c r="I525" i="3" l="1"/>
  <c r="J525" i="3"/>
  <c r="L525" i="3" l="1"/>
  <c r="K525" i="3"/>
  <c r="Q525" i="3" s="1"/>
  <c r="R525" i="3" s="1"/>
  <c r="F526" i="3" l="1"/>
  <c r="G526" i="3" s="1"/>
  <c r="H526" i="3" s="1"/>
  <c r="N525" i="3"/>
  <c r="M525" i="3"/>
  <c r="I526" i="3" l="1"/>
  <c r="J526" i="3"/>
  <c r="K526" i="3" l="1"/>
  <c r="Q526" i="3" s="1"/>
  <c r="R526" i="3" s="1"/>
  <c r="L526" i="3"/>
  <c r="F527" i="3" l="1"/>
  <c r="G527" i="3" s="1"/>
  <c r="H527" i="3" s="1"/>
  <c r="M526" i="3"/>
  <c r="N526" i="3"/>
  <c r="I527" i="3" l="1"/>
  <c r="J527" i="3"/>
  <c r="K527" i="3" l="1"/>
  <c r="Q527" i="3" s="1"/>
  <c r="R527" i="3" s="1"/>
  <c r="L527" i="3"/>
  <c r="N527" i="3" l="1"/>
  <c r="M527" i="3"/>
  <c r="F528" i="3"/>
  <c r="G528" i="3" s="1"/>
  <c r="H528" i="3" s="1"/>
  <c r="I528" i="3" l="1"/>
  <c r="J528" i="3"/>
  <c r="L528" i="3" l="1"/>
  <c r="K528" i="3"/>
  <c r="Q528" i="3" s="1"/>
  <c r="R528" i="3" s="1"/>
  <c r="F529" i="3" l="1"/>
  <c r="G529" i="3" s="1"/>
  <c r="H529" i="3" s="1"/>
  <c r="M528" i="3"/>
  <c r="N528" i="3"/>
  <c r="I529" i="3" l="1"/>
  <c r="J529" i="3"/>
  <c r="K529" i="3" l="1"/>
  <c r="Q529" i="3" s="1"/>
  <c r="R529" i="3" s="1"/>
  <c r="L529" i="3"/>
  <c r="F530" i="3" l="1"/>
  <c r="G530" i="3" s="1"/>
  <c r="H530" i="3" s="1"/>
  <c r="N529" i="3"/>
  <c r="M529" i="3"/>
  <c r="J530" i="3" l="1"/>
  <c r="I530" i="3"/>
  <c r="K530" i="3" l="1"/>
  <c r="Q530" i="3" s="1"/>
  <c r="R530" i="3" s="1"/>
  <c r="L530" i="3"/>
  <c r="N530" i="3" l="1"/>
  <c r="M530" i="3"/>
  <c r="F531" i="3"/>
  <c r="G531" i="3" s="1"/>
  <c r="H531" i="3" s="1"/>
  <c r="I531" i="3" l="1"/>
  <c r="J531" i="3"/>
  <c r="K531" i="3" l="1"/>
  <c r="Q531" i="3" s="1"/>
  <c r="R531" i="3" s="1"/>
  <c r="L531" i="3"/>
  <c r="M531" i="3" l="1"/>
  <c r="N531" i="3"/>
  <c r="F532" i="3"/>
  <c r="G532" i="3" s="1"/>
  <c r="H532" i="3" s="1"/>
  <c r="J532" i="3" l="1"/>
  <c r="I532" i="3"/>
  <c r="L532" i="3" l="1"/>
  <c r="K532" i="3"/>
  <c r="Q532" i="3" s="1"/>
  <c r="R532" i="3" s="1"/>
  <c r="F533" i="3" l="1"/>
  <c r="G533" i="3" s="1"/>
  <c r="H533" i="3" s="1"/>
  <c r="N532" i="3"/>
  <c r="M532" i="3"/>
  <c r="I533" i="3" l="1"/>
  <c r="J533" i="3"/>
  <c r="K533" i="3" l="1"/>
  <c r="Q533" i="3" s="1"/>
  <c r="R533" i="3" s="1"/>
  <c r="L533" i="3"/>
  <c r="N533" i="3" l="1"/>
  <c r="M533" i="3"/>
  <c r="F534" i="3"/>
  <c r="G534" i="3" s="1"/>
  <c r="H534" i="3" s="1"/>
  <c r="J534" i="3" l="1"/>
  <c r="I534" i="3"/>
  <c r="K534" i="3" l="1"/>
  <c r="Q534" i="3" s="1"/>
  <c r="R534" i="3" s="1"/>
  <c r="L534" i="3"/>
  <c r="M534" i="3" l="1"/>
  <c r="N534" i="3"/>
  <c r="F535" i="3"/>
  <c r="G535" i="3" s="1"/>
  <c r="H535" i="3" s="1"/>
  <c r="I535" i="3" l="1"/>
  <c r="J535" i="3"/>
  <c r="K535" i="3" l="1"/>
  <c r="Q535" i="3" s="1"/>
  <c r="R535" i="3" s="1"/>
  <c r="L535" i="3"/>
  <c r="M535" i="3" l="1"/>
  <c r="N535" i="3"/>
  <c r="F536" i="3"/>
  <c r="G536" i="3" s="1"/>
  <c r="H536" i="3" s="1"/>
  <c r="I536" i="3" l="1"/>
  <c r="J536" i="3"/>
  <c r="K536" i="3" l="1"/>
  <c r="Q536" i="3" s="1"/>
  <c r="R536" i="3" s="1"/>
  <c r="L536" i="3"/>
  <c r="N536" i="3" l="1"/>
  <c r="M536" i="3"/>
  <c r="F537" i="3"/>
  <c r="G537" i="3" s="1"/>
  <c r="H537" i="3" s="1"/>
  <c r="J537" i="3" l="1"/>
  <c r="I537" i="3"/>
  <c r="K537" i="3" l="1"/>
  <c r="Q537" i="3" s="1"/>
  <c r="R537" i="3" s="1"/>
  <c r="L537" i="3"/>
  <c r="F538" i="3" l="1"/>
  <c r="G538" i="3" s="1"/>
  <c r="H538" i="3" s="1"/>
  <c r="M537" i="3"/>
  <c r="N537" i="3"/>
  <c r="J538" i="3" l="1"/>
  <c r="I538" i="3"/>
  <c r="L538" i="3" l="1"/>
  <c r="K538" i="3"/>
  <c r="Q538" i="3" s="1"/>
  <c r="R538" i="3" s="1"/>
  <c r="N538" i="3" l="1"/>
  <c r="M538" i="3"/>
  <c r="F539" i="3"/>
  <c r="G539" i="3" s="1"/>
  <c r="H539" i="3" s="1"/>
  <c r="I539" i="3" l="1"/>
  <c r="J539" i="3"/>
  <c r="K539" i="3" l="1"/>
  <c r="Q539" i="3" s="1"/>
  <c r="R539" i="3" s="1"/>
  <c r="L539" i="3"/>
  <c r="M539" i="3" l="1"/>
  <c r="N539" i="3"/>
  <c r="F540" i="3"/>
  <c r="G540" i="3" s="1"/>
  <c r="H540" i="3" s="1"/>
  <c r="I540" i="3" l="1"/>
  <c r="J540" i="3"/>
  <c r="K540" i="3" l="1"/>
  <c r="Q540" i="3" s="1"/>
  <c r="R540" i="3" s="1"/>
  <c r="L540" i="3"/>
  <c r="M540" i="3" l="1"/>
  <c r="N540" i="3"/>
  <c r="F541" i="3"/>
  <c r="G541" i="3" s="1"/>
  <c r="H541" i="3" s="1"/>
  <c r="I541" i="3" l="1"/>
  <c r="J541" i="3"/>
  <c r="L541" i="3" l="1"/>
  <c r="K541" i="3"/>
  <c r="Q541" i="3" s="1"/>
  <c r="R541" i="3" s="1"/>
  <c r="F542" i="3" l="1"/>
  <c r="G542" i="3" s="1"/>
  <c r="H542" i="3" s="1"/>
  <c r="M541" i="3"/>
  <c r="N541" i="3"/>
  <c r="J542" i="3" l="1"/>
  <c r="I542" i="3"/>
  <c r="K542" i="3" l="1"/>
  <c r="Q542" i="3" s="1"/>
  <c r="R542" i="3" s="1"/>
  <c r="L542" i="3"/>
  <c r="M542" i="3" l="1"/>
  <c r="N542" i="3"/>
  <c r="F543" i="3"/>
  <c r="G543" i="3" s="1"/>
  <c r="H543" i="3" s="1"/>
  <c r="J543" i="3" l="1"/>
  <c r="I543" i="3"/>
  <c r="L543" i="3" l="1"/>
  <c r="K543" i="3"/>
  <c r="Q543" i="3" s="1"/>
  <c r="R543" i="3" s="1"/>
  <c r="F544" i="3" l="1"/>
  <c r="G544" i="3" s="1"/>
  <c r="H544" i="3" s="1"/>
  <c r="N543" i="3"/>
  <c r="M543" i="3"/>
  <c r="I544" i="3" l="1"/>
  <c r="J544" i="3"/>
  <c r="K544" i="3" l="1"/>
  <c r="Q544" i="3" s="1"/>
  <c r="R544" i="3" s="1"/>
  <c r="L544" i="3"/>
  <c r="M544" i="3" l="1"/>
  <c r="N544" i="3"/>
  <c r="F545" i="3"/>
  <c r="G545" i="3" s="1"/>
  <c r="H545" i="3" s="1"/>
  <c r="I545" i="3" l="1"/>
  <c r="J545" i="3"/>
  <c r="L545" i="3" l="1"/>
  <c r="K545" i="3"/>
  <c r="Q545" i="3" s="1"/>
  <c r="R545" i="3" s="1"/>
  <c r="N545" i="3" l="1"/>
  <c r="M545" i="3"/>
  <c r="F546" i="3"/>
  <c r="G546" i="3" s="1"/>
  <c r="H546" i="3" s="1"/>
  <c r="J546" i="3" l="1"/>
  <c r="I546" i="3"/>
  <c r="K546" i="3" l="1"/>
  <c r="Q546" i="3" s="1"/>
  <c r="R546" i="3" s="1"/>
  <c r="L546" i="3"/>
  <c r="M546" i="3" l="1"/>
  <c r="N546" i="3"/>
  <c r="F547" i="3"/>
  <c r="G547" i="3" s="1"/>
  <c r="H547" i="3" s="1"/>
  <c r="I547" i="3" l="1"/>
  <c r="J547" i="3"/>
  <c r="L547" i="3" l="1"/>
  <c r="K547" i="3"/>
  <c r="Q547" i="3" s="1"/>
  <c r="R547" i="3" s="1"/>
  <c r="F548" i="3" l="1"/>
  <c r="G548" i="3" s="1"/>
  <c r="H548" i="3" s="1"/>
  <c r="N547" i="3"/>
  <c r="M547" i="3"/>
  <c r="I548" i="3" l="1"/>
  <c r="J548" i="3"/>
  <c r="K548" i="3" l="1"/>
  <c r="Q548" i="3" s="1"/>
  <c r="R548" i="3" s="1"/>
  <c r="L548" i="3"/>
  <c r="F549" i="3" l="1"/>
  <c r="G549" i="3" s="1"/>
  <c r="H549" i="3" s="1"/>
  <c r="M548" i="3"/>
  <c r="N548" i="3"/>
  <c r="J549" i="3" l="1"/>
  <c r="I549" i="3"/>
  <c r="L549" i="3" l="1"/>
  <c r="K549" i="3"/>
  <c r="Q549" i="3" s="1"/>
  <c r="R549" i="3" s="1"/>
  <c r="F550" i="3" l="1"/>
  <c r="G550" i="3" s="1"/>
  <c r="H550" i="3" s="1"/>
  <c r="M549" i="3"/>
  <c r="N549" i="3"/>
  <c r="J550" i="3" l="1"/>
  <c r="I550" i="3"/>
  <c r="K550" i="3" l="1"/>
  <c r="Q550" i="3" s="1"/>
  <c r="R550" i="3" s="1"/>
  <c r="L550" i="3"/>
  <c r="N550" i="3" l="1"/>
  <c r="M550" i="3"/>
  <c r="F551" i="3"/>
  <c r="G551" i="3" s="1"/>
  <c r="H551" i="3" s="1"/>
  <c r="J551" i="3" l="1"/>
  <c r="I551" i="3"/>
  <c r="K551" i="3" l="1"/>
  <c r="Q551" i="3" s="1"/>
  <c r="R551" i="3" s="1"/>
  <c r="L551" i="3"/>
  <c r="F552" i="3" l="1"/>
  <c r="G552" i="3" s="1"/>
  <c r="H552" i="3" s="1"/>
  <c r="N551" i="3"/>
  <c r="M551" i="3"/>
  <c r="J552" i="3" l="1"/>
  <c r="I552" i="3"/>
  <c r="L552" i="3" l="1"/>
  <c r="K552" i="3"/>
  <c r="Q552" i="3" s="1"/>
  <c r="R552" i="3" s="1"/>
  <c r="F553" i="3" l="1"/>
  <c r="G553" i="3" s="1"/>
  <c r="H553" i="3" s="1"/>
  <c r="N552" i="3"/>
  <c r="M552" i="3"/>
  <c r="J553" i="3" l="1"/>
  <c r="I553" i="3"/>
  <c r="L553" i="3" l="1"/>
  <c r="K553" i="3"/>
  <c r="Q553" i="3" s="1"/>
  <c r="R553" i="3" s="1"/>
  <c r="F554" i="3" l="1"/>
  <c r="G554" i="3" s="1"/>
  <c r="H554" i="3" s="1"/>
  <c r="M553" i="3"/>
  <c r="N553" i="3"/>
  <c r="J554" i="3" l="1"/>
  <c r="I554" i="3"/>
  <c r="K554" i="3" l="1"/>
  <c r="Q554" i="3" s="1"/>
  <c r="R554" i="3" s="1"/>
  <c r="L554" i="3"/>
  <c r="M554" i="3" l="1"/>
  <c r="N554" i="3"/>
  <c r="F555" i="3"/>
  <c r="G555" i="3" s="1"/>
  <c r="H555" i="3" s="1"/>
  <c r="I555" i="3" l="1"/>
  <c r="J555" i="3"/>
  <c r="L555" i="3" l="1"/>
  <c r="K555" i="3"/>
  <c r="Q555" i="3" s="1"/>
  <c r="R555" i="3" s="1"/>
  <c r="F556" i="3" l="1"/>
  <c r="G556" i="3" s="1"/>
  <c r="H556" i="3" s="1"/>
  <c r="M555" i="3"/>
  <c r="N555" i="3"/>
  <c r="I556" i="3" l="1"/>
  <c r="J556" i="3"/>
  <c r="L556" i="3" l="1"/>
  <c r="K556" i="3"/>
  <c r="Q556" i="3" s="1"/>
  <c r="R556" i="3" s="1"/>
  <c r="F557" i="3" l="1"/>
  <c r="G557" i="3" s="1"/>
  <c r="H557" i="3" s="1"/>
  <c r="N556" i="3"/>
  <c r="M556" i="3"/>
  <c r="J557" i="3" l="1"/>
  <c r="I557" i="3"/>
  <c r="L557" i="3" l="1"/>
  <c r="K557" i="3"/>
  <c r="Q557" i="3" s="1"/>
  <c r="R557" i="3" s="1"/>
  <c r="F558" i="3" l="1"/>
  <c r="G558" i="3" s="1"/>
  <c r="H558" i="3" s="1"/>
  <c r="M557" i="3"/>
  <c r="N557" i="3"/>
  <c r="I558" i="3" l="1"/>
  <c r="J558" i="3"/>
  <c r="K558" i="3" l="1"/>
  <c r="Q558" i="3" s="1"/>
  <c r="R558" i="3" s="1"/>
  <c r="L558" i="3"/>
  <c r="N558" i="3" l="1"/>
  <c r="M558" i="3"/>
  <c r="F559" i="3"/>
  <c r="G559" i="3" s="1"/>
  <c r="H559" i="3" s="1"/>
  <c r="I559" i="3" l="1"/>
  <c r="J559" i="3"/>
  <c r="L559" i="3" l="1"/>
  <c r="K559" i="3"/>
  <c r="Q559" i="3" s="1"/>
  <c r="R559" i="3" s="1"/>
  <c r="N559" i="3" l="1"/>
  <c r="M559" i="3"/>
  <c r="F560" i="3"/>
  <c r="G560" i="3" s="1"/>
  <c r="H560" i="3" s="1"/>
  <c r="I560" i="3" l="1"/>
  <c r="J560" i="3"/>
  <c r="L560" i="3" l="1"/>
  <c r="K560" i="3"/>
  <c r="Q560" i="3" s="1"/>
  <c r="R560" i="3" s="1"/>
  <c r="F561" i="3" l="1"/>
  <c r="G561" i="3" s="1"/>
  <c r="H561" i="3" s="1"/>
  <c r="N560" i="3"/>
  <c r="M560" i="3"/>
  <c r="I561" i="3" l="1"/>
  <c r="J561" i="3"/>
  <c r="K561" i="3" l="1"/>
  <c r="Q561" i="3" s="1"/>
  <c r="R561" i="3" s="1"/>
  <c r="L561" i="3"/>
  <c r="M561" i="3" l="1"/>
  <c r="N561" i="3"/>
  <c r="F562" i="3"/>
  <c r="G562" i="3" s="1"/>
  <c r="H562" i="3" s="1"/>
  <c r="J562" i="3" l="1"/>
  <c r="I562" i="3"/>
  <c r="K562" i="3" l="1"/>
  <c r="Q562" i="3" s="1"/>
  <c r="R562" i="3" s="1"/>
  <c r="L562" i="3"/>
  <c r="N562" i="3" l="1"/>
  <c r="M562" i="3"/>
  <c r="F563" i="3"/>
  <c r="G563" i="3" s="1"/>
  <c r="H563" i="3" s="1"/>
  <c r="J563" i="3" l="1"/>
  <c r="I563" i="3"/>
  <c r="K563" i="3" l="1"/>
  <c r="Q563" i="3" s="1"/>
  <c r="R563" i="3" s="1"/>
  <c r="L563" i="3"/>
  <c r="N563" i="3" l="1"/>
  <c r="M563" i="3"/>
  <c r="F564" i="3"/>
  <c r="G564" i="3" s="1"/>
  <c r="H564" i="3" s="1"/>
  <c r="I564" i="3" l="1"/>
  <c r="J564" i="3"/>
  <c r="K564" i="3" l="1"/>
  <c r="Q564" i="3" s="1"/>
  <c r="R564" i="3" s="1"/>
  <c r="L564" i="3"/>
  <c r="F565" i="3" l="1"/>
  <c r="G565" i="3" s="1"/>
  <c r="H565" i="3" s="1"/>
  <c r="M564" i="3"/>
  <c r="N564" i="3"/>
  <c r="J565" i="3" l="1"/>
  <c r="I565" i="3"/>
  <c r="K565" i="3" l="1"/>
  <c r="Q565" i="3" s="1"/>
  <c r="R565" i="3" s="1"/>
  <c r="L565" i="3"/>
  <c r="F566" i="3" l="1"/>
  <c r="G566" i="3" s="1"/>
  <c r="H566" i="3" s="1"/>
  <c r="M565" i="3"/>
  <c r="N565" i="3"/>
  <c r="I566" i="3" l="1"/>
  <c r="J566" i="3"/>
  <c r="K566" i="3" l="1"/>
  <c r="Q566" i="3" s="1"/>
  <c r="R566" i="3" s="1"/>
  <c r="L566" i="3"/>
  <c r="F567" i="3" l="1"/>
  <c r="G567" i="3" s="1"/>
  <c r="H567" i="3" s="1"/>
  <c r="M566" i="3"/>
  <c r="N566" i="3"/>
  <c r="I567" i="3" l="1"/>
  <c r="J567" i="3"/>
  <c r="L567" i="3" l="1"/>
  <c r="K567" i="3"/>
  <c r="Q567" i="3" s="1"/>
  <c r="R567" i="3" s="1"/>
  <c r="F568" i="3" l="1"/>
  <c r="G568" i="3" s="1"/>
  <c r="H568" i="3" s="1"/>
  <c r="N567" i="3"/>
  <c r="M567" i="3"/>
  <c r="I568" i="3" l="1"/>
  <c r="J568" i="3"/>
  <c r="K568" i="3" l="1"/>
  <c r="Q568" i="3" s="1"/>
  <c r="R568" i="3" s="1"/>
  <c r="L568" i="3"/>
  <c r="M568" i="3" l="1"/>
  <c r="N568" i="3"/>
  <c r="F569" i="3"/>
  <c r="G569" i="3" s="1"/>
  <c r="H569" i="3" s="1"/>
  <c r="I569" i="3" l="1"/>
  <c r="J569" i="3"/>
  <c r="K569" i="3" l="1"/>
  <c r="Q569" i="3" s="1"/>
  <c r="R569" i="3" s="1"/>
  <c r="L569" i="3"/>
  <c r="N569" i="3" l="1"/>
  <c r="M569" i="3"/>
  <c r="F570" i="3"/>
  <c r="G570" i="3" s="1"/>
  <c r="H570" i="3" s="1"/>
  <c r="I570" i="3" l="1"/>
  <c r="J570" i="3"/>
  <c r="K570" i="3" l="1"/>
  <c r="Q570" i="3" s="1"/>
  <c r="R570" i="3" s="1"/>
  <c r="L570" i="3"/>
  <c r="N570" i="3" l="1"/>
  <c r="M570" i="3"/>
  <c r="F571" i="3"/>
  <c r="G571" i="3" s="1"/>
  <c r="H571" i="3" s="1"/>
  <c r="I571" i="3" l="1"/>
  <c r="J571" i="3"/>
  <c r="K571" i="3" l="1"/>
  <c r="Q571" i="3" s="1"/>
  <c r="R571" i="3" s="1"/>
  <c r="L571" i="3"/>
  <c r="M571" i="3" l="1"/>
  <c r="N571" i="3"/>
  <c r="F572" i="3"/>
  <c r="G572" i="3" s="1"/>
  <c r="H572" i="3" s="1"/>
  <c r="J572" i="3" l="1"/>
  <c r="I572" i="3"/>
  <c r="L572" i="3" l="1"/>
  <c r="K572" i="3"/>
  <c r="Q572" i="3" s="1"/>
  <c r="R572" i="3" s="1"/>
  <c r="F573" i="3" l="1"/>
  <c r="G573" i="3" s="1"/>
  <c r="H573" i="3" s="1"/>
  <c r="M572" i="3"/>
  <c r="N572" i="3"/>
  <c r="J573" i="3" l="1"/>
  <c r="I573" i="3"/>
  <c r="L573" i="3" l="1"/>
  <c r="K573" i="3"/>
  <c r="Q573" i="3" s="1"/>
  <c r="R573" i="3" s="1"/>
  <c r="F574" i="3" l="1"/>
  <c r="G574" i="3" s="1"/>
  <c r="H574" i="3" s="1"/>
  <c r="M573" i="3"/>
  <c r="N573" i="3"/>
  <c r="I574" i="3" l="1"/>
  <c r="J574" i="3"/>
  <c r="K574" i="3" l="1"/>
  <c r="Q574" i="3" s="1"/>
  <c r="R574" i="3" s="1"/>
  <c r="L574" i="3"/>
  <c r="N574" i="3" l="1"/>
  <c r="M574" i="3"/>
  <c r="F575" i="3"/>
  <c r="G575" i="3" s="1"/>
  <c r="H575" i="3" s="1"/>
  <c r="J575" i="3" l="1"/>
  <c r="I575" i="3"/>
  <c r="L575" i="3" l="1"/>
  <c r="K575" i="3"/>
  <c r="Q575" i="3" s="1"/>
  <c r="R575" i="3" s="1"/>
  <c r="F576" i="3" l="1"/>
  <c r="G576" i="3" s="1"/>
  <c r="H576" i="3" s="1"/>
  <c r="N575" i="3"/>
  <c r="M575" i="3"/>
  <c r="J576" i="3" l="1"/>
  <c r="I576" i="3"/>
  <c r="L576" i="3" l="1"/>
  <c r="K576" i="3"/>
  <c r="Q576" i="3" s="1"/>
  <c r="R576" i="3" s="1"/>
  <c r="F577" i="3" l="1"/>
  <c r="G577" i="3" s="1"/>
  <c r="H577" i="3" s="1"/>
  <c r="N576" i="3"/>
  <c r="M576" i="3"/>
  <c r="I577" i="3" l="1"/>
  <c r="J577" i="3"/>
  <c r="L577" i="3" l="1"/>
  <c r="K577" i="3"/>
  <c r="Q577" i="3" s="1"/>
  <c r="R577" i="3" s="1"/>
  <c r="F578" i="3" l="1"/>
  <c r="G578" i="3" s="1"/>
  <c r="H578" i="3" s="1"/>
  <c r="N577" i="3"/>
  <c r="M577" i="3"/>
  <c r="J578" i="3" l="1"/>
  <c r="I578" i="3"/>
  <c r="K578" i="3" l="1"/>
  <c r="Q578" i="3" s="1"/>
  <c r="R578" i="3" s="1"/>
  <c r="L578" i="3"/>
  <c r="F579" i="3" l="1"/>
  <c r="G579" i="3" s="1"/>
  <c r="H579" i="3" s="1"/>
  <c r="M578" i="3"/>
  <c r="N578" i="3"/>
  <c r="I579" i="3" l="1"/>
  <c r="J579" i="3"/>
  <c r="L579" i="3" l="1"/>
  <c r="K579" i="3"/>
  <c r="Q579" i="3" s="1"/>
  <c r="R579" i="3" s="1"/>
  <c r="F580" i="3" l="1"/>
  <c r="G580" i="3" s="1"/>
  <c r="H580" i="3" s="1"/>
  <c r="M579" i="3"/>
  <c r="N579" i="3"/>
  <c r="I580" i="3" l="1"/>
  <c r="J580" i="3"/>
  <c r="K580" i="3" l="1"/>
  <c r="Q580" i="3" s="1"/>
  <c r="R580" i="3" s="1"/>
  <c r="L580" i="3"/>
  <c r="M580" i="3" l="1"/>
  <c r="N580" i="3"/>
  <c r="F581" i="3"/>
  <c r="G581" i="3" s="1"/>
  <c r="H581" i="3" s="1"/>
  <c r="J581" i="3" l="1"/>
  <c r="I581" i="3"/>
  <c r="K581" i="3" l="1"/>
  <c r="Q581" i="3" s="1"/>
  <c r="R581" i="3" s="1"/>
  <c r="L581" i="3"/>
  <c r="N581" i="3" l="1"/>
  <c r="M581" i="3"/>
  <c r="F582" i="3"/>
  <c r="G582" i="3" s="1"/>
  <c r="H582" i="3" s="1"/>
  <c r="J582" i="3" l="1"/>
  <c r="I582" i="3"/>
  <c r="K582" i="3" l="1"/>
  <c r="Q582" i="3" s="1"/>
  <c r="R582" i="3" s="1"/>
  <c r="L582" i="3"/>
  <c r="F583" i="3" l="1"/>
  <c r="G583" i="3" s="1"/>
  <c r="H583" i="3" s="1"/>
  <c r="N582" i="3"/>
  <c r="M582" i="3"/>
  <c r="I583" i="3" l="1"/>
  <c r="J583" i="3"/>
  <c r="K583" i="3" l="1"/>
  <c r="Q583" i="3" s="1"/>
  <c r="R583" i="3" s="1"/>
  <c r="L583" i="3"/>
  <c r="N583" i="3" l="1"/>
  <c r="M583" i="3"/>
  <c r="F584" i="3"/>
  <c r="G584" i="3" s="1"/>
  <c r="H584" i="3" s="1"/>
  <c r="I584" i="3" l="1"/>
  <c r="J584" i="3"/>
  <c r="K584" i="3" l="1"/>
  <c r="Q584" i="3" s="1"/>
  <c r="R584" i="3" s="1"/>
  <c r="L584" i="3"/>
  <c r="N584" i="3" l="1"/>
  <c r="M584" i="3"/>
  <c r="F585" i="3"/>
  <c r="G585" i="3" s="1"/>
  <c r="H585" i="3" s="1"/>
  <c r="I585" i="3" l="1"/>
  <c r="J585" i="3"/>
  <c r="L585" i="3" l="1"/>
  <c r="K585" i="3"/>
  <c r="Q585" i="3" s="1"/>
  <c r="R585" i="3" s="1"/>
  <c r="F586" i="3" l="1"/>
  <c r="G586" i="3" s="1"/>
  <c r="H586" i="3" s="1"/>
  <c r="M585" i="3"/>
  <c r="N585" i="3"/>
  <c r="I586" i="3" l="1"/>
  <c r="J586" i="3"/>
  <c r="K586" i="3" l="1"/>
  <c r="Q586" i="3" s="1"/>
  <c r="R586" i="3" s="1"/>
  <c r="L586" i="3"/>
  <c r="F587" i="3" l="1"/>
  <c r="G587" i="3" s="1"/>
  <c r="H587" i="3" s="1"/>
  <c r="M586" i="3"/>
  <c r="N586" i="3"/>
  <c r="I587" i="3" l="1"/>
  <c r="J587" i="3"/>
  <c r="L587" i="3" l="1"/>
  <c r="K587" i="3"/>
  <c r="Q587" i="3" s="1"/>
  <c r="R587" i="3" s="1"/>
  <c r="N587" i="3" l="1"/>
  <c r="M587" i="3"/>
  <c r="F588" i="3"/>
  <c r="G588" i="3" s="1"/>
  <c r="H588" i="3" s="1"/>
  <c r="I588" i="3" l="1"/>
  <c r="J588" i="3"/>
  <c r="K588" i="3" l="1"/>
  <c r="Q588" i="3" s="1"/>
  <c r="R588" i="3" s="1"/>
  <c r="L588" i="3"/>
  <c r="N588" i="3" l="1"/>
  <c r="M588" i="3"/>
  <c r="F589" i="3"/>
  <c r="G589" i="3" s="1"/>
  <c r="H589" i="3" s="1"/>
  <c r="J589" i="3" l="1"/>
  <c r="I589" i="3"/>
  <c r="K589" i="3" l="1"/>
  <c r="Q589" i="3" s="1"/>
  <c r="R589" i="3" s="1"/>
  <c r="L589" i="3"/>
  <c r="N589" i="3" l="1"/>
  <c r="M589" i="3"/>
  <c r="F590" i="3"/>
  <c r="G590" i="3" s="1"/>
  <c r="H590" i="3" s="1"/>
  <c r="I590" i="3" l="1"/>
  <c r="J590" i="3"/>
  <c r="K590" i="3" l="1"/>
  <c r="Q590" i="3" s="1"/>
  <c r="R590" i="3" s="1"/>
  <c r="L590" i="3"/>
  <c r="N590" i="3" l="1"/>
  <c r="M590" i="3"/>
  <c r="F591" i="3"/>
  <c r="G591" i="3" s="1"/>
  <c r="H591" i="3" s="1"/>
  <c r="J591" i="3" l="1"/>
  <c r="I591" i="3"/>
  <c r="L591" i="3" l="1"/>
  <c r="K591" i="3"/>
  <c r="Q591" i="3" s="1"/>
  <c r="R591" i="3" s="1"/>
  <c r="F592" i="3" l="1"/>
  <c r="G592" i="3" s="1"/>
  <c r="H592" i="3" s="1"/>
  <c r="M591" i="3"/>
  <c r="N591" i="3"/>
  <c r="I592" i="3" l="1"/>
  <c r="J592" i="3"/>
  <c r="K592" i="3" l="1"/>
  <c r="Q592" i="3" s="1"/>
  <c r="R592" i="3" s="1"/>
  <c r="L592" i="3"/>
  <c r="N592" i="3" l="1"/>
  <c r="M592" i="3"/>
  <c r="F593" i="3"/>
  <c r="G593" i="3" s="1"/>
  <c r="H593" i="3" s="1"/>
  <c r="J593" i="3" l="1"/>
  <c r="I593" i="3"/>
  <c r="K593" i="3" l="1"/>
  <c r="Q593" i="3" s="1"/>
  <c r="R593" i="3" s="1"/>
  <c r="L593" i="3"/>
  <c r="N593" i="3" l="1"/>
  <c r="M593" i="3"/>
  <c r="F594" i="3"/>
  <c r="G594" i="3" s="1"/>
  <c r="H594" i="3" s="1"/>
  <c r="J594" i="3" l="1"/>
  <c r="I594" i="3"/>
  <c r="K594" i="3" l="1"/>
  <c r="Q594" i="3" s="1"/>
  <c r="R594" i="3" s="1"/>
  <c r="L594" i="3"/>
  <c r="M594" i="3" l="1"/>
  <c r="N594" i="3"/>
  <c r="F595" i="3"/>
  <c r="G595" i="3" s="1"/>
  <c r="H595" i="3" s="1"/>
  <c r="I595" i="3" l="1"/>
  <c r="J595" i="3"/>
  <c r="K595" i="3" l="1"/>
  <c r="Q595" i="3" s="1"/>
  <c r="R595" i="3" s="1"/>
  <c r="L595" i="3"/>
  <c r="F596" i="3" l="1"/>
  <c r="G596" i="3" s="1"/>
  <c r="H596" i="3" s="1"/>
  <c r="M595" i="3"/>
  <c r="N595" i="3"/>
  <c r="J596" i="3" l="1"/>
  <c r="I596" i="3"/>
  <c r="L596" i="3" l="1"/>
  <c r="K596" i="3"/>
  <c r="Q596" i="3" s="1"/>
  <c r="R596" i="3" s="1"/>
  <c r="F597" i="3" l="1"/>
  <c r="G597" i="3" s="1"/>
  <c r="H597" i="3" s="1"/>
  <c r="N596" i="3"/>
  <c r="M596" i="3"/>
  <c r="J597" i="3" l="1"/>
  <c r="I597" i="3"/>
  <c r="K597" i="3" l="1"/>
  <c r="Q597" i="3" s="1"/>
  <c r="R597" i="3" s="1"/>
  <c r="L597" i="3"/>
  <c r="N597" i="3" l="1"/>
  <c r="M597" i="3"/>
  <c r="F598" i="3"/>
  <c r="G598" i="3" s="1"/>
  <c r="H598" i="3" s="1"/>
  <c r="J598" i="3" l="1"/>
  <c r="I598" i="3"/>
  <c r="K598" i="3" l="1"/>
  <c r="Q598" i="3" s="1"/>
  <c r="R598" i="3" s="1"/>
  <c r="L598" i="3"/>
  <c r="M598" i="3" l="1"/>
  <c r="N598" i="3"/>
  <c r="F599" i="3"/>
  <c r="G599" i="3" s="1"/>
  <c r="H599" i="3" s="1"/>
  <c r="I599" i="3" l="1"/>
  <c r="J599" i="3"/>
  <c r="K599" i="3" l="1"/>
  <c r="Q599" i="3" s="1"/>
  <c r="R599" i="3" s="1"/>
  <c r="L599" i="3"/>
  <c r="F600" i="3" l="1"/>
  <c r="G600" i="3" s="1"/>
  <c r="H600" i="3" s="1"/>
  <c r="M599" i="3"/>
  <c r="N599" i="3"/>
  <c r="I600" i="3" l="1"/>
  <c r="J600" i="3"/>
  <c r="L600" i="3" l="1"/>
  <c r="K600" i="3"/>
  <c r="Q600" i="3" s="1"/>
  <c r="R600" i="3" s="1"/>
  <c r="F601" i="3" l="1"/>
  <c r="G601" i="3" s="1"/>
  <c r="H601" i="3" s="1"/>
  <c r="N600" i="3"/>
  <c r="M600" i="3"/>
  <c r="I601" i="3" l="1"/>
  <c r="J601" i="3"/>
  <c r="K601" i="3" l="1"/>
  <c r="Q601" i="3" s="1"/>
  <c r="R601" i="3" s="1"/>
  <c r="L601" i="3"/>
  <c r="M601" i="3" l="1"/>
  <c r="N601" i="3"/>
  <c r="F602" i="3"/>
  <c r="G602" i="3" s="1"/>
  <c r="H602" i="3" s="1"/>
  <c r="I602" i="3" l="1"/>
  <c r="J602" i="3"/>
  <c r="K602" i="3" l="1"/>
  <c r="Q602" i="3" s="1"/>
  <c r="R602" i="3" s="1"/>
  <c r="L602" i="3"/>
  <c r="N602" i="3" l="1"/>
  <c r="M602" i="3"/>
  <c r="F603" i="3"/>
  <c r="G603" i="3" s="1"/>
  <c r="H603" i="3" s="1"/>
  <c r="J603" i="3" l="1"/>
  <c r="I603" i="3"/>
  <c r="K603" i="3" l="1"/>
  <c r="Q603" i="3" s="1"/>
  <c r="R603" i="3" s="1"/>
  <c r="L603" i="3"/>
  <c r="M603" i="3" l="1"/>
  <c r="N603" i="3"/>
  <c r="F604" i="3"/>
  <c r="G604" i="3" s="1"/>
  <c r="H604" i="3" s="1"/>
  <c r="I604" i="3" l="1"/>
  <c r="J604" i="3"/>
  <c r="L604" i="3" l="1"/>
  <c r="K604" i="3"/>
  <c r="Q604" i="3" s="1"/>
  <c r="R604" i="3" s="1"/>
  <c r="F605" i="3" l="1"/>
  <c r="G605" i="3" s="1"/>
  <c r="H605" i="3" s="1"/>
  <c r="M604" i="3"/>
  <c r="N604" i="3"/>
  <c r="I605" i="3" l="1"/>
  <c r="J605" i="3"/>
  <c r="L605" i="3" l="1"/>
  <c r="K605" i="3"/>
  <c r="Q605" i="3" s="1"/>
  <c r="R605" i="3" s="1"/>
  <c r="F606" i="3" l="1"/>
  <c r="G606" i="3" s="1"/>
  <c r="H606" i="3" s="1"/>
  <c r="N605" i="3"/>
  <c r="M605" i="3"/>
  <c r="J606" i="3" l="1"/>
  <c r="I606" i="3"/>
  <c r="K606" i="3" l="1"/>
  <c r="Q606" i="3" s="1"/>
  <c r="R606" i="3" s="1"/>
  <c r="L606" i="3"/>
  <c r="M606" i="3" l="1"/>
  <c r="N606" i="3"/>
  <c r="F607" i="3"/>
  <c r="G607" i="3" s="1"/>
  <c r="H607" i="3" s="1"/>
  <c r="I607" i="3" l="1"/>
  <c r="J607" i="3"/>
  <c r="L607" i="3" l="1"/>
  <c r="K607" i="3"/>
  <c r="Q607" i="3" s="1"/>
  <c r="R607" i="3" s="1"/>
  <c r="F608" i="3" l="1"/>
  <c r="G608" i="3" s="1"/>
  <c r="H608" i="3" s="1"/>
  <c r="N607" i="3"/>
  <c r="M607" i="3"/>
  <c r="I608" i="3" l="1"/>
  <c r="J608" i="3"/>
  <c r="L608" i="3" l="1"/>
  <c r="K608" i="3"/>
  <c r="Q608" i="3" s="1"/>
  <c r="R608" i="3" s="1"/>
  <c r="F609" i="3" l="1"/>
  <c r="G609" i="3" s="1"/>
  <c r="H609" i="3" s="1"/>
  <c r="N608" i="3"/>
  <c r="M608" i="3"/>
  <c r="J609" i="3" l="1"/>
  <c r="I609" i="3"/>
  <c r="L609" i="3" l="1"/>
  <c r="K609" i="3"/>
  <c r="Q609" i="3" s="1"/>
  <c r="R609" i="3" s="1"/>
  <c r="M609" i="3" l="1"/>
  <c r="N609" i="3"/>
  <c r="F610" i="3"/>
  <c r="G610" i="3" s="1"/>
  <c r="H610" i="3" s="1"/>
  <c r="J610" i="3" l="1"/>
  <c r="I610" i="3"/>
  <c r="K610" i="3" l="1"/>
  <c r="Q610" i="3" s="1"/>
  <c r="R610" i="3" s="1"/>
  <c r="L610" i="3"/>
  <c r="M610" i="3" l="1"/>
  <c r="N610" i="3"/>
  <c r="F611" i="3"/>
  <c r="G611" i="3" s="1"/>
  <c r="H611" i="3" s="1"/>
  <c r="I611" i="3" l="1"/>
  <c r="J611" i="3"/>
  <c r="K611" i="3" l="1"/>
  <c r="Q611" i="3" s="1"/>
  <c r="R611" i="3" s="1"/>
  <c r="L611" i="3"/>
  <c r="M611" i="3" l="1"/>
  <c r="N611" i="3"/>
  <c r="F612" i="3"/>
  <c r="G612" i="3" s="1"/>
  <c r="H612" i="3" s="1"/>
  <c r="I612" i="3" l="1"/>
  <c r="J612" i="3"/>
  <c r="L612" i="3" l="1"/>
  <c r="K612" i="3"/>
  <c r="Q612" i="3" s="1"/>
  <c r="R612" i="3" s="1"/>
  <c r="F613" i="3" l="1"/>
  <c r="G613" i="3" s="1"/>
  <c r="H613" i="3" s="1"/>
  <c r="N612" i="3"/>
  <c r="M612" i="3"/>
  <c r="I613" i="3" l="1"/>
  <c r="J613" i="3"/>
  <c r="K613" i="3" l="1"/>
  <c r="Q613" i="3" s="1"/>
  <c r="R613" i="3" s="1"/>
  <c r="L613" i="3"/>
  <c r="N613" i="3" l="1"/>
  <c r="M613" i="3"/>
  <c r="F614" i="3"/>
  <c r="G614" i="3" s="1"/>
  <c r="H614" i="3" s="1"/>
  <c r="I614" i="3" l="1"/>
  <c r="J614" i="3"/>
  <c r="K614" i="3" l="1"/>
  <c r="Q614" i="3" s="1"/>
  <c r="R614" i="3" s="1"/>
  <c r="L614" i="3"/>
  <c r="N614" i="3" l="1"/>
  <c r="M614" i="3"/>
  <c r="F615" i="3"/>
  <c r="G615" i="3" s="1"/>
  <c r="H615" i="3" s="1"/>
  <c r="J615" i="3" l="1"/>
  <c r="I615" i="3"/>
  <c r="L615" i="3" l="1"/>
  <c r="K615" i="3"/>
  <c r="Q615" i="3" s="1"/>
  <c r="R615" i="3" s="1"/>
  <c r="F616" i="3" l="1"/>
  <c r="G616" i="3" s="1"/>
  <c r="H616" i="3" s="1"/>
  <c r="M615" i="3"/>
  <c r="N615" i="3"/>
  <c r="I616" i="3" l="1"/>
  <c r="J616" i="3"/>
  <c r="K616" i="3" l="1"/>
  <c r="Q616" i="3" s="1"/>
  <c r="R616" i="3" s="1"/>
  <c r="L616" i="3"/>
  <c r="M616" i="3" l="1"/>
  <c r="N616" i="3"/>
  <c r="F617" i="3"/>
  <c r="G617" i="3" s="1"/>
  <c r="H617" i="3" s="1"/>
  <c r="I617" i="3" l="1"/>
  <c r="J617" i="3"/>
  <c r="L617" i="3" l="1"/>
  <c r="K617" i="3"/>
  <c r="Q617" i="3" s="1"/>
  <c r="R617" i="3" s="1"/>
  <c r="F618" i="3" l="1"/>
  <c r="G618" i="3" s="1"/>
  <c r="H618" i="3" s="1"/>
  <c r="N617" i="3"/>
  <c r="M617" i="3"/>
  <c r="J618" i="3" l="1"/>
  <c r="I618" i="3"/>
  <c r="K618" i="3" l="1"/>
  <c r="Q618" i="3" s="1"/>
  <c r="R618" i="3" s="1"/>
  <c r="L618" i="3"/>
  <c r="M618" i="3" l="1"/>
  <c r="N618" i="3"/>
  <c r="F619" i="3"/>
  <c r="G619" i="3" s="1"/>
  <c r="H619" i="3" s="1"/>
  <c r="J619" i="3" l="1"/>
  <c r="I619" i="3"/>
  <c r="K619" i="3" l="1"/>
  <c r="Q619" i="3" s="1"/>
  <c r="R619" i="3" s="1"/>
  <c r="L619" i="3"/>
  <c r="N619" i="3" l="1"/>
  <c r="M619" i="3"/>
  <c r="F620" i="3"/>
  <c r="G620" i="3" s="1"/>
  <c r="H620" i="3" s="1"/>
  <c r="I620" i="3" l="1"/>
  <c r="J620" i="3"/>
  <c r="K620" i="3" l="1"/>
  <c r="Q620" i="3" s="1"/>
  <c r="R620" i="3" s="1"/>
  <c r="L620" i="3"/>
  <c r="M620" i="3" l="1"/>
  <c r="N620" i="3"/>
  <c r="F621" i="3"/>
  <c r="G621" i="3" s="1"/>
  <c r="H621" i="3" s="1"/>
  <c r="J621" i="3" l="1"/>
  <c r="I621" i="3"/>
  <c r="L621" i="3" l="1"/>
  <c r="K621" i="3"/>
  <c r="Q621" i="3" s="1"/>
  <c r="R621" i="3" s="1"/>
  <c r="F622" i="3" l="1"/>
  <c r="G622" i="3" s="1"/>
  <c r="H622" i="3" s="1"/>
  <c r="N621" i="3"/>
  <c r="M621" i="3"/>
  <c r="I622" i="3" l="1"/>
  <c r="J622" i="3"/>
  <c r="L622" i="3" l="1"/>
  <c r="K622" i="3"/>
  <c r="Q622" i="3" s="1"/>
  <c r="R622" i="3" s="1"/>
  <c r="F623" i="3" l="1"/>
  <c r="G623" i="3" s="1"/>
  <c r="H623" i="3" s="1"/>
  <c r="N622" i="3"/>
  <c r="M622" i="3"/>
  <c r="I623" i="3" l="1"/>
  <c r="J623" i="3"/>
  <c r="K623" i="3" l="1"/>
  <c r="Q623" i="3" s="1"/>
  <c r="R623" i="3" s="1"/>
  <c r="L623" i="3"/>
  <c r="N623" i="3" l="1"/>
  <c r="M623" i="3"/>
  <c r="F624" i="3"/>
  <c r="G624" i="3" s="1"/>
  <c r="H624" i="3" s="1"/>
  <c r="J624" i="3" l="1"/>
  <c r="I624" i="3"/>
  <c r="L624" i="3" l="1"/>
  <c r="K624" i="3"/>
  <c r="Q624" i="3" s="1"/>
  <c r="R624" i="3" s="1"/>
  <c r="F625" i="3" l="1"/>
  <c r="G625" i="3" s="1"/>
  <c r="H625" i="3" s="1"/>
  <c r="M624" i="3"/>
  <c r="N624" i="3"/>
  <c r="J625" i="3" l="1"/>
  <c r="I625" i="3"/>
  <c r="L625" i="3" l="1"/>
  <c r="K625" i="3"/>
  <c r="Q625" i="3" s="1"/>
  <c r="R625" i="3" s="1"/>
  <c r="F626" i="3" l="1"/>
  <c r="G626" i="3" s="1"/>
  <c r="H626" i="3" s="1"/>
  <c r="M625" i="3"/>
  <c r="N625" i="3"/>
  <c r="I626" i="3" l="1"/>
  <c r="J626" i="3"/>
  <c r="K626" i="3" l="1"/>
  <c r="Q626" i="3" s="1"/>
  <c r="R626" i="3" s="1"/>
  <c r="L626" i="3"/>
  <c r="M626" i="3" l="1"/>
  <c r="N626" i="3"/>
  <c r="F627" i="3"/>
  <c r="G627" i="3" s="1"/>
  <c r="H627" i="3" s="1"/>
  <c r="I627" i="3" l="1"/>
  <c r="J627" i="3"/>
  <c r="K627" i="3" l="1"/>
  <c r="Q627" i="3" s="1"/>
  <c r="R627" i="3" s="1"/>
  <c r="L627" i="3"/>
  <c r="M627" i="3" l="1"/>
  <c r="N627" i="3"/>
  <c r="F628" i="3"/>
  <c r="G628" i="3" s="1"/>
  <c r="H628" i="3" s="1"/>
  <c r="I628" i="3" l="1"/>
  <c r="J628" i="3"/>
  <c r="K628" i="3" l="1"/>
  <c r="Q628" i="3" s="1"/>
  <c r="R628" i="3" s="1"/>
  <c r="L628" i="3"/>
  <c r="N628" i="3" l="1"/>
  <c r="M628" i="3"/>
  <c r="F629" i="3"/>
  <c r="G629" i="3" s="1"/>
  <c r="H629" i="3" s="1"/>
  <c r="I629" i="3" l="1"/>
  <c r="J629" i="3"/>
  <c r="K629" i="3" l="1"/>
  <c r="Q629" i="3" s="1"/>
  <c r="R629" i="3" s="1"/>
  <c r="L629" i="3"/>
  <c r="N629" i="3" l="1"/>
  <c r="M629" i="3"/>
  <c r="F630" i="3"/>
  <c r="G630" i="3" s="1"/>
  <c r="H630" i="3" s="1"/>
  <c r="J630" i="3" l="1"/>
  <c r="I630" i="3"/>
  <c r="K630" i="3" l="1"/>
  <c r="Q630" i="3" s="1"/>
  <c r="R630" i="3" s="1"/>
  <c r="L630" i="3"/>
  <c r="M630" i="3" l="1"/>
  <c r="N630" i="3"/>
  <c r="F631" i="3"/>
  <c r="G631" i="3" s="1"/>
  <c r="H631" i="3" s="1"/>
  <c r="I631" i="3" l="1"/>
  <c r="J631" i="3"/>
  <c r="L631" i="3" l="1"/>
  <c r="K631" i="3"/>
  <c r="Q631" i="3" s="1"/>
  <c r="R631" i="3" s="1"/>
  <c r="F632" i="3" l="1"/>
  <c r="G632" i="3" s="1"/>
  <c r="H632" i="3" s="1"/>
  <c r="M631" i="3"/>
  <c r="N631" i="3"/>
  <c r="J632" i="3" l="1"/>
  <c r="I632" i="3"/>
  <c r="L632" i="3" l="1"/>
  <c r="K632" i="3"/>
  <c r="Q632" i="3" s="1"/>
  <c r="R632" i="3" s="1"/>
  <c r="F633" i="3" l="1"/>
  <c r="G633" i="3" s="1"/>
  <c r="H633" i="3" s="1"/>
  <c r="M632" i="3"/>
  <c r="N632" i="3"/>
  <c r="I633" i="3" l="1"/>
  <c r="J633" i="3"/>
  <c r="K633" i="3" l="1"/>
  <c r="Q633" i="3" s="1"/>
  <c r="R633" i="3" s="1"/>
  <c r="L633" i="3"/>
  <c r="M633" i="3" l="1"/>
  <c r="N633" i="3"/>
  <c r="F634" i="3"/>
  <c r="G634" i="3" s="1"/>
  <c r="H634" i="3" s="1"/>
  <c r="J634" i="3" l="1"/>
  <c r="I634" i="3"/>
  <c r="L634" i="3" l="1"/>
  <c r="K634" i="3"/>
  <c r="Q634" i="3" s="1"/>
  <c r="R634" i="3" s="1"/>
  <c r="F635" i="3" l="1"/>
  <c r="G635" i="3" s="1"/>
  <c r="H635" i="3" s="1"/>
  <c r="M634" i="3"/>
  <c r="N634" i="3"/>
  <c r="J635" i="3" l="1"/>
  <c r="I635" i="3"/>
  <c r="L635" i="3" l="1"/>
  <c r="K635" i="3"/>
  <c r="Q635" i="3" s="1"/>
  <c r="R635" i="3" s="1"/>
  <c r="F636" i="3" l="1"/>
  <c r="G636" i="3" s="1"/>
  <c r="H636" i="3" s="1"/>
  <c r="N635" i="3"/>
  <c r="M635" i="3"/>
  <c r="J636" i="3" l="1"/>
  <c r="I636" i="3"/>
  <c r="L636" i="3" l="1"/>
  <c r="K636" i="3"/>
  <c r="Q636" i="3" s="1"/>
  <c r="R636" i="3" s="1"/>
  <c r="F637" i="3" l="1"/>
  <c r="G637" i="3" s="1"/>
  <c r="H637" i="3" s="1"/>
  <c r="N636" i="3"/>
  <c r="M636" i="3"/>
  <c r="I637" i="3" l="1"/>
  <c r="J637" i="3"/>
  <c r="K637" i="3" l="1"/>
  <c r="Q637" i="3" s="1"/>
  <c r="R637" i="3" s="1"/>
  <c r="L637" i="3"/>
  <c r="M637" i="3" l="1"/>
  <c r="N637" i="3"/>
  <c r="F638" i="3"/>
  <c r="G638" i="3" s="1"/>
  <c r="H638" i="3" s="1"/>
  <c r="J638" i="3" l="1"/>
  <c r="I638" i="3"/>
  <c r="K638" i="3" l="1"/>
  <c r="Q638" i="3" s="1"/>
  <c r="R638" i="3" s="1"/>
  <c r="L638" i="3"/>
  <c r="N638" i="3" l="1"/>
  <c r="M638" i="3"/>
  <c r="F639" i="3"/>
  <c r="G639" i="3" s="1"/>
  <c r="H639" i="3" s="1"/>
  <c r="J639" i="3" l="1"/>
  <c r="I639" i="3"/>
  <c r="K639" i="3" l="1"/>
  <c r="Q639" i="3" s="1"/>
  <c r="R639" i="3" s="1"/>
  <c r="L639" i="3"/>
  <c r="N639" i="3" l="1"/>
  <c r="M639" i="3"/>
  <c r="F640" i="3"/>
  <c r="G640" i="3" s="1"/>
  <c r="H640" i="3" s="1"/>
  <c r="I640" i="3" l="1"/>
  <c r="J640" i="3"/>
  <c r="K640" i="3" l="1"/>
  <c r="Q640" i="3" s="1"/>
  <c r="R640" i="3" s="1"/>
  <c r="L640" i="3"/>
  <c r="N640" i="3" l="1"/>
  <c r="M640" i="3"/>
  <c r="F641" i="3"/>
  <c r="G641" i="3" s="1"/>
  <c r="H641" i="3" s="1"/>
  <c r="J641" i="3" l="1"/>
  <c r="I641" i="3"/>
  <c r="L641" i="3" l="1"/>
  <c r="K641" i="3"/>
  <c r="Q641" i="3" s="1"/>
  <c r="R641" i="3" s="1"/>
  <c r="F642" i="3" l="1"/>
  <c r="G642" i="3" s="1"/>
  <c r="H642" i="3" s="1"/>
  <c r="N641" i="3"/>
  <c r="M641" i="3"/>
  <c r="I642" i="3" l="1"/>
  <c r="J642" i="3"/>
  <c r="K642" i="3" l="1"/>
  <c r="Q642" i="3" s="1"/>
  <c r="R642" i="3" s="1"/>
  <c r="L642" i="3"/>
  <c r="N642" i="3" l="1"/>
  <c r="M642" i="3"/>
  <c r="F643" i="3"/>
  <c r="G643" i="3" s="1"/>
  <c r="H643" i="3" s="1"/>
  <c r="I643" i="3" l="1"/>
  <c r="J643" i="3"/>
  <c r="L643" i="3" l="1"/>
  <c r="K643" i="3"/>
  <c r="Q643" i="3" s="1"/>
  <c r="R643" i="3" s="1"/>
  <c r="F644" i="3" l="1"/>
  <c r="G644" i="3" s="1"/>
  <c r="H644" i="3" s="1"/>
  <c r="N643" i="3"/>
  <c r="M643" i="3"/>
  <c r="I644" i="3" l="1"/>
  <c r="J644" i="3"/>
  <c r="L644" i="3" l="1"/>
  <c r="K644" i="3"/>
  <c r="Q644" i="3" s="1"/>
  <c r="R644" i="3" s="1"/>
  <c r="F645" i="3" l="1"/>
  <c r="G645" i="3" s="1"/>
  <c r="H645" i="3" s="1"/>
  <c r="M644" i="3"/>
  <c r="N644" i="3"/>
  <c r="J645" i="3" l="1"/>
  <c r="I645" i="3"/>
  <c r="K645" i="3" l="1"/>
  <c r="Q645" i="3" s="1"/>
  <c r="R645" i="3" s="1"/>
  <c r="L645" i="3"/>
  <c r="M645" i="3" l="1"/>
  <c r="N645" i="3"/>
  <c r="F646" i="3"/>
  <c r="G646" i="3" s="1"/>
  <c r="H646" i="3" s="1"/>
  <c r="I646" i="3" l="1"/>
  <c r="J646" i="3"/>
  <c r="L646" i="3" l="1"/>
  <c r="K646" i="3"/>
  <c r="Q646" i="3" s="1"/>
  <c r="R646" i="3" s="1"/>
  <c r="F647" i="3" l="1"/>
  <c r="G647" i="3" s="1"/>
  <c r="H647" i="3" s="1"/>
  <c r="N646" i="3"/>
  <c r="M646" i="3"/>
  <c r="J647" i="3" l="1"/>
  <c r="I647" i="3"/>
  <c r="L647" i="3" l="1"/>
  <c r="K647" i="3"/>
  <c r="Q647" i="3" s="1"/>
  <c r="R647" i="3" s="1"/>
  <c r="F648" i="3" l="1"/>
  <c r="G648" i="3" s="1"/>
  <c r="H648" i="3" s="1"/>
  <c r="N647" i="3"/>
  <c r="M647" i="3"/>
  <c r="I648" i="3" l="1"/>
  <c r="J648" i="3"/>
  <c r="K648" i="3" l="1"/>
  <c r="Q648" i="3" s="1"/>
  <c r="R648" i="3" s="1"/>
  <c r="L648" i="3"/>
  <c r="M648" i="3" l="1"/>
  <c r="N648" i="3"/>
  <c r="F649" i="3"/>
  <c r="G649" i="3" s="1"/>
  <c r="H649" i="3" s="1"/>
  <c r="J649" i="3" l="1"/>
  <c r="I649" i="3"/>
  <c r="K649" i="3" l="1"/>
  <c r="Q649" i="3" s="1"/>
  <c r="R649" i="3" s="1"/>
  <c r="L649" i="3"/>
  <c r="N649" i="3" l="1"/>
  <c r="M649" i="3"/>
  <c r="F650" i="3"/>
  <c r="G650" i="3" s="1"/>
  <c r="H650" i="3" s="1"/>
  <c r="J650" i="3" l="1"/>
  <c r="I650" i="3"/>
  <c r="L650" i="3" l="1"/>
  <c r="K650" i="3"/>
  <c r="Q650" i="3" s="1"/>
  <c r="R650" i="3" s="1"/>
  <c r="F651" i="3" l="1"/>
  <c r="G651" i="3" s="1"/>
  <c r="H651" i="3" s="1"/>
  <c r="M650" i="3"/>
  <c r="N650" i="3"/>
  <c r="J651" i="3" l="1"/>
  <c r="I651" i="3"/>
  <c r="L651" i="3" l="1"/>
  <c r="K651" i="3"/>
  <c r="Q651" i="3" s="1"/>
  <c r="R651" i="3" s="1"/>
  <c r="M651" i="3" l="1"/>
  <c r="N651" i="3"/>
  <c r="F652" i="3"/>
  <c r="G652" i="3" s="1"/>
  <c r="H652" i="3" s="1"/>
  <c r="I652" i="3" l="1"/>
  <c r="J652" i="3"/>
  <c r="K652" i="3" l="1"/>
  <c r="Q652" i="3" s="1"/>
  <c r="R652" i="3" s="1"/>
  <c r="L652" i="3"/>
  <c r="N652" i="3" l="1"/>
  <c r="M652" i="3"/>
  <c r="F653" i="3"/>
  <c r="G653" i="3" s="1"/>
  <c r="H653" i="3" s="1"/>
  <c r="J653" i="3" l="1"/>
  <c r="I653" i="3"/>
  <c r="K653" i="3" l="1"/>
  <c r="Q653" i="3" s="1"/>
  <c r="R653" i="3" s="1"/>
  <c r="L653" i="3"/>
  <c r="N653" i="3" l="1"/>
  <c r="M653" i="3"/>
  <c r="F654" i="3"/>
  <c r="G654" i="3" s="1"/>
  <c r="H654" i="3" s="1"/>
  <c r="J654" i="3" l="1"/>
  <c r="I654" i="3"/>
  <c r="K654" i="3" l="1"/>
  <c r="Q654" i="3" s="1"/>
  <c r="R654" i="3" s="1"/>
  <c r="L654" i="3"/>
  <c r="N654" i="3" l="1"/>
  <c r="M654" i="3"/>
  <c r="F655" i="3"/>
  <c r="G655" i="3" s="1"/>
  <c r="H655" i="3" s="1"/>
  <c r="J655" i="3" l="1"/>
  <c r="I655" i="3"/>
  <c r="L655" i="3" l="1"/>
  <c r="K655" i="3"/>
  <c r="Q655" i="3" s="1"/>
  <c r="R655" i="3" s="1"/>
  <c r="F656" i="3" l="1"/>
  <c r="G656" i="3" s="1"/>
  <c r="H656" i="3" s="1"/>
  <c r="M655" i="3"/>
  <c r="N655" i="3"/>
  <c r="I656" i="3" l="1"/>
  <c r="J656" i="3"/>
  <c r="K656" i="3" l="1"/>
  <c r="Q656" i="3" s="1"/>
  <c r="R656" i="3" s="1"/>
  <c r="L656" i="3"/>
  <c r="N656" i="3" l="1"/>
  <c r="M656" i="3"/>
  <c r="F657" i="3"/>
  <c r="G657" i="3" s="1"/>
  <c r="H657" i="3" s="1"/>
  <c r="J657" i="3" l="1"/>
  <c r="I657" i="3"/>
  <c r="L657" i="3" l="1"/>
  <c r="K657" i="3"/>
  <c r="Q657" i="3" s="1"/>
  <c r="R657" i="3" s="1"/>
  <c r="F658" i="3" l="1"/>
  <c r="G658" i="3" s="1"/>
  <c r="H658" i="3" s="1"/>
  <c r="M657" i="3"/>
  <c r="N657" i="3"/>
  <c r="J658" i="3" l="1"/>
  <c r="I658" i="3"/>
  <c r="L658" i="3" l="1"/>
  <c r="K658" i="3"/>
  <c r="Q658" i="3" s="1"/>
  <c r="R658" i="3" s="1"/>
  <c r="F659" i="3" l="1"/>
  <c r="G659" i="3" s="1"/>
  <c r="H659" i="3" s="1"/>
  <c r="M658" i="3"/>
  <c r="N658" i="3"/>
  <c r="J659" i="3" l="1"/>
  <c r="I659" i="3"/>
  <c r="L659" i="3" l="1"/>
  <c r="K659" i="3"/>
  <c r="Q659" i="3" s="1"/>
  <c r="R659" i="3" s="1"/>
  <c r="F660" i="3" l="1"/>
  <c r="G660" i="3" s="1"/>
  <c r="H660" i="3" s="1"/>
  <c r="M659" i="3"/>
  <c r="N659" i="3"/>
  <c r="J660" i="3" l="1"/>
  <c r="I660" i="3"/>
  <c r="L660" i="3" l="1"/>
  <c r="K660" i="3"/>
  <c r="Q660" i="3" s="1"/>
  <c r="R660" i="3" s="1"/>
  <c r="F661" i="3" l="1"/>
  <c r="G661" i="3" s="1"/>
  <c r="H661" i="3" s="1"/>
  <c r="M660" i="3"/>
  <c r="N660" i="3"/>
  <c r="J661" i="3" l="1"/>
  <c r="I661" i="3"/>
  <c r="K661" i="3" l="1"/>
  <c r="Q661" i="3" s="1"/>
  <c r="R661" i="3" s="1"/>
  <c r="L661" i="3"/>
  <c r="N661" i="3" l="1"/>
  <c r="M661" i="3"/>
  <c r="F662" i="3"/>
  <c r="G662" i="3" s="1"/>
  <c r="H662" i="3" s="1"/>
  <c r="I662" i="3" l="1"/>
  <c r="J662" i="3"/>
  <c r="L662" i="3" l="1"/>
  <c r="K662" i="3"/>
  <c r="Q662" i="3" s="1"/>
  <c r="R662" i="3" s="1"/>
  <c r="F663" i="3" l="1"/>
  <c r="G663" i="3" s="1"/>
  <c r="H663" i="3" s="1"/>
  <c r="M662" i="3"/>
  <c r="N662" i="3"/>
  <c r="J663" i="3" l="1"/>
  <c r="I663" i="3"/>
  <c r="L663" i="3" l="1"/>
  <c r="K663" i="3"/>
  <c r="Q663" i="3" s="1"/>
  <c r="R663" i="3" s="1"/>
  <c r="F664" i="3" l="1"/>
  <c r="G664" i="3" s="1"/>
  <c r="H664" i="3" s="1"/>
  <c r="M663" i="3"/>
  <c r="N663" i="3"/>
  <c r="I664" i="3" l="1"/>
  <c r="J664" i="3"/>
  <c r="K664" i="3" l="1"/>
  <c r="Q664" i="3" s="1"/>
  <c r="R664" i="3" s="1"/>
  <c r="L664" i="3"/>
  <c r="N664" i="3" l="1"/>
  <c r="M664" i="3"/>
  <c r="F665" i="3"/>
  <c r="G665" i="3" s="1"/>
  <c r="H665" i="3" s="1"/>
  <c r="I665" i="3" l="1"/>
  <c r="J665" i="3"/>
  <c r="K665" i="3" l="1"/>
  <c r="Q665" i="3" s="1"/>
  <c r="R665" i="3" s="1"/>
  <c r="L665" i="3"/>
  <c r="N665" i="3" l="1"/>
  <c r="M665" i="3"/>
  <c r="F666" i="3"/>
  <c r="G666" i="3" s="1"/>
  <c r="H666" i="3" s="1"/>
  <c r="J666" i="3" l="1"/>
  <c r="I666" i="3"/>
  <c r="L666" i="3" l="1"/>
  <c r="K666" i="3"/>
  <c r="Q666" i="3" s="1"/>
  <c r="R666" i="3" s="1"/>
  <c r="F667" i="3" l="1"/>
  <c r="G667" i="3" s="1"/>
  <c r="H667" i="3" s="1"/>
  <c r="M666" i="3"/>
  <c r="N666" i="3"/>
  <c r="I667" i="3" l="1"/>
  <c r="J667" i="3"/>
  <c r="L667" i="3" l="1"/>
  <c r="K667" i="3"/>
  <c r="Q667" i="3" s="1"/>
  <c r="R667" i="3" s="1"/>
  <c r="F668" i="3" l="1"/>
  <c r="G668" i="3" s="1"/>
  <c r="H668" i="3" s="1"/>
  <c r="M667" i="3"/>
  <c r="N667" i="3"/>
  <c r="I668" i="3" l="1"/>
  <c r="J668" i="3"/>
  <c r="L668" i="3" l="1"/>
  <c r="K668" i="3"/>
  <c r="Q668" i="3" s="1"/>
  <c r="R668" i="3" s="1"/>
  <c r="F669" i="3" l="1"/>
  <c r="G669" i="3" s="1"/>
  <c r="H669" i="3" s="1"/>
  <c r="M668" i="3"/>
  <c r="N668" i="3"/>
  <c r="J669" i="3" l="1"/>
  <c r="I669" i="3"/>
  <c r="K669" i="3" l="1"/>
  <c r="Q669" i="3" s="1"/>
  <c r="R669" i="3" s="1"/>
  <c r="L669" i="3"/>
  <c r="M669" i="3" l="1"/>
  <c r="N669" i="3"/>
  <c r="F670" i="3"/>
  <c r="G670" i="3" s="1"/>
  <c r="H670" i="3" s="1"/>
  <c r="J670" i="3" l="1"/>
  <c r="I670" i="3"/>
  <c r="L670" i="3" l="1"/>
  <c r="K670" i="3"/>
  <c r="Q670" i="3" s="1"/>
  <c r="R670" i="3" s="1"/>
  <c r="F671" i="3" l="1"/>
  <c r="G671" i="3" s="1"/>
  <c r="H671" i="3" s="1"/>
  <c r="N670" i="3"/>
  <c r="M670" i="3"/>
  <c r="I671" i="3" l="1"/>
  <c r="J671" i="3"/>
  <c r="L671" i="3" l="1"/>
  <c r="K671" i="3"/>
  <c r="Q671" i="3" s="1"/>
  <c r="R671" i="3" s="1"/>
  <c r="F672" i="3" l="1"/>
  <c r="G672" i="3" s="1"/>
  <c r="H672" i="3" s="1"/>
  <c r="N671" i="3"/>
  <c r="M671" i="3"/>
  <c r="I672" i="3" l="1"/>
  <c r="J672" i="3"/>
  <c r="K672" i="3" l="1"/>
  <c r="Q672" i="3" s="1"/>
  <c r="R672" i="3" s="1"/>
  <c r="L672" i="3"/>
  <c r="N672" i="3" l="1"/>
  <c r="M672" i="3"/>
  <c r="F673" i="3"/>
  <c r="G673" i="3" s="1"/>
  <c r="H673" i="3" s="1"/>
  <c r="J673" i="3" l="1"/>
  <c r="I673" i="3"/>
  <c r="L673" i="3" l="1"/>
  <c r="K673" i="3"/>
  <c r="Q673" i="3" s="1"/>
  <c r="R673" i="3" s="1"/>
  <c r="F674" i="3" l="1"/>
  <c r="G674" i="3" s="1"/>
  <c r="H674" i="3" s="1"/>
  <c r="N673" i="3"/>
  <c r="M673" i="3"/>
  <c r="I674" i="3" l="1"/>
  <c r="J674" i="3"/>
  <c r="L674" i="3" l="1"/>
  <c r="K674" i="3"/>
  <c r="Q674" i="3" s="1"/>
  <c r="R674" i="3" s="1"/>
  <c r="F675" i="3" l="1"/>
  <c r="G675" i="3" s="1"/>
  <c r="H675" i="3" s="1"/>
  <c r="N674" i="3"/>
  <c r="M674" i="3"/>
  <c r="I675" i="3" l="1"/>
  <c r="J675" i="3"/>
  <c r="K675" i="3" l="1"/>
  <c r="Q675" i="3" s="1"/>
  <c r="R675" i="3" s="1"/>
  <c r="L675" i="3"/>
  <c r="M675" i="3" l="1"/>
  <c r="N675" i="3"/>
  <c r="F676" i="3"/>
  <c r="G676" i="3" s="1"/>
  <c r="H676" i="3" s="1"/>
  <c r="J676" i="3" l="1"/>
  <c r="I676" i="3"/>
  <c r="L676" i="3" l="1"/>
  <c r="K676" i="3"/>
  <c r="Q676" i="3" s="1"/>
  <c r="R676" i="3" s="1"/>
  <c r="F677" i="3" l="1"/>
  <c r="G677" i="3" s="1"/>
  <c r="H677" i="3" s="1"/>
  <c r="M676" i="3"/>
  <c r="N676" i="3"/>
  <c r="I677" i="3" l="1"/>
  <c r="J677" i="3"/>
  <c r="K677" i="3" l="1"/>
  <c r="Q677" i="3" s="1"/>
  <c r="R677" i="3" s="1"/>
  <c r="L677" i="3"/>
  <c r="N677" i="3" l="1"/>
  <c r="M677" i="3"/>
  <c r="F678" i="3"/>
  <c r="G678" i="3" s="1"/>
  <c r="H678" i="3" s="1"/>
  <c r="J678" i="3" l="1"/>
  <c r="I678" i="3"/>
  <c r="K678" i="3" l="1"/>
  <c r="Q678" i="3" s="1"/>
  <c r="R678" i="3" s="1"/>
  <c r="L678" i="3"/>
  <c r="N678" i="3" l="1"/>
  <c r="M678" i="3"/>
  <c r="F679" i="3"/>
  <c r="G679" i="3" s="1"/>
  <c r="H679" i="3" s="1"/>
  <c r="J679" i="3" l="1"/>
  <c r="I679" i="3"/>
  <c r="K679" i="3" l="1"/>
  <c r="Q679" i="3" s="1"/>
  <c r="R679" i="3" s="1"/>
  <c r="L679" i="3"/>
  <c r="F680" i="3" l="1"/>
  <c r="G680" i="3" s="1"/>
  <c r="H680" i="3" s="1"/>
  <c r="M679" i="3"/>
  <c r="N679" i="3"/>
  <c r="I680" i="3" l="1"/>
  <c r="J680" i="3"/>
  <c r="L680" i="3" l="1"/>
  <c r="K680" i="3"/>
  <c r="Q680" i="3" s="1"/>
  <c r="R680" i="3" s="1"/>
  <c r="F681" i="3" l="1"/>
  <c r="G681" i="3" s="1"/>
  <c r="H681" i="3" s="1"/>
  <c r="M680" i="3"/>
  <c r="N680" i="3"/>
  <c r="I681" i="3" l="1"/>
  <c r="J681" i="3"/>
  <c r="K681" i="3" l="1"/>
  <c r="Q681" i="3" s="1"/>
  <c r="R681" i="3" s="1"/>
  <c r="L681" i="3"/>
  <c r="M681" i="3" l="1"/>
  <c r="N681" i="3"/>
  <c r="F682" i="3"/>
  <c r="G682" i="3" s="1"/>
  <c r="H682" i="3" s="1"/>
  <c r="I682" i="3" l="1"/>
  <c r="J682" i="3"/>
  <c r="K682" i="3" l="1"/>
  <c r="Q682" i="3" s="1"/>
  <c r="R682" i="3" s="1"/>
  <c r="L682" i="3"/>
  <c r="N682" i="3" l="1"/>
  <c r="M682" i="3"/>
  <c r="F683" i="3"/>
  <c r="G683" i="3" s="1"/>
  <c r="H683" i="3" s="1"/>
  <c r="J683" i="3" l="1"/>
  <c r="I683" i="3"/>
  <c r="K683" i="3" l="1"/>
  <c r="Q683" i="3" s="1"/>
  <c r="R683" i="3" s="1"/>
  <c r="L683" i="3"/>
  <c r="N683" i="3" l="1"/>
  <c r="M683" i="3"/>
  <c r="F684" i="3"/>
  <c r="G684" i="3" s="1"/>
  <c r="H684" i="3" s="1"/>
  <c r="J684" i="3" l="1"/>
  <c r="I684" i="3"/>
  <c r="L684" i="3" l="1"/>
  <c r="K684" i="3"/>
  <c r="Q684" i="3" s="1"/>
  <c r="R684" i="3" s="1"/>
  <c r="F685" i="3" l="1"/>
  <c r="G685" i="3" s="1"/>
  <c r="H685" i="3" s="1"/>
  <c r="M684" i="3"/>
  <c r="N684" i="3"/>
  <c r="I685" i="3" l="1"/>
  <c r="J685" i="3"/>
  <c r="L685" i="3" l="1"/>
  <c r="K685" i="3"/>
  <c r="Q685" i="3" s="1"/>
  <c r="R685" i="3" s="1"/>
  <c r="F686" i="3" l="1"/>
  <c r="G686" i="3" s="1"/>
  <c r="H686" i="3" s="1"/>
  <c r="M685" i="3"/>
  <c r="N685" i="3"/>
  <c r="I686" i="3" l="1"/>
  <c r="J686" i="3"/>
  <c r="L686" i="3" l="1"/>
  <c r="K686" i="3"/>
  <c r="Q686" i="3" s="1"/>
  <c r="R686" i="3" s="1"/>
  <c r="F687" i="3" l="1"/>
  <c r="G687" i="3" s="1"/>
  <c r="H687" i="3" s="1"/>
  <c r="M686" i="3"/>
  <c r="N686" i="3"/>
  <c r="J687" i="3" l="1"/>
  <c r="I687" i="3"/>
  <c r="K687" i="3" l="1"/>
  <c r="Q687" i="3" s="1"/>
  <c r="R687" i="3" s="1"/>
  <c r="L687" i="3"/>
  <c r="N687" i="3" l="1"/>
  <c r="M687" i="3"/>
  <c r="F688" i="3"/>
  <c r="G688" i="3" s="1"/>
  <c r="H688" i="3" s="1"/>
  <c r="I688" i="3" l="1"/>
  <c r="J688" i="3"/>
  <c r="L688" i="3" l="1"/>
  <c r="K688" i="3"/>
  <c r="Q688" i="3" s="1"/>
  <c r="R688" i="3" s="1"/>
  <c r="F689" i="3" l="1"/>
  <c r="G689" i="3" s="1"/>
  <c r="H689" i="3" s="1"/>
  <c r="M688" i="3"/>
  <c r="N688" i="3"/>
  <c r="I689" i="3" l="1"/>
  <c r="J689" i="3"/>
  <c r="K689" i="3" l="1"/>
  <c r="Q689" i="3" s="1"/>
  <c r="R689" i="3" s="1"/>
  <c r="L689" i="3"/>
  <c r="M689" i="3" l="1"/>
  <c r="N689" i="3"/>
  <c r="F690" i="3"/>
  <c r="G690" i="3" s="1"/>
  <c r="H690" i="3" s="1"/>
  <c r="I690" i="3" l="1"/>
  <c r="J690" i="3"/>
  <c r="K690" i="3" l="1"/>
  <c r="Q690" i="3" s="1"/>
  <c r="R690" i="3" s="1"/>
  <c r="L690" i="3"/>
  <c r="M690" i="3" l="1"/>
  <c r="N690" i="3"/>
  <c r="F691" i="3"/>
  <c r="G691" i="3" s="1"/>
  <c r="H691" i="3" s="1"/>
  <c r="I691" i="3" l="1"/>
  <c r="J691" i="3"/>
  <c r="L691" i="3" l="1"/>
  <c r="K691" i="3"/>
  <c r="Q691" i="3" s="1"/>
  <c r="R691" i="3" s="1"/>
  <c r="F692" i="3" l="1"/>
  <c r="G692" i="3" s="1"/>
  <c r="H692" i="3" s="1"/>
  <c r="N691" i="3"/>
  <c r="M691" i="3"/>
  <c r="I692" i="3" l="1"/>
  <c r="J692" i="3"/>
  <c r="K692" i="3" l="1"/>
  <c r="Q692" i="3" s="1"/>
  <c r="R692" i="3" s="1"/>
  <c r="L692" i="3"/>
  <c r="F693" i="3" l="1"/>
  <c r="G693" i="3" s="1"/>
  <c r="H693" i="3" s="1"/>
  <c r="N692" i="3"/>
  <c r="M692" i="3"/>
  <c r="J693" i="3" l="1"/>
  <c r="I693" i="3"/>
  <c r="K693" i="3" l="1"/>
  <c r="Q693" i="3" s="1"/>
  <c r="R693" i="3" s="1"/>
  <c r="L693" i="3"/>
  <c r="N693" i="3" l="1"/>
  <c r="M693" i="3"/>
  <c r="F694" i="3"/>
  <c r="G694" i="3" s="1"/>
  <c r="H694" i="3" s="1"/>
  <c r="I694" i="3" l="1"/>
  <c r="J694" i="3"/>
  <c r="K694" i="3" l="1"/>
  <c r="Q694" i="3" s="1"/>
  <c r="R694" i="3" s="1"/>
  <c r="L694" i="3"/>
  <c r="M694" i="3" l="1"/>
  <c r="N694" i="3"/>
  <c r="F695" i="3"/>
  <c r="G695" i="3" s="1"/>
  <c r="H695" i="3" s="1"/>
  <c r="I695" i="3" l="1"/>
  <c r="J695" i="3"/>
  <c r="K695" i="3" l="1"/>
  <c r="Q695" i="3" s="1"/>
  <c r="R695" i="3" s="1"/>
  <c r="L695" i="3"/>
  <c r="M695" i="3" l="1"/>
  <c r="N695" i="3"/>
  <c r="F696" i="3"/>
  <c r="G696" i="3" s="1"/>
  <c r="H696" i="3" s="1"/>
  <c r="I696" i="3" l="1"/>
  <c r="J696" i="3"/>
  <c r="K696" i="3" l="1"/>
  <c r="Q696" i="3" s="1"/>
  <c r="R696" i="3" s="1"/>
  <c r="L696" i="3"/>
  <c r="M696" i="3" l="1"/>
  <c r="N696" i="3"/>
  <c r="F697" i="3"/>
  <c r="G697" i="3" s="1"/>
  <c r="H697" i="3" s="1"/>
  <c r="I697" i="3" l="1"/>
  <c r="J697" i="3"/>
  <c r="L697" i="3" l="1"/>
  <c r="K697" i="3"/>
  <c r="Q697" i="3" s="1"/>
  <c r="R697" i="3" s="1"/>
  <c r="F698" i="3" l="1"/>
  <c r="G698" i="3" s="1"/>
  <c r="H698" i="3" s="1"/>
  <c r="N697" i="3"/>
  <c r="M697" i="3"/>
  <c r="J698" i="3" l="1"/>
  <c r="I698" i="3"/>
  <c r="K698" i="3" l="1"/>
  <c r="Q698" i="3" s="1"/>
  <c r="R698" i="3" s="1"/>
  <c r="L698" i="3"/>
  <c r="N698" i="3" l="1"/>
  <c r="M698" i="3"/>
  <c r="F699" i="3"/>
  <c r="G699" i="3" s="1"/>
  <c r="H699" i="3" s="1"/>
  <c r="I699" i="3" l="1"/>
  <c r="J699" i="3"/>
  <c r="K699" i="3" l="1"/>
  <c r="Q699" i="3" s="1"/>
  <c r="R699" i="3" s="1"/>
  <c r="L699" i="3"/>
  <c r="M699" i="3" l="1"/>
  <c r="N699" i="3"/>
  <c r="F700" i="3"/>
  <c r="G700" i="3" s="1"/>
  <c r="H700" i="3" s="1"/>
  <c r="I700" i="3" l="1"/>
  <c r="J700" i="3"/>
  <c r="K700" i="3" l="1"/>
  <c r="Q700" i="3" s="1"/>
  <c r="R700" i="3" s="1"/>
  <c r="L700" i="3"/>
  <c r="N700" i="3" l="1"/>
  <c r="M700" i="3"/>
  <c r="F701" i="3"/>
  <c r="G701" i="3" s="1"/>
  <c r="H701" i="3" s="1"/>
  <c r="J701" i="3" l="1"/>
  <c r="I701" i="3"/>
  <c r="K701" i="3" l="1"/>
  <c r="Q701" i="3" s="1"/>
  <c r="R701" i="3" s="1"/>
  <c r="L701" i="3"/>
  <c r="M701" i="3" l="1"/>
  <c r="N701" i="3"/>
  <c r="F702" i="3"/>
  <c r="G702" i="3" s="1"/>
  <c r="H702" i="3" s="1"/>
  <c r="I702" i="3" l="1"/>
  <c r="J702" i="3"/>
  <c r="L702" i="3" l="1"/>
  <c r="K702" i="3"/>
  <c r="Q702" i="3" s="1"/>
  <c r="R702" i="3" s="1"/>
  <c r="F703" i="3" l="1"/>
  <c r="G703" i="3" s="1"/>
  <c r="H703" i="3" s="1"/>
  <c r="N702" i="3"/>
  <c r="M702" i="3"/>
  <c r="I703" i="3" l="1"/>
  <c r="J703" i="3"/>
  <c r="L703" i="3" l="1"/>
  <c r="K703" i="3"/>
  <c r="Q703" i="3" s="1"/>
  <c r="R703" i="3" s="1"/>
  <c r="F704" i="3" l="1"/>
  <c r="G704" i="3" s="1"/>
  <c r="H704" i="3" s="1"/>
  <c r="N703" i="3"/>
  <c r="M703" i="3"/>
  <c r="J704" i="3" l="1"/>
  <c r="I704" i="3"/>
  <c r="L704" i="3" l="1"/>
  <c r="K704" i="3"/>
  <c r="Q704" i="3" s="1"/>
  <c r="R704" i="3" s="1"/>
  <c r="F705" i="3" l="1"/>
  <c r="G705" i="3" s="1"/>
  <c r="H705" i="3" s="1"/>
  <c r="N704" i="3"/>
  <c r="M704" i="3"/>
  <c r="J705" i="3" l="1"/>
  <c r="I705" i="3"/>
  <c r="L705" i="3" l="1"/>
  <c r="K705" i="3"/>
  <c r="Q705" i="3" s="1"/>
  <c r="R705" i="3" s="1"/>
  <c r="F706" i="3" l="1"/>
  <c r="G706" i="3" s="1"/>
  <c r="H706" i="3" s="1"/>
  <c r="M705" i="3"/>
  <c r="N705" i="3"/>
  <c r="I706" i="3" l="1"/>
  <c r="J706" i="3"/>
  <c r="L706" i="3" l="1"/>
  <c r="K706" i="3"/>
  <c r="Q706" i="3" s="1"/>
  <c r="R706" i="3" s="1"/>
  <c r="F707" i="3" l="1"/>
  <c r="G707" i="3" s="1"/>
  <c r="H707" i="3" s="1"/>
  <c r="N706" i="3"/>
  <c r="M706" i="3"/>
  <c r="I707" i="3" l="1"/>
  <c r="J707" i="3"/>
  <c r="L707" i="3" l="1"/>
  <c r="K707" i="3"/>
  <c r="Q707" i="3" s="1"/>
  <c r="R707" i="3" s="1"/>
  <c r="F708" i="3" l="1"/>
  <c r="G708" i="3" s="1"/>
  <c r="H708" i="3" s="1"/>
  <c r="M707" i="3"/>
  <c r="N707" i="3"/>
  <c r="J708" i="3" l="1"/>
  <c r="I708" i="3"/>
  <c r="L708" i="3" l="1"/>
  <c r="K708" i="3"/>
  <c r="Q708" i="3" s="1"/>
  <c r="R708" i="3" s="1"/>
  <c r="F709" i="3" l="1"/>
  <c r="G709" i="3" s="1"/>
  <c r="H709" i="3" s="1"/>
  <c r="N708" i="3"/>
  <c r="M708" i="3"/>
  <c r="I709" i="3" l="1"/>
  <c r="J709" i="3"/>
  <c r="K709" i="3" l="1"/>
  <c r="Q709" i="3" s="1"/>
  <c r="R709" i="3" s="1"/>
  <c r="L709" i="3"/>
  <c r="N709" i="3" l="1"/>
  <c r="M709" i="3"/>
  <c r="F710" i="3"/>
  <c r="G710" i="3" s="1"/>
  <c r="H710" i="3" s="1"/>
  <c r="J710" i="3" l="1"/>
  <c r="I710" i="3"/>
  <c r="L710" i="3" l="1"/>
  <c r="K710" i="3"/>
  <c r="Q710" i="3" s="1"/>
  <c r="R710" i="3" s="1"/>
  <c r="F711" i="3" l="1"/>
  <c r="G711" i="3" s="1"/>
  <c r="H711" i="3" s="1"/>
  <c r="N710" i="3"/>
  <c r="M710" i="3"/>
  <c r="J711" i="3" l="1"/>
  <c r="I711" i="3"/>
  <c r="K711" i="3" l="1"/>
  <c r="Q711" i="3" s="1"/>
  <c r="R711" i="3" s="1"/>
  <c r="L711" i="3"/>
  <c r="M711" i="3" l="1"/>
  <c r="N711" i="3"/>
  <c r="F712" i="3"/>
  <c r="G712" i="3" s="1"/>
  <c r="H712" i="3" s="1"/>
  <c r="J712" i="3" l="1"/>
  <c r="I712" i="3"/>
  <c r="K712" i="3" l="1"/>
  <c r="Q712" i="3" s="1"/>
  <c r="R712" i="3" s="1"/>
  <c r="L712" i="3"/>
  <c r="M712" i="3" l="1"/>
  <c r="N712" i="3"/>
  <c r="F713" i="3"/>
  <c r="G713" i="3" s="1"/>
  <c r="H713" i="3" s="1"/>
  <c r="I713" i="3" l="1"/>
  <c r="J713" i="3"/>
  <c r="K713" i="3" l="1"/>
  <c r="Q713" i="3" s="1"/>
  <c r="R713" i="3" s="1"/>
  <c r="L713" i="3"/>
  <c r="M713" i="3" l="1"/>
  <c r="N713" i="3"/>
  <c r="F714" i="3"/>
  <c r="G714" i="3" s="1"/>
  <c r="H714" i="3" s="1"/>
  <c r="J714" i="3" l="1"/>
  <c r="I714" i="3"/>
  <c r="L714" i="3" l="1"/>
  <c r="K714" i="3"/>
  <c r="Q714" i="3" s="1"/>
  <c r="R714" i="3" s="1"/>
  <c r="F715" i="3" l="1"/>
  <c r="G715" i="3" s="1"/>
  <c r="H715" i="3" s="1"/>
  <c r="M714" i="3"/>
  <c r="N714" i="3"/>
  <c r="I715" i="3" l="1"/>
  <c r="J715" i="3"/>
  <c r="K715" i="3" l="1"/>
  <c r="Q715" i="3" s="1"/>
  <c r="R715" i="3" s="1"/>
  <c r="L715" i="3"/>
  <c r="N715" i="3" l="1"/>
  <c r="M715" i="3"/>
  <c r="F716" i="3"/>
  <c r="G716" i="3" s="1"/>
  <c r="H716" i="3" s="1"/>
  <c r="I716" i="3" l="1"/>
  <c r="J716" i="3"/>
  <c r="K716" i="3" l="1"/>
  <c r="Q716" i="3" s="1"/>
  <c r="R716" i="3" s="1"/>
  <c r="L716" i="3"/>
  <c r="N716" i="3" l="1"/>
  <c r="M716" i="3"/>
  <c r="F717" i="3"/>
  <c r="G717" i="3" s="1"/>
  <c r="H717" i="3" s="1"/>
  <c r="I717" i="3" l="1"/>
  <c r="J717" i="3"/>
  <c r="K717" i="3" l="1"/>
  <c r="Q717" i="3" s="1"/>
  <c r="R717" i="3" s="1"/>
  <c r="L717" i="3"/>
  <c r="M717" i="3" l="1"/>
  <c r="N717" i="3"/>
  <c r="F718" i="3"/>
  <c r="G718" i="3" s="1"/>
  <c r="H718" i="3" s="1"/>
  <c r="I718" i="3" l="1"/>
  <c r="J718" i="3"/>
  <c r="K718" i="3" l="1"/>
  <c r="Q718" i="3" s="1"/>
  <c r="R718" i="3" s="1"/>
  <c r="L718" i="3"/>
  <c r="M718" i="3" l="1"/>
  <c r="N718" i="3"/>
  <c r="F719" i="3"/>
  <c r="G719" i="3" s="1"/>
  <c r="H719" i="3" s="1"/>
  <c r="J719" i="3" l="1"/>
  <c r="I719" i="3"/>
  <c r="L719" i="3" l="1"/>
  <c r="K719" i="3"/>
  <c r="Q719" i="3" s="1"/>
  <c r="R719" i="3" s="1"/>
  <c r="F720" i="3" l="1"/>
  <c r="G720" i="3" s="1"/>
  <c r="H720" i="3" s="1"/>
  <c r="N719" i="3"/>
  <c r="M719" i="3"/>
  <c r="I720" i="3" l="1"/>
  <c r="J720" i="3"/>
  <c r="L720" i="3" l="1"/>
  <c r="K720" i="3"/>
  <c r="Q720" i="3" s="1"/>
  <c r="R720" i="3" s="1"/>
  <c r="F721" i="3" l="1"/>
  <c r="G721" i="3" s="1"/>
  <c r="H721" i="3" s="1"/>
  <c r="N720" i="3"/>
  <c r="M720" i="3"/>
  <c r="J721" i="3" l="1"/>
  <c r="I721" i="3"/>
  <c r="K721" i="3" l="1"/>
  <c r="Q721" i="3" s="1"/>
  <c r="R721" i="3" s="1"/>
  <c r="L721" i="3"/>
  <c r="M721" i="3" l="1"/>
  <c r="N721" i="3"/>
  <c r="F722" i="3"/>
  <c r="G722" i="3" s="1"/>
  <c r="H722" i="3" s="1"/>
  <c r="J722" i="3" l="1"/>
  <c r="I722" i="3"/>
  <c r="K722" i="3" l="1"/>
  <c r="Q722" i="3" s="1"/>
  <c r="R722" i="3" s="1"/>
  <c r="L722" i="3"/>
  <c r="M722" i="3" l="1"/>
  <c r="N722" i="3"/>
  <c r="F723" i="3"/>
  <c r="G723" i="3" s="1"/>
  <c r="H723" i="3" s="1"/>
  <c r="J723" i="3" l="1"/>
  <c r="I723" i="3"/>
  <c r="K723" i="3" l="1"/>
  <c r="Q723" i="3" s="1"/>
  <c r="R723" i="3" s="1"/>
  <c r="L723" i="3"/>
  <c r="N723" i="3" l="1"/>
  <c r="M723" i="3"/>
  <c r="F724" i="3"/>
  <c r="G724" i="3" s="1"/>
  <c r="H724" i="3" s="1"/>
  <c r="J724" i="3" l="1"/>
  <c r="I724" i="3"/>
  <c r="L724" i="3" l="1"/>
  <c r="K724" i="3"/>
  <c r="Q724" i="3" s="1"/>
  <c r="R724" i="3" s="1"/>
  <c r="F725" i="3" l="1"/>
  <c r="G725" i="3" s="1"/>
  <c r="H725" i="3" s="1"/>
  <c r="N724" i="3"/>
  <c r="M724" i="3"/>
  <c r="J725" i="3" l="1"/>
  <c r="I725" i="3"/>
  <c r="K725" i="3" l="1"/>
  <c r="Q725" i="3" s="1"/>
  <c r="R725" i="3" s="1"/>
  <c r="L725" i="3"/>
  <c r="M725" i="3" l="1"/>
  <c r="N725" i="3"/>
  <c r="F726" i="3"/>
  <c r="G726" i="3" s="1"/>
  <c r="H726" i="3" s="1"/>
  <c r="J726" i="3" l="1"/>
  <c r="I726" i="3"/>
  <c r="K726" i="3" l="1"/>
  <c r="Q726" i="3" s="1"/>
  <c r="R726" i="3" s="1"/>
  <c r="L726" i="3"/>
  <c r="N726" i="3" l="1"/>
  <c r="M726" i="3"/>
  <c r="F727" i="3"/>
  <c r="G727" i="3" s="1"/>
  <c r="H727" i="3" s="1"/>
  <c r="I727" i="3" l="1"/>
  <c r="J727" i="3"/>
  <c r="L727" i="3" l="1"/>
  <c r="K727" i="3"/>
  <c r="Q727" i="3" s="1"/>
  <c r="R727" i="3" s="1"/>
  <c r="F728" i="3" l="1"/>
  <c r="G728" i="3" s="1"/>
  <c r="H728" i="3" s="1"/>
  <c r="M727" i="3"/>
  <c r="N727" i="3"/>
  <c r="J728" i="3" l="1"/>
  <c r="I728" i="3"/>
  <c r="K728" i="3" l="1"/>
  <c r="Q728" i="3" s="1"/>
  <c r="R728" i="3" s="1"/>
  <c r="L728" i="3"/>
  <c r="M728" i="3" l="1"/>
  <c r="N728" i="3"/>
  <c r="F729" i="3"/>
  <c r="G729" i="3" s="1"/>
  <c r="H729" i="3" s="1"/>
  <c r="I729" i="3" l="1"/>
  <c r="J729" i="3"/>
  <c r="L729" i="3" l="1"/>
  <c r="K729" i="3"/>
  <c r="Q729" i="3" s="1"/>
  <c r="R729" i="3" s="1"/>
  <c r="F730" i="3" l="1"/>
  <c r="G730" i="3" s="1"/>
  <c r="H730" i="3" s="1"/>
  <c r="M729" i="3"/>
  <c r="N729" i="3"/>
  <c r="I730" i="3" l="1"/>
  <c r="J730" i="3"/>
  <c r="L730" i="3" l="1"/>
  <c r="K730" i="3"/>
  <c r="Q730" i="3" s="1"/>
  <c r="R730" i="3" s="1"/>
  <c r="F731" i="3" l="1"/>
  <c r="G731" i="3" s="1"/>
  <c r="H731" i="3" s="1"/>
  <c r="M730" i="3"/>
  <c r="N730" i="3"/>
  <c r="J731" i="3" l="1"/>
  <c r="I731" i="3"/>
  <c r="L731" i="3" l="1"/>
  <c r="K731" i="3"/>
  <c r="Q731" i="3" s="1"/>
  <c r="R731" i="3" s="1"/>
  <c r="F732" i="3" l="1"/>
  <c r="G732" i="3" s="1"/>
  <c r="H732" i="3" s="1"/>
  <c r="M731" i="3"/>
  <c r="N731" i="3"/>
  <c r="J732" i="3" l="1"/>
  <c r="I732" i="3"/>
  <c r="L732" i="3" l="1"/>
  <c r="K732" i="3"/>
  <c r="Q732" i="3" s="1"/>
  <c r="R732" i="3" s="1"/>
  <c r="F733" i="3" l="1"/>
  <c r="G733" i="3" s="1"/>
  <c r="H733" i="3" s="1"/>
  <c r="M732" i="3"/>
  <c r="N732" i="3"/>
  <c r="J733" i="3" l="1"/>
  <c r="I733" i="3"/>
  <c r="K733" i="3" l="1"/>
  <c r="Q733" i="3" s="1"/>
  <c r="R733" i="3" s="1"/>
  <c r="L733" i="3"/>
  <c r="M733" i="3" l="1"/>
  <c r="N733" i="3"/>
  <c r="F734" i="3"/>
  <c r="G734" i="3" s="1"/>
  <c r="H734" i="3" s="1"/>
  <c r="I734" i="3" l="1"/>
  <c r="J734" i="3"/>
  <c r="L734" i="3" l="1"/>
  <c r="K734" i="3"/>
  <c r="Q734" i="3" s="1"/>
  <c r="R734" i="3" s="1"/>
  <c r="F735" i="3" l="1"/>
  <c r="G735" i="3" s="1"/>
  <c r="H735" i="3" s="1"/>
  <c r="M734" i="3"/>
  <c r="N734" i="3"/>
  <c r="I735" i="3" l="1"/>
  <c r="J735" i="3"/>
  <c r="K735" i="3" l="1"/>
  <c r="Q735" i="3" s="1"/>
  <c r="R735" i="3" s="1"/>
  <c r="L735" i="3"/>
  <c r="N735" i="3" l="1"/>
  <c r="M735" i="3"/>
  <c r="F736" i="3"/>
  <c r="G736" i="3" s="1"/>
  <c r="H736" i="3" s="1"/>
  <c r="I736" i="3" l="1"/>
  <c r="J736" i="3"/>
  <c r="L736" i="3" l="1"/>
  <c r="K736" i="3"/>
  <c r="Q736" i="3" s="1"/>
  <c r="R736" i="3" s="1"/>
  <c r="F737" i="3" l="1"/>
  <c r="G737" i="3" s="1"/>
  <c r="H737" i="3" s="1"/>
  <c r="N736" i="3"/>
  <c r="M736" i="3"/>
  <c r="J737" i="3" l="1"/>
  <c r="I737" i="3"/>
  <c r="L737" i="3" l="1"/>
  <c r="K737" i="3"/>
  <c r="Q737" i="3" s="1"/>
  <c r="R737" i="3" s="1"/>
  <c r="F738" i="3" l="1"/>
  <c r="G738" i="3" s="1"/>
  <c r="H738" i="3" s="1"/>
  <c r="M737" i="3"/>
  <c r="N737" i="3"/>
  <c r="J738" i="3" l="1"/>
  <c r="I738" i="3"/>
  <c r="K738" i="3" l="1"/>
  <c r="Q738" i="3" s="1"/>
  <c r="R738" i="3" s="1"/>
  <c r="L738" i="3"/>
  <c r="M738" i="3" l="1"/>
  <c r="N738" i="3"/>
  <c r="F739" i="3"/>
  <c r="G739" i="3" s="1"/>
  <c r="H739" i="3" s="1"/>
  <c r="J739" i="3" l="1"/>
  <c r="I739" i="3"/>
  <c r="K739" i="3" l="1"/>
  <c r="Q739" i="3" s="1"/>
  <c r="R739" i="3" s="1"/>
  <c r="L739" i="3"/>
  <c r="M739" i="3" l="1"/>
  <c r="N739" i="3"/>
  <c r="F740" i="3"/>
  <c r="G740" i="3" s="1"/>
  <c r="H740" i="3" s="1"/>
  <c r="J740" i="3" l="1"/>
  <c r="I740" i="3"/>
  <c r="L740" i="3" l="1"/>
  <c r="K740" i="3"/>
  <c r="Q740" i="3" s="1"/>
  <c r="R740" i="3" s="1"/>
  <c r="F741" i="3" l="1"/>
  <c r="G741" i="3" s="1"/>
  <c r="H741" i="3" s="1"/>
  <c r="M740" i="3"/>
  <c r="N740" i="3"/>
  <c r="I741" i="3" l="1"/>
  <c r="J741" i="3"/>
  <c r="L741" i="3" l="1"/>
  <c r="K741" i="3"/>
  <c r="Q741" i="3" s="1"/>
  <c r="R741" i="3" s="1"/>
  <c r="F742" i="3" l="1"/>
  <c r="G742" i="3" s="1"/>
  <c r="H742" i="3" s="1"/>
  <c r="M741" i="3"/>
  <c r="N741" i="3"/>
  <c r="J742" i="3" l="1"/>
  <c r="I742" i="3"/>
  <c r="K742" i="3" l="1"/>
  <c r="Q742" i="3" s="1"/>
  <c r="R742" i="3" s="1"/>
  <c r="L742" i="3"/>
  <c r="N742" i="3" l="1"/>
  <c r="M742" i="3"/>
  <c r="F743" i="3"/>
  <c r="G743" i="3" s="1"/>
  <c r="H743" i="3" s="1"/>
  <c r="J743" i="3" l="1"/>
  <c r="I743" i="3"/>
  <c r="K743" i="3" l="1"/>
  <c r="Q743" i="3" s="1"/>
  <c r="R743" i="3" s="1"/>
  <c r="L743" i="3"/>
  <c r="M743" i="3" l="1"/>
  <c r="N743" i="3"/>
  <c r="F744" i="3"/>
  <c r="G744" i="3" s="1"/>
  <c r="H744" i="3" s="1"/>
  <c r="I744" i="3" l="1"/>
  <c r="J744" i="3"/>
  <c r="L744" i="3" l="1"/>
  <c r="K744" i="3"/>
  <c r="Q744" i="3" s="1"/>
  <c r="R744" i="3" s="1"/>
  <c r="F745" i="3" l="1"/>
  <c r="G745" i="3" s="1"/>
  <c r="H745" i="3" s="1"/>
  <c r="N744" i="3"/>
  <c r="M744" i="3"/>
  <c r="J745" i="3" l="1"/>
  <c r="I745" i="3"/>
  <c r="L745" i="3" l="1"/>
  <c r="K745" i="3"/>
  <c r="Q745" i="3" s="1"/>
  <c r="R745" i="3" s="1"/>
  <c r="F746" i="3" l="1"/>
  <c r="G746" i="3" s="1"/>
  <c r="H746" i="3" s="1"/>
  <c r="M745" i="3"/>
  <c r="N745" i="3"/>
  <c r="J746" i="3" l="1"/>
  <c r="I746" i="3"/>
  <c r="K746" i="3" l="1"/>
  <c r="Q746" i="3" s="1"/>
  <c r="R746" i="3" s="1"/>
  <c r="L746" i="3"/>
  <c r="N746" i="3" l="1"/>
  <c r="M746" i="3"/>
  <c r="F747" i="3"/>
  <c r="G747" i="3" s="1"/>
  <c r="H747" i="3" s="1"/>
  <c r="J747" i="3" l="1"/>
  <c r="I747" i="3"/>
  <c r="K747" i="3" l="1"/>
  <c r="Q747" i="3" s="1"/>
  <c r="R747" i="3" s="1"/>
  <c r="L747" i="3"/>
  <c r="M747" i="3" l="1"/>
  <c r="N747" i="3"/>
  <c r="F748" i="3"/>
  <c r="G748" i="3" s="1"/>
  <c r="H748" i="3" s="1"/>
  <c r="I748" i="3" l="1"/>
  <c r="J748" i="3"/>
  <c r="K748" i="3" l="1"/>
  <c r="Q748" i="3" s="1"/>
  <c r="R748" i="3" s="1"/>
  <c r="L748" i="3"/>
  <c r="N748" i="3" l="1"/>
  <c r="M748" i="3"/>
  <c r="F749" i="3"/>
  <c r="G749" i="3" s="1"/>
  <c r="H749" i="3" s="1"/>
  <c r="I749" i="3" l="1"/>
  <c r="J749" i="3"/>
  <c r="L749" i="3" l="1"/>
  <c r="K749" i="3"/>
  <c r="Q749" i="3" s="1"/>
  <c r="R749" i="3" s="1"/>
  <c r="F750" i="3" l="1"/>
  <c r="G750" i="3" s="1"/>
  <c r="H750" i="3" s="1"/>
  <c r="N749" i="3"/>
  <c r="M749" i="3"/>
  <c r="I750" i="3" l="1"/>
  <c r="J750" i="3"/>
  <c r="K750" i="3" l="1"/>
  <c r="Q750" i="3" s="1"/>
  <c r="R750" i="3" s="1"/>
  <c r="L750" i="3"/>
  <c r="M750" i="3" l="1"/>
  <c r="N750" i="3"/>
  <c r="F751" i="3"/>
  <c r="G751" i="3" s="1"/>
  <c r="H751" i="3" s="1"/>
  <c r="I751" i="3" l="1"/>
  <c r="J751" i="3"/>
  <c r="L751" i="3" l="1"/>
  <c r="K751" i="3"/>
  <c r="Q751" i="3" s="1"/>
  <c r="R751" i="3" s="1"/>
  <c r="F752" i="3" l="1"/>
  <c r="G752" i="3" s="1"/>
  <c r="H752" i="3" s="1"/>
  <c r="N751" i="3"/>
  <c r="M751" i="3"/>
  <c r="J752" i="3" l="1"/>
  <c r="I752" i="3"/>
  <c r="L752" i="3" l="1"/>
  <c r="K752" i="3"/>
  <c r="Q752" i="3" s="1"/>
  <c r="R752" i="3" s="1"/>
  <c r="F753" i="3" l="1"/>
  <c r="G753" i="3" s="1"/>
  <c r="H753" i="3" s="1"/>
  <c r="N752" i="3"/>
  <c r="M752" i="3"/>
  <c r="J753" i="3" l="1"/>
  <c r="I753" i="3"/>
  <c r="K753" i="3" l="1"/>
  <c r="Q753" i="3" s="1"/>
  <c r="R753" i="3" s="1"/>
  <c r="L753" i="3"/>
  <c r="N753" i="3" l="1"/>
  <c r="M753" i="3"/>
  <c r="F754" i="3"/>
  <c r="G754" i="3" s="1"/>
  <c r="H754" i="3" s="1"/>
  <c r="I754" i="3" l="1"/>
  <c r="J754" i="3"/>
  <c r="K754" i="3" l="1"/>
  <c r="Q754" i="3" s="1"/>
  <c r="R754" i="3" s="1"/>
  <c r="L754" i="3"/>
  <c r="F755" i="3" l="1"/>
  <c r="G755" i="3" s="1"/>
  <c r="H755" i="3" s="1"/>
  <c r="M754" i="3"/>
  <c r="N754" i="3"/>
  <c r="I755" i="3" l="1"/>
  <c r="J755" i="3"/>
  <c r="L755" i="3" l="1"/>
  <c r="K755" i="3"/>
  <c r="Q755" i="3" s="1"/>
  <c r="R755" i="3" s="1"/>
  <c r="F756" i="3" l="1"/>
  <c r="G756" i="3" s="1"/>
  <c r="H756" i="3" s="1"/>
  <c r="N755" i="3"/>
  <c r="M755" i="3"/>
  <c r="J756" i="3" l="1"/>
  <c r="I756" i="3"/>
  <c r="K756" i="3" l="1"/>
  <c r="Q756" i="3" s="1"/>
  <c r="R756" i="3" s="1"/>
  <c r="L756" i="3"/>
  <c r="N756" i="3" l="1"/>
  <c r="M756" i="3"/>
  <c r="F757" i="3"/>
  <c r="G757" i="3" s="1"/>
  <c r="H757" i="3" s="1"/>
  <c r="I757" i="3" l="1"/>
  <c r="J757" i="3"/>
  <c r="K757" i="3" l="1"/>
  <c r="Q757" i="3" s="1"/>
  <c r="R757" i="3" s="1"/>
  <c r="L757" i="3"/>
  <c r="F758" i="3" l="1"/>
  <c r="G758" i="3" s="1"/>
  <c r="H758" i="3" s="1"/>
  <c r="N757" i="3"/>
  <c r="M757" i="3"/>
  <c r="I758" i="3" l="1"/>
  <c r="J758" i="3"/>
  <c r="L758" i="3" l="1"/>
  <c r="K758" i="3"/>
  <c r="Q758" i="3" s="1"/>
  <c r="R758" i="3" s="1"/>
  <c r="F759" i="3" l="1"/>
  <c r="G759" i="3" s="1"/>
  <c r="H759" i="3" s="1"/>
  <c r="M758" i="3"/>
  <c r="N758" i="3"/>
  <c r="J759" i="3" l="1"/>
  <c r="I759" i="3"/>
  <c r="K759" i="3" l="1"/>
  <c r="Q759" i="3" s="1"/>
  <c r="R759" i="3" s="1"/>
  <c r="L759" i="3"/>
  <c r="F760" i="3" l="1"/>
  <c r="G760" i="3" s="1"/>
  <c r="H760" i="3" s="1"/>
  <c r="N759" i="3"/>
  <c r="M759" i="3"/>
  <c r="I760" i="3" l="1"/>
  <c r="J760" i="3"/>
  <c r="L760" i="3" l="1"/>
  <c r="K760" i="3"/>
  <c r="Q760" i="3" s="1"/>
  <c r="R760" i="3" s="1"/>
  <c r="F761" i="3" l="1"/>
  <c r="G761" i="3" s="1"/>
  <c r="H761" i="3" s="1"/>
  <c r="N760" i="3"/>
  <c r="M760" i="3"/>
  <c r="I761" i="3" l="1"/>
  <c r="J761" i="3"/>
  <c r="K761" i="3" l="1"/>
  <c r="Q761" i="3" s="1"/>
  <c r="R761" i="3" s="1"/>
  <c r="L761" i="3"/>
  <c r="N761" i="3" l="1"/>
  <c r="M761" i="3"/>
  <c r="F762" i="3"/>
  <c r="G762" i="3" s="1"/>
  <c r="H762" i="3" s="1"/>
  <c r="I762" i="3" l="1"/>
  <c r="J762" i="3"/>
  <c r="L762" i="3" l="1"/>
  <c r="K762" i="3"/>
  <c r="Q762" i="3" s="1"/>
  <c r="R762" i="3" s="1"/>
  <c r="F763" i="3" l="1"/>
  <c r="G763" i="3" s="1"/>
  <c r="H763" i="3" s="1"/>
  <c r="M762" i="3"/>
  <c r="N762" i="3"/>
  <c r="J763" i="3" l="1"/>
  <c r="I763" i="3"/>
  <c r="L763" i="3" l="1"/>
  <c r="K763" i="3"/>
  <c r="Q763" i="3" s="1"/>
  <c r="R763" i="3" s="1"/>
  <c r="F764" i="3" l="1"/>
  <c r="G764" i="3" s="1"/>
  <c r="H764" i="3" s="1"/>
  <c r="N763" i="3"/>
  <c r="M763" i="3"/>
  <c r="I764" i="3" l="1"/>
  <c r="J764" i="3"/>
  <c r="L764" i="3" l="1"/>
  <c r="K764" i="3"/>
  <c r="Q764" i="3" s="1"/>
  <c r="R764" i="3" s="1"/>
  <c r="F765" i="3" l="1"/>
  <c r="G765" i="3" s="1"/>
  <c r="H765" i="3" s="1"/>
  <c r="M764" i="3"/>
  <c r="N764" i="3"/>
  <c r="J765" i="3" l="1"/>
  <c r="I765" i="3"/>
  <c r="K765" i="3" l="1"/>
  <c r="Q765" i="3" s="1"/>
  <c r="R765" i="3" s="1"/>
  <c r="L765" i="3"/>
  <c r="M765" i="3" l="1"/>
  <c r="N765" i="3"/>
  <c r="F766" i="3"/>
  <c r="G766" i="3" s="1"/>
  <c r="H766" i="3" s="1"/>
  <c r="J766" i="3" l="1"/>
  <c r="I766" i="3"/>
  <c r="K766" i="3" l="1"/>
  <c r="Q766" i="3" s="1"/>
  <c r="R766" i="3" s="1"/>
  <c r="L766" i="3"/>
  <c r="M766" i="3" l="1"/>
  <c r="N766" i="3"/>
  <c r="F767" i="3"/>
  <c r="G767" i="3" s="1"/>
  <c r="H767" i="3" s="1"/>
  <c r="I767" i="3" l="1"/>
  <c r="J767" i="3"/>
  <c r="K767" i="3" l="1"/>
  <c r="Q767" i="3" s="1"/>
  <c r="R767" i="3" s="1"/>
  <c r="L767" i="3"/>
  <c r="M767" i="3" l="1"/>
  <c r="N767" i="3"/>
  <c r="F768" i="3"/>
  <c r="G768" i="3" s="1"/>
  <c r="H768" i="3" s="1"/>
  <c r="J768" i="3" l="1"/>
  <c r="I768" i="3"/>
  <c r="L768" i="3" l="1"/>
  <c r="K768" i="3"/>
  <c r="Q768" i="3" s="1"/>
  <c r="R768" i="3" s="1"/>
  <c r="F769" i="3" l="1"/>
  <c r="G769" i="3" s="1"/>
  <c r="H769" i="3" s="1"/>
  <c r="N768" i="3"/>
  <c r="M768" i="3"/>
  <c r="I769" i="3" l="1"/>
  <c r="J769" i="3"/>
  <c r="K769" i="3" l="1"/>
  <c r="Q769" i="3" s="1"/>
  <c r="R769" i="3" s="1"/>
  <c r="L769" i="3"/>
  <c r="F770" i="3" l="1"/>
  <c r="G770" i="3" s="1"/>
  <c r="H770" i="3" s="1"/>
  <c r="M769" i="3"/>
  <c r="N769" i="3"/>
  <c r="J770" i="3" l="1"/>
  <c r="I770" i="3"/>
  <c r="L770" i="3" l="1"/>
  <c r="K770" i="3"/>
  <c r="Q770" i="3" s="1"/>
  <c r="R770" i="3" s="1"/>
  <c r="F771" i="3" l="1"/>
  <c r="G771" i="3" s="1"/>
  <c r="H771" i="3" s="1"/>
  <c r="M770" i="3"/>
  <c r="N770" i="3"/>
  <c r="I771" i="3" l="1"/>
  <c r="J771" i="3"/>
  <c r="K771" i="3" l="1"/>
  <c r="Q771" i="3" s="1"/>
  <c r="R771" i="3" s="1"/>
  <c r="L771" i="3"/>
  <c r="N771" i="3" l="1"/>
  <c r="M771" i="3"/>
  <c r="F772" i="3"/>
  <c r="G772" i="3" s="1"/>
  <c r="H772" i="3" s="1"/>
  <c r="I772" i="3" l="1"/>
  <c r="J772" i="3"/>
  <c r="K772" i="3" l="1"/>
  <c r="Q772" i="3" s="1"/>
  <c r="R772" i="3" s="1"/>
  <c r="L772" i="3"/>
  <c r="F773" i="3" l="1"/>
  <c r="G773" i="3" s="1"/>
  <c r="H773" i="3" s="1"/>
  <c r="N772" i="3"/>
  <c r="M772" i="3"/>
  <c r="I773" i="3" l="1"/>
  <c r="J773" i="3"/>
  <c r="L773" i="3" l="1"/>
  <c r="K773" i="3"/>
  <c r="Q773" i="3" s="1"/>
  <c r="R773" i="3" s="1"/>
  <c r="F774" i="3" l="1"/>
  <c r="G774" i="3" s="1"/>
  <c r="H774" i="3" s="1"/>
  <c r="M773" i="3"/>
  <c r="N773" i="3"/>
  <c r="I774" i="3" l="1"/>
  <c r="J774" i="3"/>
  <c r="K774" i="3" l="1"/>
  <c r="Q774" i="3" s="1"/>
  <c r="R774" i="3" s="1"/>
  <c r="L774" i="3"/>
  <c r="M774" i="3" l="1"/>
  <c r="N774" i="3"/>
  <c r="F775" i="3"/>
  <c r="G775" i="3" s="1"/>
  <c r="H775" i="3" s="1"/>
  <c r="J775" i="3" l="1"/>
  <c r="I775" i="3"/>
  <c r="K775" i="3" l="1"/>
  <c r="Q775" i="3" s="1"/>
  <c r="R775" i="3" s="1"/>
  <c r="L775" i="3"/>
  <c r="N775" i="3" l="1"/>
  <c r="M775" i="3"/>
  <c r="F776" i="3"/>
  <c r="G776" i="3" s="1"/>
  <c r="H776" i="3" s="1"/>
  <c r="J776" i="3" l="1"/>
  <c r="I776" i="3"/>
  <c r="K776" i="3" l="1"/>
  <c r="Q776" i="3" s="1"/>
  <c r="R776" i="3" s="1"/>
  <c r="L776" i="3"/>
  <c r="N776" i="3" l="1"/>
  <c r="M776" i="3"/>
  <c r="F777" i="3"/>
  <c r="G777" i="3" s="1"/>
  <c r="H777" i="3" s="1"/>
  <c r="I777" i="3" l="1"/>
  <c r="J777" i="3"/>
  <c r="L777" i="3" l="1"/>
  <c r="K777" i="3"/>
  <c r="Q777" i="3" s="1"/>
  <c r="R777" i="3" s="1"/>
  <c r="F778" i="3" l="1"/>
  <c r="G778" i="3" s="1"/>
  <c r="H778" i="3" s="1"/>
  <c r="M777" i="3"/>
  <c r="N777" i="3"/>
  <c r="J778" i="3" l="1"/>
  <c r="I778" i="3"/>
  <c r="K778" i="3" l="1"/>
  <c r="Q778" i="3" s="1"/>
  <c r="R778" i="3" s="1"/>
  <c r="L778" i="3"/>
  <c r="N778" i="3" l="1"/>
  <c r="M778" i="3"/>
  <c r="F779" i="3"/>
  <c r="G779" i="3" s="1"/>
  <c r="H779" i="3" s="1"/>
  <c r="I779" i="3" l="1"/>
  <c r="J779" i="3"/>
  <c r="K779" i="3" l="1"/>
  <c r="Q779" i="3" s="1"/>
  <c r="R779" i="3" s="1"/>
  <c r="L779" i="3"/>
  <c r="M779" i="3" l="1"/>
  <c r="N779" i="3"/>
  <c r="F780" i="3"/>
  <c r="G780" i="3" s="1"/>
  <c r="H780" i="3" s="1"/>
  <c r="I780" i="3" l="1"/>
  <c r="J780" i="3"/>
  <c r="K780" i="3" l="1"/>
  <c r="Q780" i="3" s="1"/>
  <c r="R780" i="3" s="1"/>
  <c r="L780" i="3"/>
  <c r="N780" i="3" l="1"/>
  <c r="M780" i="3"/>
  <c r="F781" i="3"/>
  <c r="G781" i="3" s="1"/>
  <c r="H781" i="3" s="1"/>
  <c r="I781" i="3" l="1"/>
  <c r="J781" i="3"/>
  <c r="L781" i="3" l="1"/>
  <c r="K781" i="3"/>
  <c r="Q781" i="3" s="1"/>
  <c r="R781" i="3" s="1"/>
  <c r="F782" i="3" l="1"/>
  <c r="G782" i="3" s="1"/>
  <c r="H782" i="3" s="1"/>
  <c r="M781" i="3"/>
  <c r="N781" i="3"/>
  <c r="I782" i="3" l="1"/>
  <c r="J782" i="3"/>
  <c r="L782" i="3" l="1"/>
  <c r="K782" i="3"/>
  <c r="Q782" i="3" s="1"/>
  <c r="R782" i="3" s="1"/>
  <c r="F783" i="3" l="1"/>
  <c r="G783" i="3" s="1"/>
  <c r="H783" i="3" s="1"/>
  <c r="M782" i="3"/>
  <c r="N782" i="3"/>
  <c r="J783" i="3" l="1"/>
  <c r="I783" i="3"/>
  <c r="K783" i="3" l="1"/>
  <c r="Q783" i="3" s="1"/>
  <c r="R783" i="3" s="1"/>
  <c r="L783" i="3"/>
  <c r="N783" i="3" l="1"/>
  <c r="M783" i="3"/>
  <c r="F784" i="3"/>
  <c r="G784" i="3" s="1"/>
  <c r="H784" i="3" s="1"/>
  <c r="J784" i="3" l="1"/>
  <c r="I784" i="3"/>
  <c r="K784" i="3" l="1"/>
  <c r="Q784" i="3" s="1"/>
  <c r="R784" i="3" s="1"/>
  <c r="L784" i="3"/>
  <c r="N784" i="3" l="1"/>
  <c r="M784" i="3"/>
  <c r="F785" i="3"/>
  <c r="G785" i="3" s="1"/>
  <c r="H785" i="3" s="1"/>
  <c r="J785" i="3" l="1"/>
  <c r="I785" i="3"/>
  <c r="K785" i="3" l="1"/>
  <c r="Q785" i="3" s="1"/>
  <c r="R785" i="3" s="1"/>
  <c r="L785" i="3"/>
  <c r="N785" i="3" l="1"/>
  <c r="M785" i="3"/>
  <c r="F786" i="3"/>
  <c r="G786" i="3" s="1"/>
  <c r="H786" i="3" s="1"/>
  <c r="J786" i="3" l="1"/>
  <c r="I786" i="3"/>
  <c r="K786" i="3" l="1"/>
  <c r="Q786" i="3" s="1"/>
  <c r="R786" i="3" s="1"/>
  <c r="L786" i="3"/>
  <c r="N786" i="3" l="1"/>
  <c r="M786" i="3"/>
  <c r="F787" i="3"/>
  <c r="G787" i="3" s="1"/>
  <c r="H787" i="3" s="1"/>
  <c r="J787" i="3" l="1"/>
  <c r="I787" i="3"/>
  <c r="K787" i="3" l="1"/>
  <c r="Q787" i="3" s="1"/>
  <c r="R787" i="3" s="1"/>
  <c r="L787" i="3"/>
  <c r="N787" i="3" l="1"/>
  <c r="M787" i="3"/>
  <c r="F788" i="3"/>
  <c r="G788" i="3" s="1"/>
  <c r="H788" i="3" s="1"/>
  <c r="J788" i="3" l="1"/>
  <c r="I788" i="3"/>
  <c r="L788" i="3" l="1"/>
  <c r="K788" i="3"/>
  <c r="Q788" i="3" s="1"/>
  <c r="R788" i="3" s="1"/>
  <c r="F789" i="3" l="1"/>
  <c r="G789" i="3" s="1"/>
  <c r="H789" i="3" s="1"/>
  <c r="N788" i="3"/>
  <c r="M788" i="3"/>
  <c r="J789" i="3" l="1"/>
  <c r="I789" i="3"/>
  <c r="K789" i="3" l="1"/>
  <c r="Q789" i="3" s="1"/>
  <c r="R789" i="3" s="1"/>
  <c r="L789" i="3"/>
  <c r="M789" i="3" l="1"/>
  <c r="N789" i="3"/>
  <c r="F790" i="3"/>
  <c r="G790" i="3" s="1"/>
  <c r="H790" i="3" s="1"/>
  <c r="J790" i="3" l="1"/>
  <c r="I790" i="3"/>
  <c r="L790" i="3" l="1"/>
  <c r="K790" i="3"/>
  <c r="Q790" i="3" s="1"/>
  <c r="R790" i="3" s="1"/>
  <c r="F791" i="3" l="1"/>
  <c r="G791" i="3" s="1"/>
  <c r="H791" i="3" s="1"/>
  <c r="N790" i="3"/>
  <c r="M790" i="3"/>
  <c r="I791" i="3" l="1"/>
  <c r="J791" i="3"/>
  <c r="L791" i="3" l="1"/>
  <c r="K791" i="3"/>
  <c r="Q791" i="3" s="1"/>
  <c r="R791" i="3" s="1"/>
  <c r="F792" i="3" l="1"/>
  <c r="G792" i="3" s="1"/>
  <c r="H792" i="3" s="1"/>
  <c r="M791" i="3"/>
  <c r="N791" i="3"/>
  <c r="J792" i="3" l="1"/>
  <c r="I792" i="3"/>
  <c r="K792" i="3" l="1"/>
  <c r="Q792" i="3" s="1"/>
  <c r="R792" i="3" s="1"/>
  <c r="L792" i="3"/>
  <c r="N792" i="3" l="1"/>
  <c r="M792" i="3"/>
  <c r="F793" i="3"/>
  <c r="G793" i="3" s="1"/>
  <c r="H793" i="3" s="1"/>
  <c r="I793" i="3" l="1"/>
  <c r="J793" i="3"/>
  <c r="K793" i="3" l="1"/>
  <c r="Q793" i="3" s="1"/>
  <c r="R793" i="3" s="1"/>
  <c r="L793" i="3"/>
  <c r="N793" i="3" l="1"/>
  <c r="M793" i="3"/>
  <c r="F794" i="3"/>
  <c r="G794" i="3" s="1"/>
  <c r="H794" i="3" s="1"/>
  <c r="I794" i="3" l="1"/>
  <c r="J794" i="3"/>
  <c r="K794" i="3" l="1"/>
  <c r="Q794" i="3" s="1"/>
  <c r="R794" i="3" s="1"/>
  <c r="L794" i="3"/>
  <c r="M794" i="3" l="1"/>
  <c r="N794" i="3"/>
  <c r="F795" i="3"/>
  <c r="G795" i="3" s="1"/>
  <c r="H795" i="3" s="1"/>
  <c r="I795" i="3" l="1"/>
  <c r="J795" i="3"/>
  <c r="K795" i="3" l="1"/>
  <c r="Q795" i="3" s="1"/>
  <c r="R795" i="3" s="1"/>
  <c r="L795" i="3"/>
  <c r="M795" i="3" l="1"/>
  <c r="N795" i="3"/>
  <c r="F796" i="3"/>
  <c r="G796" i="3" s="1"/>
  <c r="H796" i="3" s="1"/>
  <c r="I796" i="3" l="1"/>
  <c r="J796" i="3"/>
  <c r="K796" i="3" l="1"/>
  <c r="Q796" i="3" s="1"/>
  <c r="R796" i="3" s="1"/>
  <c r="L796" i="3"/>
  <c r="M796" i="3" l="1"/>
  <c r="N796" i="3"/>
  <c r="F797" i="3"/>
  <c r="G797" i="3" s="1"/>
  <c r="H797" i="3" s="1"/>
  <c r="I797" i="3" l="1"/>
  <c r="J797" i="3"/>
  <c r="L797" i="3" l="1"/>
  <c r="K797" i="3"/>
  <c r="Q797" i="3" s="1"/>
  <c r="R797" i="3" s="1"/>
  <c r="F798" i="3" l="1"/>
  <c r="G798" i="3" s="1"/>
  <c r="H798" i="3" s="1"/>
  <c r="M797" i="3"/>
  <c r="N797" i="3"/>
  <c r="I798" i="3" l="1"/>
  <c r="J798" i="3"/>
  <c r="L798" i="3" l="1"/>
  <c r="K798" i="3"/>
  <c r="Q798" i="3" s="1"/>
  <c r="R798" i="3" s="1"/>
  <c r="F799" i="3" l="1"/>
  <c r="G799" i="3" s="1"/>
  <c r="H799" i="3" s="1"/>
  <c r="N798" i="3"/>
  <c r="M798" i="3"/>
  <c r="J799" i="3" l="1"/>
  <c r="I799" i="3"/>
  <c r="L799" i="3" l="1"/>
  <c r="K799" i="3"/>
  <c r="Q799" i="3" s="1"/>
  <c r="R799" i="3" s="1"/>
  <c r="F800" i="3" l="1"/>
  <c r="G800" i="3" s="1"/>
  <c r="H800" i="3" s="1"/>
  <c r="M799" i="3"/>
  <c r="N799" i="3"/>
  <c r="J800" i="3" l="1"/>
  <c r="I800" i="3"/>
  <c r="L800" i="3" l="1"/>
  <c r="K800" i="3"/>
  <c r="Q800" i="3" s="1"/>
  <c r="R800" i="3" s="1"/>
  <c r="F801" i="3" l="1"/>
  <c r="G801" i="3" s="1"/>
  <c r="H801" i="3" s="1"/>
  <c r="N800" i="3"/>
  <c r="M800" i="3"/>
  <c r="I801" i="3" l="1"/>
  <c r="J801" i="3"/>
  <c r="L801" i="3" l="1"/>
  <c r="K801" i="3"/>
  <c r="Q801" i="3" s="1"/>
  <c r="R801" i="3" s="1"/>
  <c r="F802" i="3" l="1"/>
  <c r="G802" i="3" s="1"/>
  <c r="H802" i="3" s="1"/>
  <c r="M801" i="3"/>
  <c r="N801" i="3"/>
  <c r="J802" i="3" l="1"/>
  <c r="I802" i="3"/>
  <c r="L802" i="3" l="1"/>
  <c r="K802" i="3"/>
  <c r="Q802" i="3" s="1"/>
  <c r="R802" i="3" s="1"/>
  <c r="F803" i="3" l="1"/>
  <c r="G803" i="3" s="1"/>
  <c r="H803" i="3" s="1"/>
  <c r="M802" i="3"/>
  <c r="N802" i="3"/>
  <c r="I803" i="3" l="1"/>
  <c r="J803" i="3"/>
  <c r="K803" i="3" l="1"/>
  <c r="Q803" i="3" s="1"/>
  <c r="R803" i="3" s="1"/>
  <c r="L803" i="3"/>
  <c r="N803" i="3" l="1"/>
  <c r="M803" i="3"/>
  <c r="F804" i="3"/>
  <c r="G804" i="3" s="1"/>
  <c r="H804" i="3" s="1"/>
  <c r="J804" i="3" l="1"/>
  <c r="I804" i="3"/>
  <c r="L804" i="3" l="1"/>
  <c r="K804" i="3"/>
  <c r="Q804" i="3" s="1"/>
  <c r="R804" i="3" s="1"/>
  <c r="F805" i="3" l="1"/>
  <c r="G805" i="3" s="1"/>
  <c r="H805" i="3" s="1"/>
  <c r="M804" i="3"/>
  <c r="N804" i="3"/>
  <c r="J805" i="3" l="1"/>
  <c r="I805" i="3"/>
  <c r="L805" i="3" l="1"/>
  <c r="K805" i="3"/>
  <c r="Q805" i="3" s="1"/>
  <c r="R805" i="3" s="1"/>
  <c r="F806" i="3" l="1"/>
  <c r="G806" i="3" s="1"/>
  <c r="H806" i="3" s="1"/>
  <c r="N805" i="3"/>
  <c r="M805" i="3"/>
  <c r="J806" i="3" l="1"/>
  <c r="I806" i="3"/>
  <c r="L806" i="3" l="1"/>
  <c r="K806" i="3"/>
  <c r="Q806" i="3" s="1"/>
  <c r="R806" i="3" s="1"/>
  <c r="F807" i="3" l="1"/>
  <c r="G807" i="3" s="1"/>
  <c r="H807" i="3" s="1"/>
  <c r="N806" i="3"/>
  <c r="M806" i="3"/>
  <c r="I807" i="3" l="1"/>
  <c r="J807" i="3"/>
  <c r="K807" i="3" l="1"/>
  <c r="Q807" i="3" s="1"/>
  <c r="R807" i="3" s="1"/>
  <c r="L807" i="3"/>
  <c r="N807" i="3" l="1"/>
  <c r="M807" i="3"/>
  <c r="F808" i="3"/>
  <c r="G808" i="3" s="1"/>
  <c r="H808" i="3" s="1"/>
  <c r="J808" i="3" l="1"/>
  <c r="I808" i="3"/>
  <c r="K808" i="3" l="1"/>
  <c r="Q808" i="3" s="1"/>
  <c r="R808" i="3" s="1"/>
  <c r="L808" i="3"/>
  <c r="M808" i="3" l="1"/>
  <c r="N808" i="3"/>
  <c r="F809" i="3"/>
  <c r="G809" i="3" s="1"/>
  <c r="H809" i="3" s="1"/>
  <c r="J809" i="3" l="1"/>
  <c r="I809" i="3"/>
  <c r="L809" i="3" l="1"/>
  <c r="K809" i="3"/>
  <c r="Q809" i="3" s="1"/>
  <c r="R809" i="3" s="1"/>
  <c r="F810" i="3" l="1"/>
  <c r="G810" i="3" s="1"/>
  <c r="H810" i="3" s="1"/>
  <c r="M809" i="3"/>
  <c r="N809" i="3"/>
  <c r="I810" i="3" l="1"/>
  <c r="J810" i="3"/>
  <c r="L810" i="3" l="1"/>
  <c r="K810" i="3"/>
  <c r="Q810" i="3" s="1"/>
  <c r="R810" i="3" s="1"/>
  <c r="F811" i="3" l="1"/>
  <c r="G811" i="3" s="1"/>
  <c r="H811" i="3" s="1"/>
  <c r="N810" i="3"/>
  <c r="M810" i="3"/>
  <c r="J811" i="3" l="1"/>
  <c r="I811" i="3"/>
  <c r="K811" i="3" l="1"/>
  <c r="Q811" i="3" s="1"/>
  <c r="R811" i="3" s="1"/>
  <c r="L811" i="3"/>
  <c r="M811" i="3" l="1"/>
  <c r="N811" i="3"/>
  <c r="F812" i="3"/>
  <c r="G812" i="3" s="1"/>
  <c r="H812" i="3" s="1"/>
  <c r="I812" i="3" l="1"/>
  <c r="J812" i="3"/>
  <c r="K812" i="3" l="1"/>
  <c r="Q812" i="3" s="1"/>
  <c r="R812" i="3" s="1"/>
  <c r="L812" i="3"/>
  <c r="M812" i="3" l="1"/>
  <c r="N812" i="3"/>
  <c r="F813" i="3"/>
  <c r="G813" i="3" s="1"/>
  <c r="H813" i="3" s="1"/>
  <c r="I813" i="3" l="1"/>
  <c r="J813" i="3"/>
  <c r="K813" i="3" l="1"/>
  <c r="Q813" i="3" s="1"/>
  <c r="R813" i="3" s="1"/>
  <c r="L813" i="3"/>
  <c r="M813" i="3" l="1"/>
  <c r="N813" i="3"/>
  <c r="F814" i="3"/>
  <c r="G814" i="3" s="1"/>
  <c r="H814" i="3" s="1"/>
  <c r="I814" i="3" l="1"/>
  <c r="J814" i="3"/>
  <c r="K814" i="3" l="1"/>
  <c r="Q814" i="3" s="1"/>
  <c r="R814" i="3" s="1"/>
  <c r="L814" i="3"/>
  <c r="M814" i="3" l="1"/>
  <c r="N814" i="3"/>
  <c r="F815" i="3"/>
  <c r="G815" i="3" s="1"/>
  <c r="H815" i="3" s="1"/>
  <c r="I815" i="3" l="1"/>
  <c r="J815" i="3"/>
  <c r="L815" i="3" l="1"/>
  <c r="K815" i="3"/>
  <c r="Q815" i="3" s="1"/>
  <c r="R815" i="3" s="1"/>
  <c r="F816" i="3" l="1"/>
  <c r="G816" i="3" s="1"/>
  <c r="H816" i="3" s="1"/>
  <c r="N815" i="3"/>
  <c r="M815" i="3"/>
  <c r="J816" i="3" l="1"/>
  <c r="I816" i="3"/>
  <c r="L816" i="3" l="1"/>
  <c r="K816" i="3"/>
  <c r="Q816" i="3" s="1"/>
  <c r="R816" i="3" s="1"/>
  <c r="F817" i="3" l="1"/>
  <c r="G817" i="3" s="1"/>
  <c r="H817" i="3" s="1"/>
  <c r="N816" i="3"/>
  <c r="M816" i="3"/>
  <c r="J817" i="3" l="1"/>
  <c r="I817" i="3"/>
  <c r="L817" i="3" l="1"/>
  <c r="K817" i="3"/>
  <c r="Q817" i="3" s="1"/>
  <c r="R817" i="3" s="1"/>
  <c r="F818" i="3" l="1"/>
  <c r="G818" i="3" s="1"/>
  <c r="H818" i="3" s="1"/>
  <c r="N817" i="3"/>
  <c r="M817" i="3"/>
  <c r="J818" i="3" l="1"/>
  <c r="I818" i="3"/>
  <c r="K818" i="3" l="1"/>
  <c r="Q818" i="3" s="1"/>
  <c r="R818" i="3" s="1"/>
  <c r="L818" i="3"/>
  <c r="N818" i="3" l="1"/>
  <c r="M818" i="3"/>
  <c r="F819" i="3"/>
  <c r="G819" i="3" s="1"/>
  <c r="H819" i="3" s="1"/>
  <c r="I819" i="3" l="1"/>
  <c r="J819" i="3"/>
  <c r="K819" i="3" l="1"/>
  <c r="Q819" i="3" s="1"/>
  <c r="R819" i="3" s="1"/>
  <c r="L819" i="3"/>
  <c r="M819" i="3" l="1"/>
  <c r="N819" i="3"/>
  <c r="F820" i="3"/>
  <c r="G820" i="3" s="1"/>
  <c r="H820" i="3" s="1"/>
  <c r="J820" i="3" l="1"/>
  <c r="I820" i="3"/>
  <c r="L820" i="3" l="1"/>
  <c r="K820" i="3"/>
  <c r="Q820" i="3" s="1"/>
  <c r="R820" i="3" s="1"/>
  <c r="F821" i="3" l="1"/>
  <c r="G821" i="3" s="1"/>
  <c r="H821" i="3" s="1"/>
  <c r="M820" i="3"/>
  <c r="N820" i="3"/>
  <c r="J821" i="3" l="1"/>
  <c r="I821" i="3"/>
  <c r="L821" i="3" l="1"/>
  <c r="K821" i="3"/>
  <c r="Q821" i="3" s="1"/>
  <c r="R821" i="3" s="1"/>
  <c r="F822" i="3" l="1"/>
  <c r="G822" i="3" s="1"/>
  <c r="H822" i="3" s="1"/>
  <c r="M821" i="3"/>
  <c r="N821" i="3"/>
  <c r="I822" i="3" l="1"/>
  <c r="J822" i="3"/>
  <c r="L822" i="3" l="1"/>
  <c r="K822" i="3"/>
  <c r="Q822" i="3" s="1"/>
  <c r="R822" i="3" s="1"/>
  <c r="F823" i="3" l="1"/>
  <c r="G823" i="3" s="1"/>
  <c r="H823" i="3" s="1"/>
  <c r="M822" i="3"/>
  <c r="N822" i="3"/>
  <c r="I823" i="3" l="1"/>
  <c r="J823" i="3"/>
  <c r="K823" i="3" l="1"/>
  <c r="Q823" i="3" s="1"/>
  <c r="R823" i="3" s="1"/>
  <c r="L823" i="3"/>
  <c r="N823" i="3" l="1"/>
  <c r="M823" i="3"/>
  <c r="F824" i="3"/>
  <c r="G824" i="3" s="1"/>
  <c r="H824" i="3" s="1"/>
  <c r="J824" i="3" l="1"/>
  <c r="I824" i="3"/>
  <c r="L824" i="3" l="1"/>
  <c r="K824" i="3"/>
  <c r="Q824" i="3" s="1"/>
  <c r="R824" i="3" s="1"/>
  <c r="F825" i="3" l="1"/>
  <c r="G825" i="3" s="1"/>
  <c r="H825" i="3" s="1"/>
  <c r="N824" i="3"/>
  <c r="M824" i="3"/>
  <c r="I825" i="3" l="1"/>
  <c r="J825" i="3"/>
  <c r="K825" i="3" l="1"/>
  <c r="Q825" i="3" s="1"/>
  <c r="R825" i="3" s="1"/>
  <c r="L825" i="3"/>
  <c r="M825" i="3" l="1"/>
  <c r="N825" i="3"/>
  <c r="F826" i="3"/>
  <c r="G826" i="3" s="1"/>
  <c r="H826" i="3" s="1"/>
  <c r="J826" i="3" l="1"/>
  <c r="I826" i="3"/>
  <c r="K826" i="3" l="1"/>
  <c r="Q826" i="3" s="1"/>
  <c r="R826" i="3" s="1"/>
  <c r="L826" i="3"/>
  <c r="M826" i="3" l="1"/>
  <c r="N826" i="3"/>
  <c r="F827" i="3"/>
  <c r="G827" i="3" s="1"/>
  <c r="H827" i="3" s="1"/>
  <c r="J827" i="3" l="1"/>
  <c r="I827" i="3"/>
  <c r="L827" i="3" l="1"/>
  <c r="K827" i="3"/>
  <c r="Q827" i="3" s="1"/>
  <c r="R827" i="3" s="1"/>
  <c r="F828" i="3" l="1"/>
  <c r="G828" i="3" s="1"/>
  <c r="H828" i="3" s="1"/>
  <c r="N827" i="3"/>
  <c r="M827" i="3"/>
  <c r="J828" i="3" l="1"/>
  <c r="I828" i="3"/>
  <c r="L828" i="3" l="1"/>
  <c r="K828" i="3"/>
  <c r="Q828" i="3" s="1"/>
  <c r="R828" i="3" s="1"/>
  <c r="F829" i="3" l="1"/>
  <c r="G829" i="3" s="1"/>
  <c r="H829" i="3" s="1"/>
  <c r="N828" i="3"/>
  <c r="M828" i="3"/>
  <c r="J829" i="3" l="1"/>
  <c r="I829" i="3"/>
  <c r="K829" i="3" l="1"/>
  <c r="Q829" i="3" s="1"/>
  <c r="R829" i="3" s="1"/>
  <c r="L829" i="3"/>
  <c r="N829" i="3" l="1"/>
  <c r="M829" i="3"/>
  <c r="F830" i="3"/>
  <c r="G830" i="3" s="1"/>
  <c r="H830" i="3" s="1"/>
  <c r="I830" i="3" l="1"/>
  <c r="J830" i="3"/>
  <c r="K830" i="3" l="1"/>
  <c r="Q830" i="3" s="1"/>
  <c r="R830" i="3" s="1"/>
  <c r="L830" i="3"/>
  <c r="M830" i="3" l="1"/>
  <c r="N830" i="3"/>
  <c r="F831" i="3"/>
  <c r="G831" i="3" s="1"/>
  <c r="H831" i="3" s="1"/>
  <c r="J831" i="3" l="1"/>
  <c r="I831" i="3"/>
  <c r="L831" i="3" l="1"/>
  <c r="K831" i="3"/>
  <c r="Q831" i="3" s="1"/>
  <c r="R831" i="3" s="1"/>
  <c r="F832" i="3" l="1"/>
  <c r="G832" i="3" s="1"/>
  <c r="H832" i="3" s="1"/>
  <c r="M831" i="3"/>
  <c r="N831" i="3"/>
  <c r="J832" i="3" l="1"/>
  <c r="I832" i="3"/>
  <c r="K832" i="3" l="1"/>
  <c r="Q832" i="3" s="1"/>
  <c r="R832" i="3" s="1"/>
  <c r="L832" i="3"/>
  <c r="M832" i="3" l="1"/>
  <c r="N832" i="3"/>
  <c r="F833" i="3"/>
  <c r="G833" i="3" s="1"/>
  <c r="H833" i="3" s="1"/>
  <c r="J833" i="3" l="1"/>
  <c r="I833" i="3"/>
  <c r="K833" i="3" l="1"/>
  <c r="Q833" i="3" s="1"/>
  <c r="R833" i="3" s="1"/>
  <c r="L833" i="3"/>
  <c r="M833" i="3" l="1"/>
  <c r="N833" i="3"/>
  <c r="F834" i="3"/>
  <c r="G834" i="3" s="1"/>
  <c r="H834" i="3" s="1"/>
  <c r="J834" i="3" l="1"/>
  <c r="I834" i="3"/>
  <c r="L834" i="3" l="1"/>
  <c r="K834" i="3"/>
  <c r="Q834" i="3" s="1"/>
  <c r="R834" i="3" s="1"/>
  <c r="F835" i="3" l="1"/>
  <c r="G835" i="3" s="1"/>
  <c r="H835" i="3" s="1"/>
  <c r="M834" i="3"/>
  <c r="N834" i="3"/>
  <c r="J835" i="3" l="1"/>
  <c r="I835" i="3"/>
  <c r="K835" i="3" l="1"/>
  <c r="Q835" i="3" s="1"/>
  <c r="R835" i="3" s="1"/>
  <c r="L835" i="3"/>
  <c r="M835" i="3" l="1"/>
  <c r="N835" i="3"/>
  <c r="F836" i="3"/>
  <c r="G836" i="3" s="1"/>
  <c r="H836" i="3" s="1"/>
  <c r="J836" i="3" l="1"/>
  <c r="I836" i="3"/>
  <c r="K836" i="3" l="1"/>
  <c r="Q836" i="3" s="1"/>
  <c r="R836" i="3" s="1"/>
  <c r="L836" i="3"/>
  <c r="N836" i="3" l="1"/>
  <c r="M836" i="3"/>
  <c r="F837" i="3"/>
  <c r="G837" i="3" s="1"/>
  <c r="H837" i="3" s="1"/>
  <c r="J837" i="3" l="1"/>
  <c r="I837" i="3"/>
  <c r="L837" i="3" l="1"/>
  <c r="K837" i="3"/>
  <c r="Q837" i="3" s="1"/>
  <c r="R837" i="3" s="1"/>
  <c r="F838" i="3" l="1"/>
  <c r="G838" i="3" s="1"/>
  <c r="H838" i="3" s="1"/>
  <c r="N837" i="3"/>
  <c r="M837" i="3"/>
  <c r="I838" i="3" l="1"/>
  <c r="J838" i="3"/>
  <c r="K838" i="3" l="1"/>
  <c r="Q838" i="3" s="1"/>
  <c r="R838" i="3" s="1"/>
  <c r="L838" i="3"/>
  <c r="N838" i="3" l="1"/>
  <c r="M838" i="3"/>
  <c r="F839" i="3"/>
  <c r="G839" i="3" s="1"/>
  <c r="H839" i="3" s="1"/>
  <c r="J839" i="3" l="1"/>
  <c r="I839" i="3"/>
  <c r="L839" i="3" l="1"/>
  <c r="K839" i="3"/>
  <c r="Q839" i="3" s="1"/>
  <c r="R839" i="3" s="1"/>
  <c r="F840" i="3" l="1"/>
  <c r="G840" i="3" s="1"/>
  <c r="H840" i="3" s="1"/>
  <c r="M839" i="3"/>
  <c r="N839" i="3"/>
  <c r="J840" i="3" l="1"/>
  <c r="I840" i="3"/>
  <c r="K840" i="3" l="1"/>
  <c r="Q840" i="3" s="1"/>
  <c r="R840" i="3" s="1"/>
  <c r="L840" i="3"/>
  <c r="M840" i="3" l="1"/>
  <c r="N840" i="3"/>
  <c r="F841" i="3"/>
  <c r="G841" i="3" s="1"/>
  <c r="H841" i="3" s="1"/>
  <c r="J841" i="3" l="1"/>
  <c r="I841" i="3"/>
  <c r="K841" i="3" l="1"/>
  <c r="Q841" i="3" s="1"/>
  <c r="R841" i="3" s="1"/>
  <c r="L841" i="3"/>
  <c r="M841" i="3" l="1"/>
  <c r="N841" i="3"/>
  <c r="F842" i="3"/>
  <c r="G842" i="3" s="1"/>
  <c r="H842" i="3" s="1"/>
  <c r="J842" i="3" l="1"/>
  <c r="I842" i="3"/>
  <c r="L842" i="3" l="1"/>
  <c r="K842" i="3"/>
  <c r="Q842" i="3" s="1"/>
  <c r="R842" i="3" s="1"/>
  <c r="F843" i="3" l="1"/>
  <c r="G843" i="3" s="1"/>
  <c r="H843" i="3" s="1"/>
  <c r="N842" i="3"/>
  <c r="M842" i="3"/>
  <c r="J843" i="3" l="1"/>
  <c r="I843" i="3"/>
  <c r="K843" i="3" l="1"/>
  <c r="Q843" i="3" s="1"/>
  <c r="R843" i="3" s="1"/>
  <c r="L843" i="3"/>
  <c r="N843" i="3" l="1"/>
  <c r="M843" i="3"/>
  <c r="F844" i="3"/>
  <c r="G844" i="3" s="1"/>
  <c r="H844" i="3" s="1"/>
  <c r="J844" i="3" l="1"/>
  <c r="I844" i="3"/>
  <c r="L844" i="3" l="1"/>
  <c r="K844" i="3"/>
  <c r="Q844" i="3" s="1"/>
  <c r="R844" i="3" s="1"/>
  <c r="F845" i="3" l="1"/>
  <c r="G845" i="3" s="1"/>
  <c r="H845" i="3" s="1"/>
  <c r="M844" i="3"/>
  <c r="N844" i="3"/>
  <c r="I845" i="3" l="1"/>
  <c r="J845" i="3"/>
  <c r="L845" i="3" l="1"/>
  <c r="K845" i="3"/>
  <c r="Q845" i="3" s="1"/>
  <c r="R845" i="3" s="1"/>
  <c r="F846" i="3" l="1"/>
  <c r="G846" i="3" s="1"/>
  <c r="H846" i="3" s="1"/>
  <c r="M845" i="3"/>
  <c r="N845" i="3"/>
  <c r="I846" i="3" l="1"/>
  <c r="J846" i="3"/>
  <c r="L846" i="3" l="1"/>
  <c r="K846" i="3"/>
  <c r="Q846" i="3" s="1"/>
  <c r="R846" i="3" s="1"/>
  <c r="F847" i="3" l="1"/>
  <c r="G847" i="3" s="1"/>
  <c r="H847" i="3" s="1"/>
  <c r="N846" i="3"/>
  <c r="M846" i="3"/>
  <c r="I847" i="3" l="1"/>
  <c r="J847" i="3"/>
  <c r="L847" i="3" l="1"/>
  <c r="K847" i="3"/>
  <c r="Q847" i="3" s="1"/>
  <c r="R847" i="3" s="1"/>
  <c r="F848" i="3" l="1"/>
  <c r="G848" i="3" s="1"/>
  <c r="H848" i="3" s="1"/>
  <c r="N847" i="3"/>
  <c r="M847" i="3"/>
  <c r="I848" i="3" l="1"/>
  <c r="J848" i="3"/>
  <c r="K848" i="3" l="1"/>
  <c r="Q848" i="3" s="1"/>
  <c r="R848" i="3" s="1"/>
  <c r="L848" i="3"/>
  <c r="M848" i="3" l="1"/>
  <c r="N848" i="3"/>
  <c r="F849" i="3"/>
  <c r="G849" i="3" s="1"/>
  <c r="H849" i="3" s="1"/>
  <c r="I849" i="3" l="1"/>
  <c r="J849" i="3"/>
  <c r="K849" i="3" l="1"/>
  <c r="Q849" i="3" s="1"/>
  <c r="R849" i="3" s="1"/>
  <c r="L849" i="3"/>
  <c r="N849" i="3" l="1"/>
  <c r="M849" i="3"/>
  <c r="F850" i="3"/>
  <c r="G850" i="3" s="1"/>
  <c r="H850" i="3" s="1"/>
  <c r="I850" i="3" l="1"/>
  <c r="J850" i="3"/>
  <c r="L850" i="3" l="1"/>
  <c r="K850" i="3"/>
  <c r="Q850" i="3" s="1"/>
  <c r="R850" i="3" s="1"/>
  <c r="F851" i="3" l="1"/>
  <c r="G851" i="3" s="1"/>
  <c r="H851" i="3" s="1"/>
  <c r="M850" i="3"/>
  <c r="N850" i="3"/>
  <c r="J851" i="3" l="1"/>
  <c r="I851" i="3"/>
  <c r="K851" i="3" l="1"/>
  <c r="Q851" i="3" s="1"/>
  <c r="R851" i="3" s="1"/>
  <c r="L851" i="3"/>
  <c r="M851" i="3" l="1"/>
  <c r="N851" i="3"/>
  <c r="F852" i="3"/>
  <c r="G852" i="3" s="1"/>
  <c r="H852" i="3" s="1"/>
  <c r="I852" i="3" l="1"/>
  <c r="J852" i="3"/>
  <c r="L852" i="3" l="1"/>
  <c r="K852" i="3"/>
  <c r="Q852" i="3" s="1"/>
  <c r="R852" i="3" s="1"/>
  <c r="F853" i="3" l="1"/>
  <c r="G853" i="3" s="1"/>
  <c r="H853" i="3" s="1"/>
  <c r="N852" i="3"/>
  <c r="M852" i="3"/>
  <c r="I853" i="3" l="1"/>
  <c r="J853" i="3"/>
  <c r="K853" i="3" l="1"/>
  <c r="Q853" i="3" s="1"/>
  <c r="R853" i="3" s="1"/>
  <c r="L853" i="3"/>
  <c r="M853" i="3" l="1"/>
  <c r="N853" i="3"/>
  <c r="F854" i="3"/>
  <c r="G854" i="3" s="1"/>
  <c r="H854" i="3" s="1"/>
  <c r="I854" i="3" l="1"/>
  <c r="J854" i="3"/>
  <c r="K854" i="3" l="1"/>
  <c r="Q854" i="3" s="1"/>
  <c r="R854" i="3" s="1"/>
  <c r="L854" i="3"/>
  <c r="M854" i="3" l="1"/>
  <c r="N854" i="3"/>
  <c r="F855" i="3"/>
  <c r="G855" i="3" s="1"/>
  <c r="H855" i="3" s="1"/>
  <c r="J855" i="3" l="1"/>
  <c r="I855" i="3"/>
  <c r="L855" i="3" l="1"/>
  <c r="K855" i="3"/>
  <c r="Q855" i="3" s="1"/>
  <c r="R855" i="3" s="1"/>
  <c r="F856" i="3" l="1"/>
  <c r="G856" i="3" s="1"/>
  <c r="H856" i="3" s="1"/>
  <c r="N855" i="3"/>
  <c r="M855" i="3"/>
  <c r="J856" i="3" l="1"/>
  <c r="I856" i="3"/>
  <c r="L856" i="3" l="1"/>
  <c r="K856" i="3"/>
  <c r="Q856" i="3" s="1"/>
  <c r="R856" i="3" s="1"/>
  <c r="F857" i="3" l="1"/>
  <c r="G857" i="3" s="1"/>
  <c r="H857" i="3" s="1"/>
  <c r="M856" i="3"/>
  <c r="N856" i="3"/>
  <c r="J857" i="3" l="1"/>
  <c r="I857" i="3"/>
  <c r="L857" i="3" l="1"/>
  <c r="K857" i="3"/>
  <c r="Q857" i="3" s="1"/>
  <c r="R857" i="3" s="1"/>
  <c r="F858" i="3" l="1"/>
  <c r="G858" i="3" s="1"/>
  <c r="H858" i="3" s="1"/>
  <c r="N857" i="3"/>
  <c r="M857" i="3"/>
  <c r="I858" i="3" l="1"/>
  <c r="J858" i="3"/>
  <c r="K858" i="3" l="1"/>
  <c r="Q858" i="3" s="1"/>
  <c r="R858" i="3" s="1"/>
  <c r="L858" i="3"/>
  <c r="N858" i="3" l="1"/>
  <c r="M858" i="3"/>
  <c r="F859" i="3"/>
  <c r="G859" i="3" s="1"/>
  <c r="H859" i="3" s="1"/>
  <c r="I859" i="3" l="1"/>
  <c r="J859" i="3"/>
  <c r="L859" i="3" l="1"/>
  <c r="K859" i="3"/>
  <c r="Q859" i="3" s="1"/>
  <c r="R859" i="3" s="1"/>
  <c r="F860" i="3" l="1"/>
  <c r="G860" i="3" s="1"/>
  <c r="H860" i="3" s="1"/>
  <c r="N859" i="3"/>
  <c r="M859" i="3"/>
  <c r="I860" i="3" l="1"/>
  <c r="J860" i="3"/>
  <c r="K860" i="3" l="1"/>
  <c r="Q860" i="3" s="1"/>
  <c r="R860" i="3" s="1"/>
  <c r="L860" i="3"/>
  <c r="N860" i="3" l="1"/>
  <c r="M860" i="3"/>
  <c r="F861" i="3"/>
  <c r="G861" i="3" s="1"/>
  <c r="H861" i="3" s="1"/>
  <c r="I861" i="3" l="1"/>
  <c r="J861" i="3"/>
  <c r="L861" i="3" l="1"/>
  <c r="K861" i="3"/>
  <c r="Q861" i="3" s="1"/>
  <c r="R861" i="3" s="1"/>
  <c r="F862" i="3" l="1"/>
  <c r="G862" i="3" s="1"/>
  <c r="H862" i="3" s="1"/>
  <c r="N861" i="3"/>
  <c r="M861" i="3"/>
  <c r="J862" i="3" l="1"/>
  <c r="I862" i="3"/>
  <c r="L862" i="3" l="1"/>
  <c r="K862" i="3"/>
  <c r="Q862" i="3" s="1"/>
  <c r="R862" i="3" s="1"/>
  <c r="F863" i="3" l="1"/>
  <c r="G863" i="3" s="1"/>
  <c r="H863" i="3" s="1"/>
  <c r="N862" i="3"/>
  <c r="M862" i="3"/>
  <c r="I863" i="3" l="1"/>
  <c r="J863" i="3"/>
  <c r="K863" i="3" l="1"/>
  <c r="Q863" i="3" s="1"/>
  <c r="R863" i="3" s="1"/>
  <c r="L863" i="3"/>
  <c r="M863" i="3" l="1"/>
  <c r="N863" i="3"/>
  <c r="F864" i="3"/>
  <c r="G864" i="3" s="1"/>
  <c r="H864" i="3" s="1"/>
  <c r="I864" i="3" l="1"/>
  <c r="J864" i="3"/>
  <c r="K864" i="3" l="1"/>
  <c r="Q864" i="3" s="1"/>
  <c r="R864" i="3" s="1"/>
  <c r="L864" i="3"/>
  <c r="M864" i="3" l="1"/>
  <c r="N864" i="3"/>
  <c r="F865" i="3"/>
  <c r="G865" i="3" s="1"/>
  <c r="H865" i="3" s="1"/>
  <c r="J865" i="3" l="1"/>
  <c r="I865" i="3"/>
  <c r="K865" i="3" l="1"/>
  <c r="Q865" i="3" s="1"/>
  <c r="R865" i="3" s="1"/>
  <c r="L865" i="3"/>
  <c r="M865" i="3" l="1"/>
  <c r="N865" i="3"/>
  <c r="F866" i="3"/>
  <c r="G866" i="3" s="1"/>
  <c r="H866" i="3" s="1"/>
  <c r="J866" i="3" l="1"/>
  <c r="I866" i="3"/>
  <c r="K866" i="3" l="1"/>
  <c r="Q866" i="3" s="1"/>
  <c r="R866" i="3" s="1"/>
  <c r="L866" i="3"/>
  <c r="M866" i="3" l="1"/>
  <c r="N866" i="3"/>
  <c r="F867" i="3"/>
  <c r="G867" i="3" s="1"/>
  <c r="H867" i="3" s="1"/>
  <c r="J867" i="3" l="1"/>
  <c r="I867" i="3"/>
  <c r="L867" i="3" l="1"/>
  <c r="K867" i="3"/>
  <c r="Q867" i="3" s="1"/>
  <c r="R867" i="3" s="1"/>
  <c r="F868" i="3" l="1"/>
  <c r="G868" i="3" s="1"/>
  <c r="H868" i="3" s="1"/>
  <c r="M867" i="3"/>
  <c r="N867" i="3"/>
  <c r="I868" i="3" l="1"/>
  <c r="J868" i="3"/>
  <c r="K868" i="3" l="1"/>
  <c r="Q868" i="3" s="1"/>
  <c r="R868" i="3" s="1"/>
  <c r="L868" i="3"/>
  <c r="M868" i="3" l="1"/>
  <c r="N868" i="3"/>
  <c r="F869" i="3"/>
  <c r="G869" i="3" s="1"/>
  <c r="H869" i="3" s="1"/>
  <c r="I869" i="3" l="1"/>
  <c r="J869" i="3"/>
  <c r="L869" i="3" l="1"/>
  <c r="K869" i="3"/>
  <c r="Q869" i="3" s="1"/>
  <c r="R869" i="3" s="1"/>
  <c r="F870" i="3" l="1"/>
  <c r="G870" i="3" s="1"/>
  <c r="H870" i="3" s="1"/>
  <c r="M869" i="3"/>
  <c r="N869" i="3"/>
  <c r="I870" i="3" l="1"/>
  <c r="J870" i="3"/>
  <c r="L870" i="3" l="1"/>
  <c r="K870" i="3"/>
  <c r="Q870" i="3" s="1"/>
  <c r="R870" i="3" s="1"/>
  <c r="F871" i="3" l="1"/>
  <c r="G871" i="3" s="1"/>
  <c r="H871" i="3" s="1"/>
  <c r="M870" i="3"/>
  <c r="N870" i="3"/>
  <c r="J871" i="3" l="1"/>
  <c r="I871" i="3"/>
  <c r="L871" i="3" l="1"/>
  <c r="K871" i="3"/>
  <c r="Q871" i="3" s="1"/>
  <c r="R871" i="3" s="1"/>
  <c r="F872" i="3" l="1"/>
  <c r="G872" i="3" s="1"/>
  <c r="H872" i="3" s="1"/>
  <c r="N871" i="3"/>
  <c r="M871" i="3"/>
  <c r="J872" i="3" l="1"/>
  <c r="I872" i="3"/>
  <c r="K872" i="3" l="1"/>
  <c r="Q872" i="3" s="1"/>
  <c r="R872" i="3" s="1"/>
  <c r="L872" i="3"/>
  <c r="N872" i="3" l="1"/>
  <c r="M872" i="3"/>
  <c r="F873" i="3"/>
  <c r="G873" i="3" s="1"/>
  <c r="H873" i="3" s="1"/>
  <c r="I873" i="3" l="1"/>
  <c r="J873" i="3"/>
  <c r="K873" i="3" l="1"/>
  <c r="Q873" i="3" s="1"/>
  <c r="R873" i="3" s="1"/>
  <c r="L873" i="3"/>
  <c r="M873" i="3" l="1"/>
  <c r="N873" i="3"/>
  <c r="F874" i="3"/>
  <c r="G874" i="3" s="1"/>
  <c r="H874" i="3" s="1"/>
  <c r="I874" i="3" l="1"/>
  <c r="J874" i="3"/>
  <c r="K874" i="3" l="1"/>
  <c r="Q874" i="3" s="1"/>
  <c r="R874" i="3" s="1"/>
  <c r="L874" i="3"/>
  <c r="M874" i="3" l="1"/>
  <c r="N874" i="3"/>
  <c r="F875" i="3"/>
  <c r="G875" i="3" s="1"/>
  <c r="H875" i="3" s="1"/>
  <c r="J875" i="3" l="1"/>
  <c r="I875" i="3"/>
  <c r="K875" i="3" l="1"/>
  <c r="Q875" i="3" s="1"/>
  <c r="R875" i="3" s="1"/>
  <c r="L875" i="3"/>
  <c r="N875" i="3" l="1"/>
  <c r="M875" i="3"/>
  <c r="F876" i="3"/>
  <c r="G876" i="3" s="1"/>
  <c r="H876" i="3" s="1"/>
  <c r="J876" i="3" l="1"/>
  <c r="I876" i="3"/>
  <c r="L876" i="3" l="1"/>
  <c r="K876" i="3"/>
  <c r="Q876" i="3" s="1"/>
  <c r="R876" i="3" s="1"/>
  <c r="F877" i="3" l="1"/>
  <c r="G877" i="3" s="1"/>
  <c r="H877" i="3" s="1"/>
  <c r="N876" i="3"/>
  <c r="M876" i="3"/>
  <c r="J877" i="3" l="1"/>
  <c r="I877" i="3"/>
  <c r="K877" i="3" l="1"/>
  <c r="Q877" i="3" s="1"/>
  <c r="R877" i="3" s="1"/>
  <c r="L877" i="3"/>
  <c r="N877" i="3" l="1"/>
  <c r="M877" i="3"/>
  <c r="F878" i="3"/>
  <c r="G878" i="3" s="1"/>
  <c r="H878" i="3" s="1"/>
  <c r="J878" i="3" l="1"/>
  <c r="I878" i="3"/>
  <c r="K878" i="3" l="1"/>
  <c r="Q878" i="3" s="1"/>
  <c r="R878" i="3" s="1"/>
  <c r="L878" i="3"/>
  <c r="N878" i="3" l="1"/>
  <c r="M878" i="3"/>
  <c r="F879" i="3"/>
  <c r="G879" i="3" s="1"/>
  <c r="H879" i="3" s="1"/>
  <c r="I879" i="3" l="1"/>
  <c r="J879" i="3"/>
  <c r="L879" i="3" l="1"/>
  <c r="K879" i="3"/>
  <c r="Q879" i="3" s="1"/>
  <c r="R879" i="3" s="1"/>
  <c r="F880" i="3" l="1"/>
  <c r="G880" i="3" s="1"/>
  <c r="H880" i="3" s="1"/>
  <c r="N879" i="3"/>
  <c r="M879" i="3"/>
  <c r="I880" i="3" l="1"/>
  <c r="J880" i="3"/>
  <c r="K880" i="3" l="1"/>
  <c r="Q880" i="3" s="1"/>
  <c r="R880" i="3" s="1"/>
  <c r="L880" i="3"/>
  <c r="M880" i="3" l="1"/>
  <c r="N880" i="3"/>
  <c r="F881" i="3"/>
  <c r="G881" i="3" s="1"/>
  <c r="H881" i="3" s="1"/>
  <c r="I881" i="3" l="1"/>
  <c r="J881" i="3"/>
  <c r="K881" i="3" l="1"/>
  <c r="Q881" i="3" s="1"/>
  <c r="R881" i="3" s="1"/>
  <c r="L881" i="3"/>
  <c r="M881" i="3" l="1"/>
  <c r="N881" i="3"/>
  <c r="F882" i="3"/>
  <c r="G882" i="3" s="1"/>
  <c r="H882" i="3" s="1"/>
  <c r="I882" i="3" l="1"/>
  <c r="J882" i="3"/>
  <c r="K882" i="3" l="1"/>
  <c r="Q882" i="3" s="1"/>
  <c r="R882" i="3" s="1"/>
  <c r="L882" i="3"/>
  <c r="M882" i="3" l="1"/>
  <c r="N882" i="3"/>
  <c r="F883" i="3"/>
  <c r="G883" i="3" s="1"/>
  <c r="H883" i="3" s="1"/>
  <c r="J883" i="3" l="1"/>
  <c r="I883" i="3"/>
  <c r="K883" i="3" l="1"/>
  <c r="Q883" i="3" s="1"/>
  <c r="R883" i="3" s="1"/>
  <c r="L883" i="3"/>
  <c r="M883" i="3" l="1"/>
  <c r="N883" i="3"/>
  <c r="F884" i="3"/>
  <c r="G884" i="3" s="1"/>
  <c r="H884" i="3" s="1"/>
  <c r="J884" i="3" l="1"/>
  <c r="I884" i="3"/>
  <c r="L884" i="3" l="1"/>
  <c r="K884" i="3"/>
  <c r="Q884" i="3" s="1"/>
  <c r="R884" i="3" s="1"/>
  <c r="F885" i="3" l="1"/>
  <c r="G885" i="3" s="1"/>
  <c r="H885" i="3" s="1"/>
  <c r="M884" i="3"/>
  <c r="N884" i="3"/>
  <c r="I885" i="3" l="1"/>
  <c r="J885" i="3"/>
  <c r="L885" i="3" l="1"/>
  <c r="K885" i="3"/>
  <c r="Q885" i="3" s="1"/>
  <c r="R885" i="3" s="1"/>
  <c r="F886" i="3" l="1"/>
  <c r="G886" i="3" s="1"/>
  <c r="H886" i="3" s="1"/>
  <c r="M885" i="3"/>
  <c r="N885" i="3"/>
  <c r="J886" i="3" l="1"/>
  <c r="I886" i="3"/>
  <c r="K886" i="3" l="1"/>
  <c r="Q886" i="3" s="1"/>
  <c r="R886" i="3" s="1"/>
  <c r="L886" i="3"/>
  <c r="N886" i="3" l="1"/>
  <c r="M886" i="3"/>
  <c r="F887" i="3"/>
  <c r="G887" i="3" s="1"/>
  <c r="H887" i="3" s="1"/>
  <c r="I887" i="3" l="1"/>
  <c r="J887" i="3"/>
  <c r="L887" i="3" l="1"/>
  <c r="K887" i="3"/>
  <c r="Q887" i="3" s="1"/>
  <c r="R887" i="3" s="1"/>
  <c r="F888" i="3" l="1"/>
  <c r="G888" i="3" s="1"/>
  <c r="H888" i="3" s="1"/>
  <c r="N887" i="3"/>
  <c r="M887" i="3"/>
  <c r="I888" i="3" l="1"/>
  <c r="J888" i="3"/>
  <c r="K888" i="3" l="1"/>
  <c r="Q888" i="3" s="1"/>
  <c r="R888" i="3" s="1"/>
  <c r="L888" i="3"/>
  <c r="N888" i="3" l="1"/>
  <c r="M888" i="3"/>
  <c r="F889" i="3"/>
  <c r="G889" i="3" s="1"/>
  <c r="H889" i="3" s="1"/>
  <c r="J889" i="3" l="1"/>
  <c r="I889" i="3"/>
  <c r="K889" i="3" l="1"/>
  <c r="Q889" i="3" s="1"/>
  <c r="R889" i="3" s="1"/>
  <c r="L889" i="3"/>
  <c r="M889" i="3" l="1"/>
  <c r="N889" i="3"/>
  <c r="F890" i="3"/>
  <c r="G890" i="3" s="1"/>
  <c r="H890" i="3" s="1"/>
  <c r="J890" i="3" l="1"/>
  <c r="I890" i="3"/>
  <c r="L890" i="3" l="1"/>
  <c r="K890" i="3"/>
  <c r="Q890" i="3" s="1"/>
  <c r="R890" i="3" s="1"/>
  <c r="F891" i="3" l="1"/>
  <c r="G891" i="3" s="1"/>
  <c r="H891" i="3" s="1"/>
  <c r="N890" i="3"/>
  <c r="M890" i="3"/>
  <c r="I891" i="3" l="1"/>
  <c r="J891" i="3"/>
  <c r="L891" i="3" l="1"/>
  <c r="K891" i="3"/>
  <c r="Q891" i="3" s="1"/>
  <c r="R891" i="3" s="1"/>
  <c r="F892" i="3" l="1"/>
  <c r="G892" i="3" s="1"/>
  <c r="H892" i="3" s="1"/>
  <c r="M891" i="3"/>
  <c r="N891" i="3"/>
  <c r="I892" i="3" l="1"/>
  <c r="J892" i="3"/>
  <c r="K892" i="3" l="1"/>
  <c r="Q892" i="3" s="1"/>
  <c r="R892" i="3" s="1"/>
  <c r="L892" i="3"/>
  <c r="M892" i="3" l="1"/>
  <c r="N892" i="3"/>
  <c r="F893" i="3"/>
  <c r="G893" i="3" s="1"/>
  <c r="H893" i="3" s="1"/>
  <c r="I893" i="3" l="1"/>
  <c r="J893" i="3"/>
  <c r="K893" i="3" l="1"/>
  <c r="Q893" i="3" s="1"/>
  <c r="R893" i="3" s="1"/>
  <c r="L893" i="3"/>
  <c r="N893" i="3" l="1"/>
  <c r="M893" i="3"/>
  <c r="F894" i="3"/>
  <c r="G894" i="3" s="1"/>
  <c r="H894" i="3" s="1"/>
  <c r="I894" i="3" l="1"/>
  <c r="J894" i="3"/>
  <c r="L894" i="3" l="1"/>
  <c r="K894" i="3"/>
  <c r="Q894" i="3" s="1"/>
  <c r="R894" i="3" s="1"/>
  <c r="F895" i="3" l="1"/>
  <c r="G895" i="3" s="1"/>
  <c r="H895" i="3" s="1"/>
  <c r="M894" i="3"/>
  <c r="N894" i="3"/>
  <c r="J895" i="3" l="1"/>
  <c r="I895" i="3"/>
  <c r="K895" i="3" l="1"/>
  <c r="Q895" i="3" s="1"/>
  <c r="R895" i="3" s="1"/>
  <c r="L895" i="3"/>
  <c r="N895" i="3" l="1"/>
  <c r="M895" i="3"/>
  <c r="F896" i="3"/>
  <c r="G896" i="3" s="1"/>
  <c r="H896" i="3" s="1"/>
  <c r="I896" i="3" l="1"/>
  <c r="J896" i="3"/>
  <c r="L896" i="3" l="1"/>
  <c r="K896" i="3"/>
  <c r="Q896" i="3" s="1"/>
  <c r="R896" i="3" s="1"/>
  <c r="F897" i="3" l="1"/>
  <c r="G897" i="3" s="1"/>
  <c r="H897" i="3" s="1"/>
  <c r="M896" i="3"/>
  <c r="N896" i="3"/>
  <c r="I897" i="3" l="1"/>
  <c r="J897" i="3"/>
  <c r="L897" i="3" l="1"/>
  <c r="K897" i="3"/>
  <c r="Q897" i="3" s="1"/>
  <c r="R897" i="3" s="1"/>
  <c r="F898" i="3" l="1"/>
  <c r="G898" i="3" s="1"/>
  <c r="H898" i="3" s="1"/>
  <c r="M897" i="3"/>
  <c r="N897" i="3"/>
  <c r="I898" i="3" l="1"/>
  <c r="J898" i="3"/>
  <c r="L898" i="3" l="1"/>
  <c r="K898" i="3"/>
  <c r="Q898" i="3" s="1"/>
  <c r="R898" i="3" s="1"/>
  <c r="F899" i="3" l="1"/>
  <c r="G899" i="3" s="1"/>
  <c r="H899" i="3" s="1"/>
  <c r="M898" i="3"/>
  <c r="N898" i="3"/>
  <c r="J899" i="3" l="1"/>
  <c r="I899" i="3"/>
  <c r="K899" i="3" l="1"/>
  <c r="Q899" i="3" s="1"/>
  <c r="R899" i="3" s="1"/>
  <c r="L899" i="3"/>
  <c r="F900" i="3" l="1"/>
  <c r="G900" i="3" s="1"/>
  <c r="H900" i="3" s="1"/>
  <c r="N899" i="3"/>
  <c r="M899" i="3"/>
  <c r="J900" i="3" l="1"/>
  <c r="I900" i="3"/>
  <c r="K900" i="3" l="1"/>
  <c r="Q900" i="3" s="1"/>
  <c r="R900" i="3" s="1"/>
  <c r="L900" i="3"/>
  <c r="M900" i="3" l="1"/>
  <c r="N900" i="3"/>
  <c r="F901" i="3"/>
  <c r="G901" i="3" s="1"/>
  <c r="H901" i="3" s="1"/>
  <c r="I901" i="3" l="1"/>
  <c r="J901" i="3"/>
  <c r="K901" i="3" l="1"/>
  <c r="Q901" i="3" s="1"/>
  <c r="R901" i="3" s="1"/>
  <c r="L901" i="3"/>
  <c r="F902" i="3" l="1"/>
  <c r="G902" i="3" s="1"/>
  <c r="H902" i="3" s="1"/>
  <c r="M901" i="3"/>
  <c r="N901" i="3"/>
  <c r="I902" i="3" l="1"/>
  <c r="J902" i="3"/>
  <c r="K902" i="3" l="1"/>
  <c r="Q902" i="3" s="1"/>
  <c r="R902" i="3" s="1"/>
  <c r="L902" i="3"/>
  <c r="F903" i="3" l="1"/>
  <c r="G903" i="3" s="1"/>
  <c r="H903" i="3" s="1"/>
  <c r="N902" i="3"/>
  <c r="M902" i="3"/>
  <c r="I903" i="3" l="1"/>
  <c r="J903" i="3"/>
  <c r="L903" i="3" l="1"/>
  <c r="K903" i="3"/>
  <c r="Q903" i="3" s="1"/>
  <c r="R903" i="3" s="1"/>
  <c r="N903" i="3" l="1"/>
  <c r="M903" i="3"/>
  <c r="F904" i="3"/>
  <c r="G904" i="3" s="1"/>
  <c r="H904" i="3" s="1"/>
  <c r="J904" i="3" l="1"/>
  <c r="I904" i="3"/>
  <c r="L904" i="3" l="1"/>
  <c r="K904" i="3"/>
  <c r="Q904" i="3" s="1"/>
  <c r="R904" i="3" s="1"/>
  <c r="F905" i="3" l="1"/>
  <c r="G905" i="3" s="1"/>
  <c r="H905" i="3" s="1"/>
  <c r="M904" i="3"/>
  <c r="N904" i="3"/>
  <c r="I905" i="3" l="1"/>
  <c r="J905" i="3"/>
  <c r="L905" i="3" l="1"/>
  <c r="K905" i="3"/>
  <c r="Q905" i="3" s="1"/>
  <c r="R905" i="3" s="1"/>
  <c r="F906" i="3" l="1"/>
  <c r="G906" i="3" s="1"/>
  <c r="H906" i="3" s="1"/>
  <c r="N905" i="3"/>
  <c r="M905" i="3"/>
  <c r="I906" i="3" l="1"/>
  <c r="J906" i="3"/>
  <c r="L906" i="3" l="1"/>
  <c r="K906" i="3"/>
  <c r="Q906" i="3" s="1"/>
  <c r="R906" i="3" s="1"/>
  <c r="M906" i="3" l="1"/>
  <c r="N906" i="3"/>
  <c r="F907" i="3"/>
  <c r="G907" i="3" s="1"/>
  <c r="H907" i="3" s="1"/>
  <c r="I907" i="3" l="1"/>
  <c r="J907" i="3"/>
  <c r="K907" i="3" l="1"/>
  <c r="Q907" i="3" s="1"/>
  <c r="R907" i="3" s="1"/>
  <c r="L907" i="3"/>
  <c r="M907" i="3" l="1"/>
  <c r="N907" i="3"/>
  <c r="F908" i="3"/>
  <c r="G908" i="3" s="1"/>
  <c r="H908" i="3" s="1"/>
  <c r="I908" i="3" l="1"/>
  <c r="J908" i="3"/>
  <c r="L908" i="3" l="1"/>
  <c r="K908" i="3"/>
  <c r="Q908" i="3" s="1"/>
  <c r="R908" i="3" s="1"/>
  <c r="F909" i="3" l="1"/>
  <c r="G909" i="3" s="1"/>
  <c r="H909" i="3" s="1"/>
  <c r="M908" i="3"/>
  <c r="N908" i="3"/>
  <c r="J909" i="3" l="1"/>
  <c r="I909" i="3"/>
  <c r="K909" i="3" l="1"/>
  <c r="Q909" i="3" s="1"/>
  <c r="R909" i="3" s="1"/>
  <c r="L909" i="3"/>
  <c r="M909" i="3" l="1"/>
  <c r="N909" i="3"/>
  <c r="F910" i="3"/>
  <c r="G910" i="3" s="1"/>
  <c r="H910" i="3" s="1"/>
  <c r="J910" i="3" l="1"/>
  <c r="I910" i="3"/>
  <c r="L910" i="3" l="1"/>
  <c r="K910" i="3"/>
  <c r="Q910" i="3" s="1"/>
  <c r="R910" i="3" s="1"/>
  <c r="F911" i="3" l="1"/>
  <c r="G911" i="3" s="1"/>
  <c r="H911" i="3" s="1"/>
  <c r="N910" i="3"/>
  <c r="M910" i="3"/>
  <c r="J911" i="3" l="1"/>
  <c r="I911" i="3"/>
  <c r="K911" i="3" l="1"/>
  <c r="Q911" i="3" s="1"/>
  <c r="R911" i="3" s="1"/>
  <c r="L911" i="3"/>
  <c r="F912" i="3" l="1"/>
  <c r="G912" i="3" s="1"/>
  <c r="H912" i="3" s="1"/>
  <c r="N911" i="3"/>
  <c r="M911" i="3"/>
  <c r="J912" i="3" l="1"/>
  <c r="I912" i="3"/>
  <c r="L912" i="3" l="1"/>
  <c r="K912" i="3"/>
  <c r="Q912" i="3" s="1"/>
  <c r="R912" i="3" s="1"/>
  <c r="F913" i="3" l="1"/>
  <c r="G913" i="3" s="1"/>
  <c r="H913" i="3" s="1"/>
  <c r="M912" i="3"/>
  <c r="N912" i="3"/>
  <c r="J913" i="3" l="1"/>
  <c r="I913" i="3"/>
  <c r="K913" i="3" l="1"/>
  <c r="Q913" i="3" s="1"/>
  <c r="R913" i="3" s="1"/>
  <c r="L913" i="3"/>
  <c r="M913" i="3" l="1"/>
  <c r="N913" i="3"/>
  <c r="F914" i="3"/>
  <c r="G914" i="3" s="1"/>
  <c r="H914" i="3" s="1"/>
  <c r="J914" i="3" l="1"/>
  <c r="I914" i="3"/>
  <c r="K914" i="3" l="1"/>
  <c r="Q914" i="3" s="1"/>
  <c r="R914" i="3" s="1"/>
  <c r="L914" i="3"/>
  <c r="M914" i="3" l="1"/>
  <c r="N914" i="3"/>
  <c r="F915" i="3"/>
  <c r="G915" i="3" s="1"/>
  <c r="H915" i="3" s="1"/>
  <c r="I915" i="3" l="1"/>
  <c r="J915" i="3"/>
  <c r="K915" i="3" l="1"/>
  <c r="Q915" i="3" s="1"/>
  <c r="R915" i="3" s="1"/>
  <c r="L915" i="3"/>
  <c r="F916" i="3" l="1"/>
  <c r="G916" i="3" s="1"/>
  <c r="H916" i="3" s="1"/>
  <c r="M915" i="3"/>
  <c r="N915" i="3"/>
  <c r="J916" i="3" l="1"/>
  <c r="I916" i="3"/>
  <c r="K916" i="3" l="1"/>
  <c r="Q916" i="3" s="1"/>
  <c r="R916" i="3" s="1"/>
  <c r="L916" i="3"/>
  <c r="N916" i="3" l="1"/>
  <c r="M916" i="3"/>
  <c r="F917" i="3"/>
  <c r="G917" i="3" s="1"/>
  <c r="H917" i="3" s="1"/>
  <c r="I917" i="3" l="1"/>
  <c r="J917" i="3"/>
  <c r="K917" i="3" l="1"/>
  <c r="Q917" i="3" s="1"/>
  <c r="R917" i="3" s="1"/>
  <c r="L917" i="3"/>
  <c r="N917" i="3" l="1"/>
  <c r="M917" i="3"/>
  <c r="F918" i="3"/>
  <c r="G918" i="3" s="1"/>
  <c r="H918" i="3" s="1"/>
  <c r="I918" i="3" l="1"/>
  <c r="J918" i="3"/>
  <c r="K918" i="3" l="1"/>
  <c r="Q918" i="3" s="1"/>
  <c r="R918" i="3" s="1"/>
  <c r="L918" i="3"/>
  <c r="M918" i="3" l="1"/>
  <c r="N918" i="3"/>
  <c r="F919" i="3"/>
  <c r="G919" i="3" s="1"/>
  <c r="H919" i="3" s="1"/>
  <c r="J919" i="3" l="1"/>
  <c r="I919" i="3"/>
  <c r="L919" i="3" l="1"/>
  <c r="K919" i="3"/>
  <c r="Q919" i="3" s="1"/>
  <c r="R919" i="3" s="1"/>
  <c r="F920" i="3" l="1"/>
  <c r="G920" i="3" s="1"/>
  <c r="H920" i="3" s="1"/>
  <c r="N919" i="3"/>
  <c r="M919" i="3"/>
  <c r="J920" i="3" l="1"/>
  <c r="I920" i="3"/>
  <c r="L920" i="3" l="1"/>
  <c r="K920" i="3"/>
  <c r="Q920" i="3" s="1"/>
  <c r="R920" i="3" s="1"/>
  <c r="F921" i="3" l="1"/>
  <c r="G921" i="3" s="1"/>
  <c r="H921" i="3" s="1"/>
  <c r="M920" i="3"/>
  <c r="N920" i="3"/>
  <c r="J921" i="3" l="1"/>
  <c r="I921" i="3"/>
  <c r="K921" i="3" l="1"/>
  <c r="Q921" i="3" s="1"/>
  <c r="R921" i="3" s="1"/>
  <c r="L921" i="3"/>
  <c r="N921" i="3" l="1"/>
  <c r="M921" i="3"/>
  <c r="F922" i="3"/>
  <c r="G922" i="3" s="1"/>
  <c r="H922" i="3" s="1"/>
  <c r="I922" i="3" l="1"/>
  <c r="J922" i="3"/>
  <c r="K922" i="3" l="1"/>
  <c r="Q922" i="3" s="1"/>
  <c r="R922" i="3" s="1"/>
  <c r="L922" i="3"/>
  <c r="F923" i="3" l="1"/>
  <c r="G923" i="3" s="1"/>
  <c r="H923" i="3" s="1"/>
  <c r="N922" i="3"/>
  <c r="M922" i="3"/>
  <c r="I923" i="3" l="1"/>
  <c r="J923" i="3"/>
  <c r="L923" i="3" l="1"/>
  <c r="K923" i="3"/>
  <c r="Q923" i="3" s="1"/>
  <c r="R923" i="3" s="1"/>
  <c r="F924" i="3" l="1"/>
  <c r="G924" i="3" s="1"/>
  <c r="H924" i="3" s="1"/>
  <c r="N923" i="3"/>
  <c r="M923" i="3"/>
  <c r="I924" i="3" l="1"/>
  <c r="J924" i="3"/>
  <c r="K924" i="3" l="1"/>
  <c r="Q924" i="3" s="1"/>
  <c r="R924" i="3" s="1"/>
  <c r="L924" i="3"/>
  <c r="N924" i="3" l="1"/>
  <c r="M924" i="3"/>
  <c r="F925" i="3"/>
  <c r="G925" i="3" s="1"/>
  <c r="H925" i="3" s="1"/>
  <c r="I925" i="3" l="1"/>
  <c r="J925" i="3"/>
  <c r="K925" i="3" l="1"/>
  <c r="Q925" i="3" s="1"/>
  <c r="R925" i="3" s="1"/>
  <c r="L925" i="3"/>
  <c r="M925" i="3" l="1"/>
  <c r="N925" i="3"/>
  <c r="F926" i="3"/>
  <c r="G926" i="3" s="1"/>
  <c r="H926" i="3" s="1"/>
  <c r="J926" i="3" l="1"/>
  <c r="I926" i="3"/>
  <c r="K926" i="3" l="1"/>
  <c r="Q926" i="3" s="1"/>
  <c r="R926" i="3" s="1"/>
  <c r="L926" i="3"/>
  <c r="N926" i="3" l="1"/>
  <c r="M926" i="3"/>
  <c r="F927" i="3"/>
  <c r="G927" i="3" s="1"/>
  <c r="H927" i="3" s="1"/>
  <c r="J927" i="3" l="1"/>
  <c r="I927" i="3"/>
  <c r="K927" i="3" l="1"/>
  <c r="Q927" i="3" s="1"/>
  <c r="R927" i="3" s="1"/>
  <c r="L927" i="3"/>
  <c r="M927" i="3" l="1"/>
  <c r="N927" i="3"/>
  <c r="F928" i="3"/>
  <c r="G928" i="3" s="1"/>
  <c r="H928" i="3" s="1"/>
  <c r="J928" i="3" l="1"/>
  <c r="I928" i="3"/>
  <c r="K928" i="3" l="1"/>
  <c r="Q928" i="3" s="1"/>
  <c r="R928" i="3" s="1"/>
  <c r="L928" i="3"/>
  <c r="F929" i="3" l="1"/>
  <c r="G929" i="3" s="1"/>
  <c r="H929" i="3" s="1"/>
  <c r="N928" i="3"/>
  <c r="M928" i="3"/>
  <c r="I929" i="3" l="1"/>
  <c r="J929" i="3"/>
  <c r="K929" i="3" l="1"/>
  <c r="Q929" i="3" s="1"/>
  <c r="R929" i="3" s="1"/>
  <c r="L929" i="3"/>
  <c r="M929" i="3" l="1"/>
  <c r="N929" i="3"/>
  <c r="F930" i="3"/>
  <c r="G930" i="3" s="1"/>
  <c r="H930" i="3" s="1"/>
  <c r="J930" i="3" l="1"/>
  <c r="I930" i="3"/>
  <c r="K930" i="3" l="1"/>
  <c r="Q930" i="3" s="1"/>
  <c r="R930" i="3" s="1"/>
  <c r="L930" i="3"/>
  <c r="M930" i="3" l="1"/>
  <c r="N930" i="3"/>
  <c r="F931" i="3"/>
  <c r="G931" i="3" s="1"/>
  <c r="H931" i="3" s="1"/>
  <c r="J931" i="3" l="1"/>
  <c r="I931" i="3"/>
  <c r="L931" i="3" l="1"/>
  <c r="K931" i="3"/>
  <c r="Q931" i="3" s="1"/>
  <c r="R931" i="3" s="1"/>
  <c r="F932" i="3" l="1"/>
  <c r="G932" i="3" s="1"/>
  <c r="H932" i="3" s="1"/>
  <c r="M931" i="3"/>
  <c r="N931" i="3"/>
  <c r="J932" i="3" l="1"/>
  <c r="I932" i="3"/>
  <c r="K932" i="3" l="1"/>
  <c r="Q932" i="3" s="1"/>
  <c r="R932" i="3" s="1"/>
  <c r="L932" i="3"/>
  <c r="M932" i="3" l="1"/>
  <c r="N932" i="3"/>
  <c r="F933" i="3"/>
  <c r="G933" i="3" s="1"/>
  <c r="H933" i="3" s="1"/>
  <c r="J933" i="3" l="1"/>
  <c r="I933" i="3"/>
  <c r="K933" i="3" l="1"/>
  <c r="Q933" i="3" s="1"/>
  <c r="R933" i="3" s="1"/>
  <c r="L933" i="3"/>
  <c r="M933" i="3" l="1"/>
  <c r="N933" i="3"/>
  <c r="F934" i="3"/>
  <c r="G934" i="3" s="1"/>
  <c r="H934" i="3" s="1"/>
  <c r="J934" i="3" l="1"/>
  <c r="I934" i="3"/>
  <c r="K934" i="3" l="1"/>
  <c r="Q934" i="3" s="1"/>
  <c r="R934" i="3" s="1"/>
  <c r="L934" i="3"/>
  <c r="N934" i="3" l="1"/>
  <c r="M934" i="3"/>
  <c r="F935" i="3"/>
  <c r="G935" i="3" s="1"/>
  <c r="H935" i="3" s="1"/>
  <c r="J935" i="3" l="1"/>
  <c r="I935" i="3"/>
  <c r="L935" i="3" l="1"/>
  <c r="K935" i="3"/>
  <c r="Q935" i="3" s="1"/>
  <c r="R935" i="3" s="1"/>
  <c r="F936" i="3" l="1"/>
  <c r="G936" i="3" s="1"/>
  <c r="H936" i="3" s="1"/>
  <c r="M935" i="3"/>
  <c r="N935" i="3"/>
  <c r="J936" i="3" l="1"/>
  <c r="I936" i="3"/>
  <c r="L936" i="3" l="1"/>
  <c r="K936" i="3"/>
  <c r="Q936" i="3" s="1"/>
  <c r="R936" i="3" s="1"/>
  <c r="F937" i="3" l="1"/>
  <c r="G937" i="3" s="1"/>
  <c r="H937" i="3" s="1"/>
  <c r="M936" i="3"/>
  <c r="N936" i="3"/>
  <c r="J937" i="3" l="1"/>
  <c r="I937" i="3"/>
  <c r="K937" i="3" l="1"/>
  <c r="Q937" i="3" s="1"/>
  <c r="R937" i="3" s="1"/>
  <c r="L937" i="3"/>
  <c r="F938" i="3" l="1"/>
  <c r="G938" i="3" s="1"/>
  <c r="H938" i="3" s="1"/>
  <c r="N937" i="3"/>
  <c r="M937" i="3"/>
  <c r="J938" i="3" l="1"/>
  <c r="I938" i="3"/>
  <c r="L938" i="3" l="1"/>
  <c r="K938" i="3"/>
  <c r="Q938" i="3" s="1"/>
  <c r="R938" i="3" s="1"/>
  <c r="F939" i="3" l="1"/>
  <c r="G939" i="3" s="1"/>
  <c r="H939" i="3" s="1"/>
  <c r="M938" i="3"/>
  <c r="N938" i="3"/>
  <c r="J939" i="3" l="1"/>
  <c r="I939" i="3"/>
  <c r="K939" i="3" l="1"/>
  <c r="Q939" i="3" s="1"/>
  <c r="R939" i="3" s="1"/>
  <c r="L939" i="3"/>
  <c r="M939" i="3" l="1"/>
  <c r="N939" i="3"/>
  <c r="F940" i="3"/>
  <c r="G940" i="3" s="1"/>
  <c r="H940" i="3" s="1"/>
  <c r="J940" i="3" l="1"/>
  <c r="I940" i="3"/>
  <c r="K940" i="3" l="1"/>
  <c r="Q940" i="3" s="1"/>
  <c r="R940" i="3" s="1"/>
  <c r="L940" i="3"/>
  <c r="N940" i="3" l="1"/>
  <c r="M940" i="3"/>
  <c r="F941" i="3"/>
  <c r="G941" i="3" s="1"/>
  <c r="H941" i="3" s="1"/>
  <c r="I941" i="3" l="1"/>
  <c r="J941" i="3"/>
  <c r="K941" i="3" l="1"/>
  <c r="Q941" i="3" s="1"/>
  <c r="R941" i="3" s="1"/>
  <c r="L941" i="3"/>
  <c r="N941" i="3" l="1"/>
  <c r="M941" i="3"/>
  <c r="F942" i="3"/>
  <c r="G942" i="3" s="1"/>
  <c r="H942" i="3" s="1"/>
  <c r="I942" i="3" l="1"/>
  <c r="J942" i="3"/>
  <c r="K942" i="3" l="1"/>
  <c r="Q942" i="3" s="1"/>
  <c r="R942" i="3" s="1"/>
  <c r="L942" i="3"/>
  <c r="N942" i="3" l="1"/>
  <c r="M942" i="3"/>
  <c r="F943" i="3"/>
  <c r="G943" i="3" s="1"/>
  <c r="H943" i="3" s="1"/>
  <c r="I943" i="3" l="1"/>
  <c r="J943" i="3"/>
  <c r="K943" i="3" l="1"/>
  <c r="Q943" i="3" s="1"/>
  <c r="R943" i="3" s="1"/>
  <c r="L943" i="3"/>
  <c r="N943" i="3" l="1"/>
  <c r="M943" i="3"/>
  <c r="F944" i="3"/>
  <c r="G944" i="3" s="1"/>
  <c r="H944" i="3" s="1"/>
  <c r="I944" i="3" l="1"/>
  <c r="J944" i="3"/>
  <c r="K944" i="3" l="1"/>
  <c r="Q944" i="3" s="1"/>
  <c r="R944" i="3" s="1"/>
  <c r="L944" i="3"/>
  <c r="M944" i="3" l="1"/>
  <c r="N944" i="3"/>
  <c r="F945" i="3"/>
  <c r="G945" i="3" s="1"/>
  <c r="H945" i="3" s="1"/>
  <c r="I945" i="3" l="1"/>
  <c r="J945" i="3"/>
  <c r="L945" i="3" l="1"/>
  <c r="K945" i="3"/>
  <c r="Q945" i="3" s="1"/>
  <c r="R945" i="3" s="1"/>
  <c r="F946" i="3" l="1"/>
  <c r="G946" i="3" s="1"/>
  <c r="H946" i="3" s="1"/>
  <c r="N945" i="3"/>
  <c r="M945" i="3"/>
  <c r="J946" i="3" l="1"/>
  <c r="I946" i="3"/>
  <c r="L946" i="3" l="1"/>
  <c r="K946" i="3"/>
  <c r="Q946" i="3" s="1"/>
  <c r="R946" i="3" s="1"/>
  <c r="F947" i="3" l="1"/>
  <c r="G947" i="3" s="1"/>
  <c r="H947" i="3" s="1"/>
  <c r="N946" i="3"/>
  <c r="M946" i="3"/>
  <c r="J947" i="3" l="1"/>
  <c r="I947" i="3"/>
  <c r="K947" i="3" l="1"/>
  <c r="Q947" i="3" s="1"/>
  <c r="R947" i="3" s="1"/>
  <c r="L947" i="3"/>
  <c r="M947" i="3" l="1"/>
  <c r="N947" i="3"/>
  <c r="F948" i="3"/>
  <c r="G948" i="3" s="1"/>
  <c r="H948" i="3" s="1"/>
  <c r="J948" i="3" l="1"/>
  <c r="I948" i="3"/>
  <c r="K948" i="3" l="1"/>
  <c r="Q948" i="3" s="1"/>
  <c r="R948" i="3" s="1"/>
  <c r="L948" i="3"/>
  <c r="M948" i="3" l="1"/>
  <c r="N948" i="3"/>
  <c r="F949" i="3"/>
  <c r="G949" i="3" s="1"/>
  <c r="H949" i="3" s="1"/>
  <c r="I949" i="3" l="1"/>
  <c r="J949" i="3"/>
  <c r="L949" i="3" l="1"/>
  <c r="K949" i="3"/>
  <c r="Q949" i="3" s="1"/>
  <c r="R949" i="3" s="1"/>
  <c r="F950" i="3" l="1"/>
  <c r="G950" i="3" s="1"/>
  <c r="H950" i="3" s="1"/>
  <c r="N949" i="3"/>
  <c r="M949" i="3"/>
  <c r="I950" i="3" l="1"/>
  <c r="J950" i="3"/>
  <c r="K950" i="3" l="1"/>
  <c r="Q950" i="3" s="1"/>
  <c r="R950" i="3" s="1"/>
  <c r="L950" i="3"/>
  <c r="M950" i="3" l="1"/>
  <c r="N950" i="3"/>
  <c r="F951" i="3"/>
  <c r="G951" i="3" s="1"/>
  <c r="H951" i="3" s="1"/>
  <c r="J951" i="3" l="1"/>
  <c r="I951" i="3"/>
  <c r="K951" i="3" l="1"/>
  <c r="Q951" i="3" s="1"/>
  <c r="R951" i="3" s="1"/>
  <c r="L951" i="3"/>
  <c r="M951" i="3" l="1"/>
  <c r="N951" i="3"/>
  <c r="F952" i="3"/>
  <c r="G952" i="3" s="1"/>
  <c r="H952" i="3" s="1"/>
  <c r="J952" i="3" l="1"/>
  <c r="I952" i="3"/>
  <c r="K952" i="3" l="1"/>
  <c r="Q952" i="3" s="1"/>
  <c r="R952" i="3" s="1"/>
  <c r="L952" i="3"/>
  <c r="N952" i="3" l="1"/>
  <c r="M952" i="3"/>
  <c r="F953" i="3"/>
  <c r="G953" i="3" s="1"/>
  <c r="H953" i="3" s="1"/>
  <c r="I953" i="3" l="1"/>
  <c r="J953" i="3"/>
  <c r="K953" i="3" l="1"/>
  <c r="Q953" i="3" s="1"/>
  <c r="R953" i="3" s="1"/>
  <c r="L953" i="3"/>
  <c r="N953" i="3" l="1"/>
  <c r="M953" i="3"/>
  <c r="F954" i="3"/>
  <c r="G954" i="3" s="1"/>
  <c r="H954" i="3" s="1"/>
  <c r="I954" i="3" l="1"/>
  <c r="J954" i="3"/>
  <c r="K954" i="3" l="1"/>
  <c r="Q954" i="3" s="1"/>
  <c r="R954" i="3" s="1"/>
  <c r="L954" i="3"/>
  <c r="N954" i="3" l="1"/>
  <c r="M954" i="3"/>
  <c r="F955" i="3"/>
  <c r="G955" i="3" s="1"/>
  <c r="H955" i="3" s="1"/>
  <c r="J955" i="3" l="1"/>
  <c r="I955" i="3"/>
  <c r="K955" i="3" l="1"/>
  <c r="Q955" i="3" s="1"/>
  <c r="R955" i="3" s="1"/>
  <c r="L955" i="3"/>
  <c r="M955" i="3" l="1"/>
  <c r="N955" i="3"/>
  <c r="F956" i="3"/>
  <c r="G956" i="3" s="1"/>
  <c r="H956" i="3" s="1"/>
  <c r="J956" i="3" l="1"/>
  <c r="I956" i="3"/>
  <c r="K956" i="3" l="1"/>
  <c r="Q956" i="3" s="1"/>
  <c r="R956" i="3" s="1"/>
  <c r="L956" i="3"/>
  <c r="F957" i="3" l="1"/>
  <c r="G957" i="3" s="1"/>
  <c r="H957" i="3" s="1"/>
  <c r="M956" i="3"/>
  <c r="N956" i="3"/>
  <c r="I957" i="3" l="1"/>
  <c r="J957" i="3"/>
  <c r="K957" i="3" l="1"/>
  <c r="Q957" i="3" s="1"/>
  <c r="R957" i="3" s="1"/>
  <c r="L957" i="3"/>
  <c r="N957" i="3" l="1"/>
  <c r="M957" i="3"/>
  <c r="F958" i="3"/>
  <c r="G958" i="3" s="1"/>
  <c r="H958" i="3" s="1"/>
  <c r="I958" i="3" l="1"/>
  <c r="J958" i="3"/>
  <c r="L958" i="3" l="1"/>
  <c r="K958" i="3"/>
  <c r="Q958" i="3" s="1"/>
  <c r="R958" i="3" s="1"/>
  <c r="F959" i="3" l="1"/>
  <c r="G959" i="3" s="1"/>
  <c r="H959" i="3" s="1"/>
  <c r="M958" i="3"/>
  <c r="N958" i="3"/>
  <c r="J959" i="3" l="1"/>
  <c r="I959" i="3"/>
  <c r="K959" i="3" l="1"/>
  <c r="Q959" i="3" s="1"/>
  <c r="R959" i="3" s="1"/>
  <c r="L959" i="3"/>
  <c r="F960" i="3" l="1"/>
  <c r="G960" i="3" s="1"/>
  <c r="H960" i="3" s="1"/>
  <c r="M959" i="3"/>
  <c r="N959" i="3"/>
  <c r="J960" i="3" l="1"/>
  <c r="I960" i="3"/>
  <c r="K960" i="3" l="1"/>
  <c r="Q960" i="3" s="1"/>
  <c r="R960" i="3" s="1"/>
  <c r="L960" i="3"/>
  <c r="N960" i="3" l="1"/>
  <c r="M960" i="3"/>
  <c r="F961" i="3"/>
  <c r="G961" i="3" s="1"/>
  <c r="H961" i="3" s="1"/>
  <c r="J961" i="3" l="1"/>
  <c r="I961" i="3"/>
  <c r="L961" i="3" l="1"/>
  <c r="K961" i="3"/>
  <c r="Q961" i="3" s="1"/>
  <c r="R961" i="3" s="1"/>
  <c r="F962" i="3" l="1"/>
  <c r="G962" i="3" s="1"/>
  <c r="H962" i="3" s="1"/>
  <c r="N961" i="3"/>
  <c r="M961" i="3"/>
  <c r="J962" i="3" l="1"/>
  <c r="I962" i="3"/>
  <c r="L962" i="3" l="1"/>
  <c r="K962" i="3"/>
  <c r="Q962" i="3" s="1"/>
  <c r="R962" i="3" s="1"/>
  <c r="F963" i="3" l="1"/>
  <c r="G963" i="3" s="1"/>
  <c r="H963" i="3" s="1"/>
  <c r="N962" i="3"/>
  <c r="M962" i="3"/>
  <c r="I963" i="3" l="1"/>
  <c r="J963" i="3"/>
  <c r="L963" i="3" l="1"/>
  <c r="K963" i="3"/>
  <c r="Q963" i="3" s="1"/>
  <c r="R963" i="3" s="1"/>
  <c r="F964" i="3" l="1"/>
  <c r="G964" i="3" s="1"/>
  <c r="H964" i="3" s="1"/>
  <c r="N963" i="3"/>
  <c r="M963" i="3"/>
  <c r="J964" i="3" l="1"/>
  <c r="I964" i="3"/>
  <c r="K964" i="3" l="1"/>
  <c r="Q964" i="3" s="1"/>
  <c r="R964" i="3" s="1"/>
  <c r="L964" i="3"/>
  <c r="M964" i="3" l="1"/>
  <c r="N964" i="3"/>
  <c r="F965" i="3"/>
  <c r="G965" i="3" s="1"/>
  <c r="H965" i="3" s="1"/>
  <c r="J965" i="3" l="1"/>
  <c r="I965" i="3"/>
  <c r="L965" i="3" l="1"/>
  <c r="K965" i="3"/>
  <c r="Q965" i="3" s="1"/>
  <c r="R965" i="3" s="1"/>
  <c r="F966" i="3" l="1"/>
  <c r="G966" i="3" s="1"/>
  <c r="H966" i="3" s="1"/>
  <c r="N965" i="3"/>
  <c r="M965" i="3"/>
  <c r="I966" i="3" l="1"/>
  <c r="J966" i="3"/>
  <c r="L966" i="3" l="1"/>
  <c r="K966" i="3"/>
  <c r="Q966" i="3" s="1"/>
  <c r="R966" i="3" s="1"/>
  <c r="F967" i="3" l="1"/>
  <c r="G967" i="3" s="1"/>
  <c r="H967" i="3" s="1"/>
  <c r="N966" i="3"/>
  <c r="M966" i="3"/>
  <c r="I967" i="3" l="1"/>
  <c r="J967" i="3"/>
  <c r="K967" i="3" l="1"/>
  <c r="Q967" i="3" s="1"/>
  <c r="R967" i="3" s="1"/>
  <c r="L967" i="3"/>
  <c r="N967" i="3" l="1"/>
  <c r="M967" i="3"/>
  <c r="F968" i="3"/>
  <c r="G968" i="3" s="1"/>
  <c r="H968" i="3" s="1"/>
  <c r="J968" i="3" l="1"/>
  <c r="I968" i="3"/>
  <c r="K968" i="3" l="1"/>
  <c r="Q968" i="3" s="1"/>
  <c r="R968" i="3" s="1"/>
  <c r="L968" i="3"/>
  <c r="N968" i="3" l="1"/>
  <c r="M968" i="3"/>
  <c r="F969" i="3"/>
  <c r="G969" i="3" s="1"/>
  <c r="H969" i="3" s="1"/>
  <c r="J969" i="3" l="1"/>
  <c r="I969" i="3"/>
  <c r="K969" i="3" l="1"/>
  <c r="Q969" i="3" s="1"/>
  <c r="R969" i="3" s="1"/>
  <c r="L969" i="3"/>
  <c r="N969" i="3" l="1"/>
  <c r="M969" i="3"/>
  <c r="F970" i="3"/>
  <c r="G970" i="3" s="1"/>
  <c r="H970" i="3" s="1"/>
  <c r="J970" i="3" l="1"/>
  <c r="I970" i="3"/>
  <c r="K970" i="3" l="1"/>
  <c r="Q970" i="3" s="1"/>
  <c r="R970" i="3" s="1"/>
  <c r="L970" i="3"/>
  <c r="M970" i="3" l="1"/>
  <c r="N970" i="3"/>
  <c r="F971" i="3"/>
  <c r="G971" i="3" s="1"/>
  <c r="H971" i="3" s="1"/>
  <c r="I971" i="3" l="1"/>
  <c r="J971" i="3"/>
  <c r="K971" i="3" l="1"/>
  <c r="Q971" i="3" s="1"/>
  <c r="R971" i="3" s="1"/>
  <c r="L971" i="3"/>
  <c r="N971" i="3" l="1"/>
  <c r="M971" i="3"/>
  <c r="F972" i="3"/>
  <c r="G972" i="3" s="1"/>
  <c r="H972" i="3" s="1"/>
  <c r="I972" i="3" l="1"/>
  <c r="J972" i="3"/>
  <c r="K972" i="3" l="1"/>
  <c r="Q972" i="3" s="1"/>
  <c r="R972" i="3" s="1"/>
  <c r="L972" i="3"/>
  <c r="M972" i="3" l="1"/>
  <c r="N972" i="3"/>
  <c r="F973" i="3"/>
  <c r="G973" i="3" s="1"/>
  <c r="H973" i="3" s="1"/>
  <c r="I973" i="3" l="1"/>
  <c r="J973" i="3"/>
  <c r="L973" i="3" l="1"/>
  <c r="K973" i="3"/>
  <c r="Q973" i="3" s="1"/>
  <c r="R973" i="3" s="1"/>
  <c r="F974" i="3" l="1"/>
  <c r="G974" i="3" s="1"/>
  <c r="H974" i="3" s="1"/>
  <c r="M973" i="3"/>
  <c r="N973" i="3"/>
  <c r="I974" i="3" l="1"/>
  <c r="J974" i="3"/>
  <c r="L974" i="3" l="1"/>
  <c r="K974" i="3"/>
  <c r="Q974" i="3" s="1"/>
  <c r="R974" i="3" s="1"/>
  <c r="F975" i="3" l="1"/>
  <c r="G975" i="3" s="1"/>
  <c r="H975" i="3" s="1"/>
  <c r="N974" i="3"/>
  <c r="M974" i="3"/>
  <c r="J975" i="3" l="1"/>
  <c r="I975" i="3"/>
  <c r="K975" i="3" l="1"/>
  <c r="Q975" i="3" s="1"/>
  <c r="R975" i="3" s="1"/>
  <c r="L975" i="3"/>
  <c r="F976" i="3" l="1"/>
  <c r="G976" i="3" s="1"/>
  <c r="H976" i="3" s="1"/>
  <c r="N975" i="3"/>
  <c r="M975" i="3"/>
  <c r="J976" i="3" l="1"/>
  <c r="I976" i="3"/>
  <c r="L976" i="3" l="1"/>
  <c r="K976" i="3"/>
  <c r="Q976" i="3" s="1"/>
  <c r="R976" i="3" s="1"/>
  <c r="F977" i="3" l="1"/>
  <c r="G977" i="3" s="1"/>
  <c r="H977" i="3" s="1"/>
  <c r="N976" i="3"/>
  <c r="M976" i="3"/>
  <c r="I977" i="3" l="1"/>
  <c r="J977" i="3"/>
  <c r="L977" i="3" l="1"/>
  <c r="K977" i="3"/>
  <c r="Q977" i="3" s="1"/>
  <c r="R977" i="3" s="1"/>
  <c r="F978" i="3" l="1"/>
  <c r="G978" i="3" s="1"/>
  <c r="H978" i="3" s="1"/>
  <c r="M977" i="3"/>
  <c r="N977" i="3"/>
  <c r="J978" i="3" l="1"/>
  <c r="I978" i="3"/>
  <c r="K978" i="3" l="1"/>
  <c r="Q978" i="3" s="1"/>
  <c r="R978" i="3" s="1"/>
  <c r="L978" i="3"/>
  <c r="M978" i="3" l="1"/>
  <c r="N978" i="3"/>
  <c r="F979" i="3"/>
  <c r="G979" i="3" s="1"/>
  <c r="H979" i="3" s="1"/>
  <c r="I979" i="3" l="1"/>
  <c r="J979" i="3"/>
  <c r="L979" i="3" l="1"/>
  <c r="K979" i="3"/>
  <c r="Q979" i="3" s="1"/>
  <c r="R979" i="3" s="1"/>
  <c r="F980" i="3" l="1"/>
  <c r="G980" i="3" s="1"/>
  <c r="H980" i="3" s="1"/>
  <c r="N979" i="3"/>
  <c r="M979" i="3"/>
  <c r="J980" i="3" l="1"/>
  <c r="I980" i="3"/>
  <c r="L980" i="3" l="1"/>
  <c r="K980" i="3"/>
  <c r="Q980" i="3" s="1"/>
  <c r="R980" i="3" s="1"/>
  <c r="F981" i="3" l="1"/>
  <c r="G981" i="3" s="1"/>
  <c r="H981" i="3" s="1"/>
  <c r="M980" i="3"/>
  <c r="N980" i="3"/>
  <c r="J981" i="3" l="1"/>
  <c r="I981" i="3"/>
  <c r="K981" i="3" l="1"/>
  <c r="Q981" i="3" s="1"/>
  <c r="R981" i="3" s="1"/>
  <c r="L981" i="3"/>
  <c r="N981" i="3" l="1"/>
  <c r="M981" i="3"/>
  <c r="F982" i="3"/>
  <c r="G982" i="3" s="1"/>
  <c r="H982" i="3" s="1"/>
  <c r="I982" i="3" l="1"/>
  <c r="J982" i="3"/>
  <c r="L982" i="3" l="1"/>
  <c r="K982" i="3"/>
  <c r="Q982" i="3" s="1"/>
  <c r="R982" i="3" s="1"/>
  <c r="F983" i="3" l="1"/>
  <c r="G983" i="3" s="1"/>
  <c r="H983" i="3" s="1"/>
  <c r="N982" i="3"/>
  <c r="M982" i="3"/>
  <c r="I983" i="3" l="1"/>
  <c r="J983" i="3"/>
  <c r="K983" i="3" l="1"/>
  <c r="Q983" i="3" s="1"/>
  <c r="R983" i="3" s="1"/>
  <c r="L983" i="3"/>
  <c r="M983" i="3" l="1"/>
  <c r="N983" i="3"/>
  <c r="F984" i="3"/>
  <c r="G984" i="3" s="1"/>
  <c r="H984" i="3" s="1"/>
  <c r="I984" i="3" l="1"/>
  <c r="J984" i="3"/>
  <c r="K984" i="3" l="1"/>
  <c r="Q984" i="3" s="1"/>
  <c r="R984" i="3" s="1"/>
  <c r="L984" i="3"/>
  <c r="N984" i="3" l="1"/>
  <c r="M984" i="3"/>
  <c r="F985" i="3"/>
  <c r="G985" i="3" s="1"/>
  <c r="H985" i="3" s="1"/>
  <c r="J985" i="3" l="1"/>
  <c r="I985" i="3"/>
  <c r="L985" i="3" l="1"/>
  <c r="K985" i="3"/>
  <c r="Q985" i="3" s="1"/>
  <c r="R985" i="3" s="1"/>
  <c r="F986" i="3" l="1"/>
  <c r="G986" i="3" s="1"/>
  <c r="H986" i="3" s="1"/>
  <c r="N985" i="3"/>
  <c r="M985" i="3"/>
  <c r="I986" i="3" l="1"/>
  <c r="J986" i="3"/>
  <c r="L986" i="3" l="1"/>
  <c r="K986" i="3"/>
  <c r="Q986" i="3" s="1"/>
  <c r="R986" i="3" s="1"/>
  <c r="F987" i="3" l="1"/>
  <c r="G987" i="3" s="1"/>
  <c r="H987" i="3" s="1"/>
  <c r="N986" i="3"/>
  <c r="M986" i="3"/>
  <c r="J987" i="3" l="1"/>
  <c r="I987" i="3"/>
  <c r="K987" i="3" l="1"/>
  <c r="Q987" i="3" s="1"/>
  <c r="R987" i="3" s="1"/>
  <c r="L987" i="3"/>
  <c r="N987" i="3" l="1"/>
  <c r="M987" i="3"/>
  <c r="F988" i="3"/>
  <c r="G988" i="3" s="1"/>
  <c r="H988" i="3" s="1"/>
  <c r="J988" i="3" l="1"/>
  <c r="I988" i="3"/>
  <c r="K988" i="3" l="1"/>
  <c r="Q988" i="3" s="1"/>
  <c r="R988" i="3" s="1"/>
  <c r="L988" i="3"/>
  <c r="M988" i="3" l="1"/>
  <c r="N988" i="3"/>
  <c r="F989" i="3"/>
  <c r="G989" i="3" s="1"/>
  <c r="H989" i="3" s="1"/>
  <c r="J989" i="3" l="1"/>
  <c r="I989" i="3"/>
  <c r="L989" i="3" l="1"/>
  <c r="K989" i="3"/>
  <c r="Q989" i="3" s="1"/>
  <c r="R989" i="3" s="1"/>
  <c r="F990" i="3" l="1"/>
  <c r="G990" i="3" s="1"/>
  <c r="H990" i="3" s="1"/>
  <c r="N989" i="3"/>
  <c r="M989" i="3"/>
  <c r="J990" i="3" l="1"/>
  <c r="I990" i="3"/>
  <c r="K990" i="3" l="1"/>
  <c r="Q990" i="3" s="1"/>
  <c r="R990" i="3" s="1"/>
  <c r="L990" i="3"/>
  <c r="N990" i="3" l="1"/>
  <c r="M990" i="3"/>
  <c r="F991" i="3"/>
  <c r="G991" i="3" s="1"/>
  <c r="H991" i="3" s="1"/>
  <c r="I991" i="3" l="1"/>
  <c r="J991" i="3"/>
  <c r="L991" i="3" l="1"/>
  <c r="K991" i="3"/>
  <c r="Q991" i="3" s="1"/>
  <c r="R991" i="3" s="1"/>
  <c r="F992" i="3" l="1"/>
  <c r="G992" i="3" s="1"/>
  <c r="H992" i="3" s="1"/>
  <c r="N991" i="3"/>
  <c r="M991" i="3"/>
  <c r="I992" i="3" l="1"/>
  <c r="J992" i="3"/>
  <c r="L992" i="3" l="1"/>
  <c r="K992" i="3"/>
  <c r="Q992" i="3" s="1"/>
  <c r="R992" i="3" s="1"/>
  <c r="F993" i="3" l="1"/>
  <c r="G993" i="3" s="1"/>
  <c r="H993" i="3" s="1"/>
  <c r="M992" i="3"/>
  <c r="N992" i="3"/>
  <c r="J993" i="3" l="1"/>
  <c r="I993" i="3"/>
  <c r="K993" i="3" l="1"/>
  <c r="Q993" i="3" s="1"/>
  <c r="R993" i="3" s="1"/>
  <c r="L993" i="3"/>
  <c r="N993" i="3" l="1"/>
  <c r="M993" i="3"/>
  <c r="F994" i="3"/>
  <c r="G994" i="3" s="1"/>
  <c r="H994" i="3" s="1"/>
  <c r="J994" i="3" l="1"/>
  <c r="I994" i="3"/>
  <c r="L994" i="3" l="1"/>
  <c r="K994" i="3"/>
  <c r="Q994" i="3" s="1"/>
  <c r="R994" i="3" s="1"/>
  <c r="F995" i="3" l="1"/>
  <c r="G995" i="3" s="1"/>
  <c r="H995" i="3" s="1"/>
  <c r="N994" i="3"/>
  <c r="M994" i="3"/>
  <c r="I995" i="3" l="1"/>
  <c r="J995" i="3"/>
  <c r="L995" i="3" l="1"/>
  <c r="K995" i="3"/>
  <c r="Q995" i="3" s="1"/>
  <c r="R995" i="3" s="1"/>
  <c r="F996" i="3" l="1"/>
  <c r="G996" i="3" s="1"/>
  <c r="H996" i="3" s="1"/>
  <c r="N995" i="3"/>
  <c r="M995" i="3"/>
  <c r="J996" i="3" l="1"/>
  <c r="I996" i="3"/>
  <c r="K996" i="3" l="1"/>
  <c r="Q996" i="3" s="1"/>
  <c r="R996" i="3" s="1"/>
  <c r="L996" i="3"/>
  <c r="M996" i="3" l="1"/>
  <c r="N996" i="3"/>
  <c r="F997" i="3"/>
  <c r="G997" i="3" s="1"/>
  <c r="H997" i="3" s="1"/>
  <c r="I997" i="3" l="1"/>
  <c r="J997" i="3"/>
  <c r="K997" i="3" l="1"/>
  <c r="Q997" i="3" s="1"/>
  <c r="R997" i="3" s="1"/>
  <c r="L997" i="3"/>
  <c r="M997" i="3" l="1"/>
  <c r="N997" i="3"/>
  <c r="F998" i="3"/>
  <c r="G998" i="3" s="1"/>
  <c r="H998" i="3" s="1"/>
  <c r="I998" i="3" l="1"/>
  <c r="J998" i="3"/>
  <c r="L998" i="3" l="1"/>
  <c r="K998" i="3"/>
  <c r="Q998" i="3" s="1"/>
  <c r="R998" i="3" s="1"/>
  <c r="F999" i="3" l="1"/>
  <c r="G999" i="3" s="1"/>
  <c r="H999" i="3" s="1"/>
  <c r="N998" i="3"/>
  <c r="M998" i="3"/>
  <c r="J999" i="3" l="1"/>
  <c r="I999" i="3"/>
  <c r="K999" i="3" l="1"/>
  <c r="Q999" i="3" s="1"/>
  <c r="R999" i="3" s="1"/>
  <c r="L999" i="3"/>
  <c r="F1000" i="3" l="1"/>
  <c r="G1000" i="3" s="1"/>
  <c r="H1000" i="3" s="1"/>
  <c r="N999" i="3"/>
  <c r="M999" i="3"/>
  <c r="I1000" i="3" l="1"/>
  <c r="J1000" i="3"/>
  <c r="L1000" i="3" l="1"/>
  <c r="K1000" i="3"/>
  <c r="Q1000" i="3" s="1"/>
  <c r="R1000" i="3" s="1"/>
  <c r="M1000" i="3" l="1"/>
  <c r="N1000" i="3"/>
  <c r="F1001" i="3"/>
  <c r="G1001" i="3" s="1"/>
  <c r="H1001" i="3" s="1"/>
  <c r="I1001" i="3" l="1"/>
  <c r="J1001" i="3"/>
  <c r="K1001" i="3" l="1"/>
  <c r="Q1001" i="3" s="1"/>
  <c r="R1001" i="3" s="1"/>
  <c r="L1001" i="3"/>
  <c r="N1001" i="3" l="1"/>
  <c r="M1001" i="3"/>
  <c r="F1002" i="3"/>
  <c r="G1002" i="3" s="1"/>
  <c r="H1002" i="3" s="1"/>
  <c r="I1002" i="3" l="1"/>
  <c r="J1002" i="3"/>
  <c r="L1002" i="3" l="1"/>
  <c r="K1002" i="3"/>
  <c r="Q1002" i="3" s="1"/>
  <c r="R1002" i="3" s="1"/>
  <c r="F1003" i="3" l="1"/>
  <c r="G1003" i="3" s="1"/>
  <c r="H1003" i="3" s="1"/>
  <c r="N1002" i="3"/>
  <c r="M1002" i="3"/>
  <c r="I1003" i="3" l="1"/>
  <c r="J1003" i="3"/>
  <c r="K1003" i="3" l="1"/>
  <c r="Q1003" i="3" s="1"/>
  <c r="R1003" i="3" s="1"/>
  <c r="L1003" i="3"/>
  <c r="M1003" i="3" l="1"/>
  <c r="N1003" i="3"/>
  <c r="F1004" i="3"/>
  <c r="G1004" i="3" s="1"/>
  <c r="H1004" i="3" s="1"/>
  <c r="J1004" i="3" l="1"/>
  <c r="I1004" i="3"/>
  <c r="K1004" i="3" l="1"/>
  <c r="Q1004" i="3" s="1"/>
  <c r="R1004" i="3" s="1"/>
  <c r="L1004" i="3"/>
  <c r="M1004" i="3" l="1"/>
  <c r="N1004" i="3"/>
  <c r="F1005" i="3"/>
  <c r="G1005" i="3" s="1"/>
  <c r="H1005" i="3" s="1"/>
  <c r="I1005" i="3" l="1"/>
  <c r="J1005" i="3"/>
  <c r="K1005" i="3" l="1"/>
  <c r="Q1005" i="3" s="1"/>
  <c r="R1005" i="3" s="1"/>
  <c r="L1005" i="3"/>
  <c r="M1005" i="3" l="1"/>
  <c r="N1005" i="3"/>
  <c r="F1006" i="3"/>
  <c r="G1006" i="3" s="1"/>
  <c r="H1006" i="3" s="1"/>
  <c r="J1006" i="3" l="1"/>
  <c r="I1006" i="3"/>
  <c r="K1006" i="3" l="1"/>
  <c r="Q1006" i="3" s="1"/>
  <c r="R1006" i="3" s="1"/>
  <c r="L1006" i="3"/>
  <c r="M1006" i="3" l="1"/>
  <c r="N1006" i="3"/>
  <c r="F1007" i="3"/>
  <c r="G1007" i="3" s="1"/>
  <c r="H1007" i="3" s="1"/>
  <c r="J1007" i="3" l="1"/>
  <c r="I1007" i="3"/>
  <c r="K1007" i="3" l="1"/>
  <c r="Q1007" i="3" s="1"/>
  <c r="R1007" i="3" s="1"/>
  <c r="L1007" i="3"/>
  <c r="N1007" i="3" l="1"/>
  <c r="M1007" i="3"/>
  <c r="F1008" i="3"/>
  <c r="G1008" i="3" s="1"/>
  <c r="H1008" i="3" s="1"/>
  <c r="I1008" i="3" l="1"/>
  <c r="J1008" i="3"/>
  <c r="K1008" i="3" l="1"/>
  <c r="Q1008" i="3" s="1"/>
  <c r="R1008" i="3" s="1"/>
  <c r="L1008" i="3"/>
  <c r="N1008" i="3" l="1"/>
  <c r="M1008" i="3"/>
  <c r="F1009" i="3"/>
  <c r="G1009" i="3" s="1"/>
  <c r="H1009" i="3" s="1"/>
  <c r="J1009" i="3" l="1"/>
  <c r="I1009" i="3"/>
  <c r="L1009" i="3" l="1"/>
  <c r="K1009" i="3"/>
  <c r="Q1009" i="3" s="1"/>
  <c r="R1009" i="3" s="1"/>
  <c r="F1010" i="3" l="1"/>
  <c r="G1010" i="3" s="1"/>
  <c r="H1010" i="3" s="1"/>
  <c r="N1009" i="3"/>
  <c r="M1009" i="3"/>
  <c r="I1010" i="3" l="1"/>
  <c r="J1010" i="3"/>
  <c r="K1010" i="3" l="1"/>
  <c r="Q1010" i="3" s="1"/>
  <c r="R1010" i="3" s="1"/>
  <c r="L1010" i="3"/>
  <c r="N1010" i="3" l="1"/>
  <c r="M1010" i="3"/>
  <c r="F1011" i="3"/>
  <c r="G1011" i="3" s="1"/>
  <c r="H1011" i="3" s="1"/>
  <c r="J1011" i="3" l="1"/>
  <c r="I1011" i="3"/>
  <c r="L1011" i="3" l="1"/>
  <c r="K1011" i="3"/>
  <c r="Q1011" i="3" s="1"/>
  <c r="R1011" i="3" s="1"/>
  <c r="F1012" i="3" l="1"/>
  <c r="G1012" i="3" s="1"/>
  <c r="H1012" i="3" s="1"/>
  <c r="N1011" i="3"/>
  <c r="M1011" i="3"/>
  <c r="I1012" i="3" l="1"/>
  <c r="J1012" i="3"/>
  <c r="L1012" i="3" l="1"/>
  <c r="K1012" i="3"/>
  <c r="Q1012" i="3" s="1"/>
  <c r="R1012" i="3" s="1"/>
  <c r="F1013" i="3" l="1"/>
  <c r="G1013" i="3" s="1"/>
  <c r="H1013" i="3" s="1"/>
  <c r="M1012" i="3"/>
  <c r="N1012" i="3"/>
  <c r="I1013" i="3" l="1"/>
  <c r="J1013" i="3"/>
  <c r="K1013" i="3" l="1"/>
  <c r="Q1013" i="3" s="1"/>
  <c r="R1013" i="3" s="1"/>
  <c r="L1013" i="3"/>
  <c r="M1013" i="3" l="1"/>
  <c r="N1013" i="3"/>
  <c r="F1014" i="3"/>
  <c r="G1014" i="3" s="1"/>
  <c r="H1014" i="3" s="1"/>
  <c r="J1014" i="3" l="1"/>
  <c r="I1014" i="3"/>
  <c r="L1014" i="3" l="1"/>
  <c r="K1014" i="3"/>
  <c r="Q1014" i="3" s="1"/>
  <c r="R1014" i="3" s="1"/>
  <c r="F1015" i="3" l="1"/>
  <c r="G1015" i="3" s="1"/>
  <c r="H1015" i="3" s="1"/>
  <c r="M1014" i="3"/>
  <c r="N1014" i="3"/>
  <c r="I1015" i="3" l="1"/>
  <c r="J1015" i="3"/>
  <c r="L1015" i="3" l="1"/>
  <c r="K1015" i="3"/>
  <c r="Q1015" i="3" s="1"/>
  <c r="R1015" i="3" s="1"/>
  <c r="F1016" i="3" l="1"/>
  <c r="G1016" i="3" s="1"/>
  <c r="H1016" i="3" s="1"/>
  <c r="N1015" i="3"/>
  <c r="M1015" i="3"/>
  <c r="J1016" i="3" l="1"/>
  <c r="I1016" i="3"/>
  <c r="K1016" i="3" l="1"/>
  <c r="Q1016" i="3" s="1"/>
  <c r="R1016" i="3" s="1"/>
  <c r="L1016" i="3"/>
  <c r="F1017" i="3" l="1"/>
  <c r="G1017" i="3" s="1"/>
  <c r="H1017" i="3" s="1"/>
  <c r="N1016" i="3"/>
  <c r="M1016" i="3"/>
  <c r="I1017" i="3" l="1"/>
  <c r="J1017" i="3"/>
  <c r="L1017" i="3" l="1"/>
  <c r="K1017" i="3"/>
  <c r="Q1017" i="3" s="1"/>
  <c r="R1017" i="3" s="1"/>
  <c r="F1018" i="3" l="1"/>
  <c r="G1018" i="3" s="1"/>
  <c r="H1018" i="3" s="1"/>
  <c r="N1017" i="3"/>
  <c r="M1017" i="3"/>
  <c r="J1018" i="3" l="1"/>
  <c r="I1018" i="3"/>
  <c r="L1018" i="3" l="1"/>
  <c r="K1018" i="3"/>
  <c r="Q1018" i="3" s="1"/>
  <c r="R1018" i="3" s="1"/>
  <c r="F1019" i="3" l="1"/>
  <c r="G1019" i="3" s="1"/>
  <c r="H1019" i="3" s="1"/>
  <c r="M1018" i="3"/>
  <c r="N1018" i="3"/>
  <c r="I1019" i="3" l="1"/>
  <c r="J1019" i="3"/>
  <c r="L1019" i="3" l="1"/>
  <c r="K1019" i="3"/>
  <c r="Q1019" i="3" s="1"/>
  <c r="R1019" i="3" s="1"/>
  <c r="F1020" i="3" l="1"/>
  <c r="G1020" i="3" s="1"/>
  <c r="H1020" i="3" s="1"/>
  <c r="M1019" i="3"/>
  <c r="N1019" i="3"/>
  <c r="J1020" i="3" l="1"/>
  <c r="I1020" i="3"/>
  <c r="L1020" i="3" l="1"/>
  <c r="K1020" i="3"/>
  <c r="Q1020" i="3" s="1"/>
  <c r="R1020" i="3" s="1"/>
  <c r="F1021" i="3" l="1"/>
  <c r="G1021" i="3" s="1"/>
  <c r="H1021" i="3" s="1"/>
  <c r="N1020" i="3"/>
  <c r="M1020" i="3"/>
  <c r="J1021" i="3" l="1"/>
  <c r="I1021" i="3"/>
  <c r="K1021" i="3" l="1"/>
  <c r="Q1021" i="3" s="1"/>
  <c r="R1021" i="3" s="1"/>
  <c r="L1021" i="3"/>
  <c r="N1021" i="3" l="1"/>
  <c r="M1021" i="3"/>
  <c r="F1022" i="3"/>
  <c r="G1022" i="3" s="1"/>
  <c r="H1022" i="3" s="1"/>
  <c r="J1022" i="3" l="1"/>
  <c r="I1022" i="3"/>
  <c r="L1022" i="3" l="1"/>
  <c r="K1022" i="3"/>
  <c r="Q1022" i="3" s="1"/>
  <c r="R1022" i="3" s="1"/>
  <c r="F1023" i="3" l="1"/>
  <c r="G1023" i="3" s="1"/>
  <c r="H1023" i="3" s="1"/>
  <c r="N1022" i="3"/>
  <c r="M1022" i="3"/>
  <c r="J1023" i="3" l="1"/>
  <c r="I1023" i="3"/>
  <c r="K1023" i="3" l="1"/>
  <c r="Q1023" i="3" s="1"/>
  <c r="R1023" i="3" s="1"/>
  <c r="L1023" i="3"/>
  <c r="M1023" i="3" l="1"/>
  <c r="N1023" i="3"/>
  <c r="F1024" i="3"/>
  <c r="G1024" i="3" s="1"/>
  <c r="H1024" i="3" s="1"/>
  <c r="J1024" i="3" l="1"/>
  <c r="I1024" i="3"/>
  <c r="L1024" i="3" l="1"/>
  <c r="K1024" i="3"/>
  <c r="Q1024" i="3" s="1"/>
  <c r="R1024" i="3" s="1"/>
  <c r="F1025" i="3" l="1"/>
  <c r="G1025" i="3" s="1"/>
  <c r="H1025" i="3" s="1"/>
  <c r="N1024" i="3"/>
  <c r="M1024" i="3"/>
  <c r="J1025" i="3" l="1"/>
  <c r="I1025" i="3"/>
  <c r="L1025" i="3" l="1"/>
  <c r="K1025" i="3"/>
  <c r="Q1025" i="3" s="1"/>
  <c r="R1025" i="3" s="1"/>
  <c r="F1026" i="3" l="1"/>
  <c r="G1026" i="3" s="1"/>
  <c r="H1026" i="3" s="1"/>
  <c r="N1025" i="3"/>
  <c r="M1025" i="3"/>
  <c r="I1026" i="3" l="1"/>
  <c r="J1026" i="3"/>
  <c r="K1026" i="3" l="1"/>
  <c r="Q1026" i="3" s="1"/>
  <c r="R1026" i="3" s="1"/>
  <c r="L1026" i="3"/>
  <c r="M1026" i="3" l="1"/>
  <c r="N1026" i="3"/>
  <c r="F1027" i="3"/>
  <c r="G1027" i="3" s="1"/>
  <c r="H1027" i="3" s="1"/>
  <c r="I1027" i="3" l="1"/>
  <c r="J1027" i="3"/>
  <c r="K1027" i="3" l="1"/>
  <c r="Q1027" i="3" s="1"/>
  <c r="R1027" i="3" s="1"/>
  <c r="L1027" i="3"/>
  <c r="F1028" i="3" l="1"/>
  <c r="G1028" i="3" s="1"/>
  <c r="H1028" i="3" s="1"/>
  <c r="M1027" i="3"/>
  <c r="N1027" i="3"/>
  <c r="I1028" i="3" l="1"/>
  <c r="J1028" i="3"/>
  <c r="L1028" i="3" l="1"/>
  <c r="K1028" i="3"/>
  <c r="Q1028" i="3" s="1"/>
  <c r="R1028" i="3" s="1"/>
  <c r="F1029" i="3" l="1"/>
  <c r="G1029" i="3" s="1"/>
  <c r="H1029" i="3" s="1"/>
  <c r="M1028" i="3"/>
  <c r="N1028" i="3"/>
  <c r="I1029" i="3" l="1"/>
  <c r="J1029" i="3"/>
  <c r="K1029" i="3" l="1"/>
  <c r="Q1029" i="3" s="1"/>
  <c r="R1029" i="3" s="1"/>
  <c r="L1029" i="3"/>
  <c r="N1029" i="3" l="1"/>
  <c r="M1029" i="3"/>
  <c r="F1030" i="3"/>
  <c r="G1030" i="3" s="1"/>
  <c r="H1030" i="3" s="1"/>
  <c r="J1030" i="3" l="1"/>
  <c r="I1030" i="3"/>
  <c r="L1030" i="3" l="1"/>
  <c r="K1030" i="3"/>
  <c r="Q1030" i="3" s="1"/>
  <c r="R1030" i="3" s="1"/>
  <c r="F1031" i="3" l="1"/>
  <c r="G1031" i="3" s="1"/>
  <c r="H1031" i="3" s="1"/>
  <c r="N1030" i="3"/>
  <c r="M1030" i="3"/>
  <c r="J1031" i="3" l="1"/>
  <c r="I1031" i="3"/>
  <c r="L1031" i="3" l="1"/>
  <c r="K1031" i="3"/>
  <c r="Q1031" i="3" s="1"/>
  <c r="R1031" i="3" s="1"/>
  <c r="F1032" i="3" l="1"/>
  <c r="G1032" i="3" s="1"/>
  <c r="H1032" i="3" s="1"/>
  <c r="N1031" i="3"/>
  <c r="M1031" i="3"/>
  <c r="I1032" i="3" l="1"/>
  <c r="J1032" i="3"/>
  <c r="K1032" i="3" l="1"/>
  <c r="Q1032" i="3" s="1"/>
  <c r="R1032" i="3" s="1"/>
  <c r="L1032" i="3"/>
  <c r="N1032" i="3" l="1"/>
  <c r="M1032" i="3"/>
  <c r="F1033" i="3"/>
  <c r="G1033" i="3" s="1"/>
  <c r="H1033" i="3" s="1"/>
  <c r="I1033" i="3" l="1"/>
  <c r="J1033" i="3"/>
  <c r="L1033" i="3" l="1"/>
  <c r="K1033" i="3"/>
  <c r="Q1033" i="3" s="1"/>
  <c r="R1033" i="3" s="1"/>
  <c r="F1034" i="3" l="1"/>
  <c r="G1034" i="3" s="1"/>
  <c r="H1034" i="3" s="1"/>
  <c r="N1033" i="3"/>
  <c r="M1033" i="3"/>
  <c r="I1034" i="3" l="1"/>
  <c r="J1034" i="3"/>
  <c r="K1034" i="3" l="1"/>
  <c r="Q1034" i="3" s="1"/>
  <c r="R1034" i="3" s="1"/>
  <c r="L1034" i="3"/>
  <c r="F1035" i="3" l="1"/>
  <c r="G1035" i="3" s="1"/>
  <c r="H1035" i="3" s="1"/>
  <c r="N1034" i="3"/>
  <c r="M1034" i="3"/>
  <c r="J1035" i="3" l="1"/>
  <c r="I1035" i="3"/>
  <c r="L1035" i="3" l="1"/>
  <c r="K1035" i="3"/>
  <c r="Q1035" i="3" s="1"/>
  <c r="R1035" i="3" s="1"/>
  <c r="F1036" i="3" l="1"/>
  <c r="G1036" i="3" s="1"/>
  <c r="H1036" i="3" s="1"/>
  <c r="N1035" i="3"/>
  <c r="M1035" i="3"/>
  <c r="I1036" i="3" l="1"/>
  <c r="J1036" i="3"/>
  <c r="L1036" i="3" l="1"/>
  <c r="K1036" i="3"/>
  <c r="Q1036" i="3" s="1"/>
  <c r="R1036" i="3" s="1"/>
  <c r="N1036" i="3" l="1"/>
  <c r="M1036" i="3"/>
  <c r="F1037" i="3"/>
  <c r="G1037" i="3" s="1"/>
  <c r="H1037" i="3" s="1"/>
  <c r="J1037" i="3" l="1"/>
  <c r="I1037" i="3"/>
  <c r="L1037" i="3" l="1"/>
  <c r="K1037" i="3"/>
  <c r="Q1037" i="3" s="1"/>
  <c r="R1037" i="3" s="1"/>
  <c r="F1038" i="3" l="1"/>
  <c r="G1038" i="3" s="1"/>
  <c r="H1038" i="3" s="1"/>
  <c r="N1037" i="3"/>
  <c r="M1037" i="3"/>
  <c r="J1038" i="3" l="1"/>
  <c r="I1038" i="3"/>
  <c r="L1038" i="3" l="1"/>
  <c r="K1038" i="3"/>
  <c r="Q1038" i="3" s="1"/>
  <c r="R1038" i="3" s="1"/>
  <c r="F1039" i="3" l="1"/>
  <c r="G1039" i="3" s="1"/>
  <c r="H1039" i="3" s="1"/>
  <c r="N1038" i="3"/>
  <c r="M1038" i="3"/>
  <c r="J1039" i="3" l="1"/>
  <c r="I1039" i="3"/>
  <c r="K1039" i="3" l="1"/>
  <c r="Q1039" i="3" s="1"/>
  <c r="R1039" i="3" s="1"/>
  <c r="L1039" i="3"/>
  <c r="N1039" i="3" l="1"/>
  <c r="M1039" i="3"/>
  <c r="F1040" i="3"/>
  <c r="G1040" i="3" s="1"/>
  <c r="H1040" i="3" s="1"/>
  <c r="J1040" i="3" l="1"/>
  <c r="I1040" i="3"/>
  <c r="K1040" i="3" l="1"/>
  <c r="Q1040" i="3" s="1"/>
  <c r="R1040" i="3" s="1"/>
  <c r="L1040" i="3"/>
  <c r="N1040" i="3" l="1"/>
  <c r="M1040" i="3"/>
  <c r="F1041" i="3"/>
  <c r="G1041" i="3" s="1"/>
  <c r="H1041" i="3" s="1"/>
  <c r="J1041" i="3" l="1"/>
  <c r="I1041" i="3"/>
  <c r="K1041" i="3" l="1"/>
  <c r="Q1041" i="3" s="1"/>
  <c r="R1041" i="3" s="1"/>
  <c r="L1041" i="3"/>
  <c r="N1041" i="3" l="1"/>
  <c r="M1041" i="3"/>
  <c r="F1042" i="3"/>
  <c r="G1042" i="3" s="1"/>
  <c r="H1042" i="3" s="1"/>
  <c r="I1042" i="3" l="1"/>
  <c r="J1042" i="3"/>
  <c r="L1042" i="3" l="1"/>
  <c r="K1042" i="3"/>
  <c r="Q1042" i="3" s="1"/>
  <c r="R1042" i="3" s="1"/>
  <c r="F1043" i="3" l="1"/>
  <c r="G1043" i="3" s="1"/>
  <c r="H1043" i="3" s="1"/>
  <c r="M1042" i="3"/>
  <c r="N1042" i="3"/>
  <c r="I1043" i="3" l="1"/>
  <c r="J1043" i="3"/>
  <c r="L1043" i="3" l="1"/>
  <c r="K1043" i="3"/>
  <c r="Q1043" i="3" s="1"/>
  <c r="R1043" i="3" s="1"/>
  <c r="F1044" i="3" l="1"/>
  <c r="G1044" i="3" s="1"/>
  <c r="H1044" i="3" s="1"/>
  <c r="N1043" i="3"/>
  <c r="M1043" i="3"/>
  <c r="I1044" i="3" l="1"/>
  <c r="J1044" i="3"/>
  <c r="L1044" i="3" l="1"/>
  <c r="K1044" i="3"/>
  <c r="Q1044" i="3" s="1"/>
  <c r="R1044" i="3" s="1"/>
  <c r="N1044" i="3" l="1"/>
  <c r="M1044" i="3"/>
  <c r="F1045" i="3"/>
  <c r="G1045" i="3" s="1"/>
  <c r="H1045" i="3" s="1"/>
  <c r="I1045" i="3" l="1"/>
  <c r="J1045" i="3"/>
  <c r="L1045" i="3" l="1"/>
  <c r="K1045" i="3"/>
  <c r="Q1045" i="3" s="1"/>
  <c r="R1045" i="3" s="1"/>
  <c r="F1046" i="3" l="1"/>
  <c r="G1046" i="3" s="1"/>
  <c r="H1046" i="3" s="1"/>
  <c r="N1045" i="3"/>
  <c r="M1045" i="3"/>
  <c r="J1046" i="3" l="1"/>
  <c r="I1046" i="3"/>
  <c r="K1046" i="3" l="1"/>
  <c r="Q1046" i="3" s="1"/>
  <c r="R1046" i="3" s="1"/>
  <c r="L1046" i="3"/>
  <c r="N1046" i="3" l="1"/>
  <c r="M1046" i="3"/>
  <c r="F1047" i="3"/>
  <c r="G1047" i="3" s="1"/>
  <c r="H1047" i="3" s="1"/>
  <c r="J1047" i="3" l="1"/>
  <c r="I1047" i="3"/>
  <c r="L1047" i="3" l="1"/>
  <c r="K1047" i="3"/>
  <c r="Q1047" i="3" s="1"/>
  <c r="R1047" i="3" s="1"/>
  <c r="F1048" i="3" l="1"/>
  <c r="G1048" i="3" s="1"/>
  <c r="H1048" i="3" s="1"/>
  <c r="N1047" i="3"/>
  <c r="M1047" i="3"/>
  <c r="J1048" i="3" l="1"/>
  <c r="I1048" i="3"/>
  <c r="K1048" i="3" l="1"/>
  <c r="Q1048" i="3" s="1"/>
  <c r="R1048" i="3" s="1"/>
  <c r="L1048" i="3"/>
  <c r="F1049" i="3" l="1"/>
  <c r="G1049" i="3" s="1"/>
  <c r="H1049" i="3" s="1"/>
  <c r="N1048" i="3"/>
  <c r="M1048" i="3"/>
  <c r="I1049" i="3" l="1"/>
  <c r="J1049" i="3"/>
  <c r="L1049" i="3" l="1"/>
  <c r="K1049" i="3"/>
  <c r="Q1049" i="3" s="1"/>
  <c r="R1049" i="3" s="1"/>
  <c r="F1050" i="3" l="1"/>
  <c r="G1050" i="3" s="1"/>
  <c r="H1050" i="3" s="1"/>
  <c r="M1049" i="3"/>
  <c r="N1049" i="3"/>
  <c r="J1050" i="3" l="1"/>
  <c r="I1050" i="3"/>
  <c r="L1050" i="3" l="1"/>
  <c r="K1050" i="3"/>
  <c r="Q1050" i="3" s="1"/>
  <c r="R1050" i="3" s="1"/>
  <c r="F1051" i="3" l="1"/>
  <c r="G1051" i="3" s="1"/>
  <c r="H1051" i="3" s="1"/>
  <c r="N1050" i="3"/>
  <c r="M1050" i="3"/>
  <c r="J1051" i="3" l="1"/>
  <c r="I1051" i="3"/>
  <c r="K1051" i="3" l="1"/>
  <c r="Q1051" i="3" s="1"/>
  <c r="R1051" i="3" s="1"/>
  <c r="L1051" i="3"/>
  <c r="N1051" i="3" l="1"/>
  <c r="M1051" i="3"/>
  <c r="F1052" i="3"/>
  <c r="G1052" i="3" s="1"/>
  <c r="H1052" i="3" s="1"/>
  <c r="I1052" i="3" l="1"/>
  <c r="J1052" i="3"/>
  <c r="K1052" i="3" l="1"/>
  <c r="Q1052" i="3" s="1"/>
  <c r="R1052" i="3" s="1"/>
  <c r="L1052" i="3"/>
  <c r="M1052" i="3" l="1"/>
  <c r="N1052" i="3"/>
  <c r="F1053" i="3"/>
  <c r="G1053" i="3" s="1"/>
  <c r="H1053" i="3" s="1"/>
  <c r="J1053" i="3" l="1"/>
  <c r="I1053" i="3"/>
  <c r="K1053" i="3" l="1"/>
  <c r="Q1053" i="3" s="1"/>
  <c r="R1053" i="3" s="1"/>
  <c r="L1053" i="3"/>
  <c r="N1053" i="3" l="1"/>
  <c r="M1053" i="3"/>
  <c r="F1054" i="3"/>
  <c r="G1054" i="3" s="1"/>
  <c r="H1054" i="3" s="1"/>
  <c r="I1054" i="3" l="1"/>
  <c r="J1054" i="3"/>
  <c r="L1054" i="3" l="1"/>
  <c r="K1054" i="3"/>
  <c r="Q1054" i="3" s="1"/>
  <c r="R1054" i="3" s="1"/>
  <c r="F1055" i="3" l="1"/>
  <c r="G1055" i="3" s="1"/>
  <c r="H1055" i="3" s="1"/>
  <c r="M1054" i="3"/>
  <c r="N1054" i="3"/>
  <c r="I1055" i="3" l="1"/>
  <c r="J1055" i="3"/>
  <c r="L1055" i="3" l="1"/>
  <c r="K1055" i="3"/>
  <c r="Q1055" i="3" s="1"/>
  <c r="R1055" i="3" s="1"/>
  <c r="F1056" i="3" l="1"/>
  <c r="G1056" i="3" s="1"/>
  <c r="H1056" i="3" s="1"/>
  <c r="N1055" i="3"/>
  <c r="M1055" i="3"/>
  <c r="J1056" i="3" l="1"/>
  <c r="I1056" i="3"/>
  <c r="L1056" i="3" l="1"/>
  <c r="K1056" i="3"/>
  <c r="Q1056" i="3" s="1"/>
  <c r="R1056" i="3" s="1"/>
  <c r="F1057" i="3" l="1"/>
  <c r="G1057" i="3" s="1"/>
  <c r="H1057" i="3" s="1"/>
  <c r="N1056" i="3"/>
  <c r="M1056" i="3"/>
  <c r="J1057" i="3" l="1"/>
  <c r="I1057" i="3"/>
  <c r="K1057" i="3" l="1"/>
  <c r="Q1057" i="3" s="1"/>
  <c r="R1057" i="3" s="1"/>
  <c r="L1057" i="3"/>
  <c r="F1058" i="3" l="1"/>
  <c r="G1058" i="3" s="1"/>
  <c r="H1058" i="3" s="1"/>
  <c r="M1057" i="3"/>
  <c r="N1057" i="3"/>
  <c r="J1058" i="3" l="1"/>
  <c r="I1058" i="3"/>
  <c r="L1058" i="3" l="1"/>
  <c r="K1058" i="3"/>
  <c r="Q1058" i="3" s="1"/>
  <c r="R1058" i="3" s="1"/>
  <c r="F1059" i="3" l="1"/>
  <c r="G1059" i="3" s="1"/>
  <c r="H1059" i="3" s="1"/>
  <c r="M1058" i="3"/>
  <c r="N1058" i="3"/>
  <c r="J1059" i="3" l="1"/>
  <c r="I1059" i="3"/>
  <c r="L1059" i="3" l="1"/>
  <c r="K1059" i="3"/>
  <c r="Q1059" i="3" s="1"/>
  <c r="R1059" i="3" s="1"/>
  <c r="F1060" i="3" l="1"/>
  <c r="G1060" i="3" s="1"/>
  <c r="H1060" i="3" s="1"/>
  <c r="M1059" i="3"/>
  <c r="N1059" i="3"/>
  <c r="I1060" i="3" l="1"/>
  <c r="J1060" i="3"/>
  <c r="K1060" i="3" l="1"/>
  <c r="Q1060" i="3" s="1"/>
  <c r="R1060" i="3" s="1"/>
  <c r="L1060" i="3"/>
  <c r="M1060" i="3" l="1"/>
  <c r="N1060" i="3"/>
  <c r="F1061" i="3"/>
  <c r="G1061" i="3" s="1"/>
  <c r="H1061" i="3" s="1"/>
  <c r="J1061" i="3" l="1"/>
  <c r="I1061" i="3"/>
  <c r="L1061" i="3" l="1"/>
  <c r="K1061" i="3"/>
  <c r="Q1061" i="3" s="1"/>
  <c r="R1061" i="3" s="1"/>
  <c r="F1062" i="3" l="1"/>
  <c r="G1062" i="3" s="1"/>
  <c r="H1062" i="3" s="1"/>
  <c r="N1061" i="3"/>
  <c r="M1061" i="3"/>
  <c r="J1062" i="3" l="1"/>
  <c r="I1062" i="3"/>
  <c r="K1062" i="3" l="1"/>
  <c r="Q1062" i="3" s="1"/>
  <c r="R1062" i="3" s="1"/>
  <c r="L1062" i="3"/>
  <c r="M1062" i="3" l="1"/>
  <c r="N1062" i="3"/>
  <c r="F1063" i="3"/>
  <c r="G1063" i="3" s="1"/>
  <c r="H1063" i="3" s="1"/>
  <c r="J1063" i="3" l="1"/>
  <c r="I1063" i="3"/>
  <c r="K1063" i="3" l="1"/>
  <c r="Q1063" i="3" s="1"/>
  <c r="R1063" i="3" s="1"/>
  <c r="L1063" i="3"/>
  <c r="M1063" i="3" l="1"/>
  <c r="N1063" i="3"/>
  <c r="F1064" i="3"/>
  <c r="G1064" i="3" s="1"/>
  <c r="H1064" i="3" s="1"/>
  <c r="J1064" i="3" l="1"/>
  <c r="I1064" i="3"/>
  <c r="K1064" i="3" l="1"/>
  <c r="Q1064" i="3" s="1"/>
  <c r="R1064" i="3" s="1"/>
  <c r="L1064" i="3"/>
  <c r="M1064" i="3" l="1"/>
  <c r="N1064" i="3"/>
  <c r="F1065" i="3"/>
  <c r="G1065" i="3" s="1"/>
  <c r="H1065" i="3" s="1"/>
  <c r="I1065" i="3" l="1"/>
  <c r="J1065" i="3"/>
  <c r="L1065" i="3" l="1"/>
  <c r="K1065" i="3"/>
  <c r="Q1065" i="3" s="1"/>
  <c r="R1065" i="3" s="1"/>
  <c r="F1066" i="3" l="1"/>
  <c r="G1066" i="3" s="1"/>
  <c r="H1066" i="3" s="1"/>
  <c r="N1065" i="3"/>
  <c r="M1065" i="3"/>
  <c r="I1066" i="3" l="1"/>
  <c r="J1066" i="3"/>
  <c r="K1066" i="3" l="1"/>
  <c r="Q1066" i="3" s="1"/>
  <c r="R1066" i="3" s="1"/>
  <c r="L1066" i="3"/>
  <c r="M1066" i="3" l="1"/>
  <c r="N1066" i="3"/>
  <c r="F1067" i="3"/>
  <c r="G1067" i="3" s="1"/>
  <c r="H1067" i="3" s="1"/>
  <c r="I1067" i="3" l="1"/>
  <c r="J1067" i="3"/>
  <c r="K1067" i="3" l="1"/>
  <c r="Q1067" i="3" s="1"/>
  <c r="R1067" i="3" s="1"/>
  <c r="L1067" i="3"/>
  <c r="M1067" i="3" l="1"/>
  <c r="N1067" i="3"/>
  <c r="F1068" i="3"/>
  <c r="G1068" i="3" s="1"/>
  <c r="H1068" i="3" s="1"/>
  <c r="I1068" i="3" l="1"/>
  <c r="J1068" i="3"/>
  <c r="K1068" i="3" l="1"/>
  <c r="Q1068" i="3" s="1"/>
  <c r="R1068" i="3" s="1"/>
  <c r="L1068" i="3"/>
  <c r="M1068" i="3" l="1"/>
  <c r="N1068" i="3"/>
  <c r="F1069" i="3"/>
  <c r="G1069" i="3" s="1"/>
  <c r="H1069" i="3" s="1"/>
  <c r="J1069" i="3" l="1"/>
  <c r="I1069" i="3"/>
  <c r="K1069" i="3" l="1"/>
  <c r="Q1069" i="3" s="1"/>
  <c r="R1069" i="3" s="1"/>
  <c r="L1069" i="3"/>
  <c r="N1069" i="3" l="1"/>
  <c r="M1069" i="3"/>
  <c r="F1070" i="3"/>
  <c r="G1070" i="3" s="1"/>
  <c r="H1070" i="3" s="1"/>
  <c r="J1070" i="3" l="1"/>
  <c r="I1070" i="3"/>
  <c r="L1070" i="3" l="1"/>
  <c r="K1070" i="3"/>
  <c r="Q1070" i="3" s="1"/>
  <c r="R1070" i="3" s="1"/>
  <c r="F1071" i="3" l="1"/>
  <c r="G1071" i="3" s="1"/>
  <c r="H1071" i="3" s="1"/>
  <c r="M1070" i="3"/>
  <c r="N1070" i="3"/>
  <c r="I1071" i="3" l="1"/>
  <c r="J1071" i="3"/>
  <c r="L1071" i="3" l="1"/>
  <c r="K1071" i="3"/>
  <c r="Q1071" i="3" s="1"/>
  <c r="R1071" i="3" s="1"/>
  <c r="F1072" i="3" l="1"/>
  <c r="G1072" i="3" s="1"/>
  <c r="H1072" i="3" s="1"/>
  <c r="N1071" i="3"/>
  <c r="M1071" i="3"/>
  <c r="J1072" i="3" l="1"/>
  <c r="I1072" i="3"/>
  <c r="K1072" i="3" l="1"/>
  <c r="Q1072" i="3" s="1"/>
  <c r="R1072" i="3" s="1"/>
  <c r="L1072" i="3"/>
  <c r="M1072" i="3" l="1"/>
  <c r="N1072" i="3"/>
  <c r="F1073" i="3"/>
  <c r="G1073" i="3" s="1"/>
  <c r="H1073" i="3" s="1"/>
  <c r="J1073" i="3" l="1"/>
  <c r="I1073" i="3"/>
  <c r="K1073" i="3" l="1"/>
  <c r="Q1073" i="3" s="1"/>
  <c r="R1073" i="3" s="1"/>
  <c r="L1073" i="3"/>
  <c r="F1074" i="3" l="1"/>
  <c r="G1074" i="3" s="1"/>
  <c r="H1074" i="3" s="1"/>
  <c r="N1073" i="3"/>
  <c r="M1073" i="3"/>
  <c r="J1074" i="3" l="1"/>
  <c r="I1074" i="3"/>
  <c r="L1074" i="3" l="1"/>
  <c r="K1074" i="3"/>
  <c r="Q1074" i="3" s="1"/>
  <c r="R1074" i="3" s="1"/>
  <c r="F1075" i="3" l="1"/>
  <c r="G1075" i="3" s="1"/>
  <c r="H1075" i="3" s="1"/>
  <c r="N1074" i="3"/>
  <c r="M1074" i="3"/>
  <c r="I1075" i="3" l="1"/>
  <c r="J1075" i="3"/>
  <c r="K1075" i="3" l="1"/>
  <c r="Q1075" i="3" s="1"/>
  <c r="R1075" i="3" s="1"/>
  <c r="L1075" i="3"/>
  <c r="M1075" i="3" l="1"/>
  <c r="N1075" i="3"/>
  <c r="F1076" i="3"/>
  <c r="G1076" i="3" s="1"/>
  <c r="H1076" i="3" s="1"/>
  <c r="I1076" i="3" l="1"/>
  <c r="J1076" i="3"/>
  <c r="L1076" i="3" l="1"/>
  <c r="K1076" i="3"/>
  <c r="Q1076" i="3" s="1"/>
  <c r="R1076" i="3" s="1"/>
  <c r="F1077" i="3" l="1"/>
  <c r="G1077" i="3" s="1"/>
  <c r="H1077" i="3" s="1"/>
  <c r="M1076" i="3"/>
  <c r="N1076" i="3"/>
  <c r="I1077" i="3" l="1"/>
  <c r="J1077" i="3"/>
  <c r="K1077" i="3" l="1"/>
  <c r="Q1077" i="3" s="1"/>
  <c r="R1077" i="3" s="1"/>
  <c r="L1077" i="3"/>
  <c r="F1078" i="3" l="1"/>
  <c r="G1078" i="3" s="1"/>
  <c r="H1078" i="3" s="1"/>
  <c r="M1077" i="3"/>
  <c r="N1077" i="3"/>
  <c r="I1078" i="3" l="1"/>
  <c r="J1078" i="3"/>
  <c r="L1078" i="3" l="1"/>
  <c r="K1078" i="3"/>
  <c r="Q1078" i="3" s="1"/>
  <c r="R1078" i="3" s="1"/>
  <c r="F1079" i="3" l="1"/>
  <c r="G1079" i="3" s="1"/>
  <c r="H1079" i="3" s="1"/>
  <c r="M1078" i="3"/>
  <c r="N1078" i="3"/>
  <c r="I1079" i="3" l="1"/>
  <c r="J1079" i="3"/>
  <c r="L1079" i="3" l="1"/>
  <c r="K1079" i="3"/>
  <c r="Q1079" i="3" s="1"/>
  <c r="R1079" i="3" s="1"/>
  <c r="F1080" i="3" l="1"/>
  <c r="G1080" i="3" s="1"/>
  <c r="H1080" i="3" s="1"/>
  <c r="M1079" i="3"/>
  <c r="N1079" i="3"/>
  <c r="I1080" i="3" l="1"/>
  <c r="J1080" i="3"/>
  <c r="L1080" i="3" l="1"/>
  <c r="K1080" i="3"/>
  <c r="Q1080" i="3" s="1"/>
  <c r="R1080" i="3" s="1"/>
  <c r="F1081" i="3" l="1"/>
  <c r="G1081" i="3" s="1"/>
  <c r="H1081" i="3" s="1"/>
  <c r="N1080" i="3"/>
  <c r="M1080" i="3"/>
  <c r="I1081" i="3" l="1"/>
  <c r="J1081" i="3"/>
  <c r="L1081" i="3" l="1"/>
  <c r="K1081" i="3"/>
  <c r="Q1081" i="3" s="1"/>
  <c r="R1081" i="3" s="1"/>
  <c r="F1082" i="3" l="1"/>
  <c r="G1082" i="3" s="1"/>
  <c r="H1082" i="3" s="1"/>
  <c r="M1081" i="3"/>
  <c r="N1081" i="3"/>
  <c r="I1082" i="3" l="1"/>
  <c r="J1082" i="3"/>
  <c r="L1082" i="3" l="1"/>
  <c r="K1082" i="3"/>
  <c r="Q1082" i="3" s="1"/>
  <c r="R1082" i="3" s="1"/>
  <c r="M1082" i="3" l="1"/>
  <c r="N1082" i="3"/>
  <c r="F1083" i="3"/>
  <c r="G1083" i="3" s="1"/>
  <c r="H1083" i="3" s="1"/>
  <c r="I1083" i="3" l="1"/>
  <c r="J1083" i="3"/>
  <c r="L1083" i="3" l="1"/>
  <c r="K1083" i="3"/>
  <c r="Q1083" i="3" s="1"/>
  <c r="R1083" i="3" s="1"/>
  <c r="F1084" i="3" l="1"/>
  <c r="G1084" i="3" s="1"/>
  <c r="H1084" i="3" s="1"/>
  <c r="N1083" i="3"/>
  <c r="M1083" i="3"/>
  <c r="I1084" i="3" l="1"/>
  <c r="J1084" i="3"/>
  <c r="K1084" i="3" l="1"/>
  <c r="Q1084" i="3" s="1"/>
  <c r="R1084" i="3" s="1"/>
  <c r="L1084" i="3"/>
  <c r="N1084" i="3" l="1"/>
  <c r="M1084" i="3"/>
  <c r="F1085" i="3"/>
  <c r="G1085" i="3" s="1"/>
  <c r="H1085" i="3" s="1"/>
  <c r="J1085" i="3" l="1"/>
  <c r="I1085" i="3"/>
  <c r="K1085" i="3" l="1"/>
  <c r="Q1085" i="3" s="1"/>
  <c r="R1085" i="3" s="1"/>
  <c r="L1085" i="3"/>
  <c r="M1085" i="3" l="1"/>
  <c r="N1085" i="3"/>
  <c r="F1086" i="3"/>
  <c r="G1086" i="3" s="1"/>
  <c r="H1086" i="3" s="1"/>
  <c r="J1086" i="3" l="1"/>
  <c r="I1086" i="3"/>
  <c r="L1086" i="3" l="1"/>
  <c r="K1086" i="3"/>
  <c r="Q1086" i="3" s="1"/>
  <c r="R1086" i="3" s="1"/>
  <c r="F1087" i="3" l="1"/>
  <c r="G1087" i="3" s="1"/>
  <c r="H1087" i="3" s="1"/>
  <c r="N1086" i="3"/>
  <c r="M1086" i="3"/>
  <c r="I1087" i="3" l="1"/>
  <c r="J1087" i="3"/>
  <c r="L1087" i="3" l="1"/>
  <c r="K1087" i="3"/>
  <c r="Q1087" i="3" s="1"/>
  <c r="R1087" i="3" s="1"/>
  <c r="F1088" i="3" l="1"/>
  <c r="G1088" i="3" s="1"/>
  <c r="H1088" i="3" s="1"/>
  <c r="N1087" i="3"/>
  <c r="M1087" i="3"/>
  <c r="J1088" i="3" l="1"/>
  <c r="I1088" i="3"/>
  <c r="L1088" i="3" l="1"/>
  <c r="K1088" i="3"/>
  <c r="Q1088" i="3" s="1"/>
  <c r="R1088" i="3" s="1"/>
  <c r="F1089" i="3" l="1"/>
  <c r="G1089" i="3" s="1"/>
  <c r="H1089" i="3" s="1"/>
  <c r="M1088" i="3"/>
  <c r="N1088" i="3"/>
  <c r="I1089" i="3" l="1"/>
  <c r="J1089" i="3"/>
  <c r="K1089" i="3" l="1"/>
  <c r="Q1089" i="3" s="1"/>
  <c r="R1089" i="3" s="1"/>
  <c r="L1089" i="3"/>
  <c r="N1089" i="3" l="1"/>
  <c r="M1089" i="3"/>
  <c r="F1090" i="3"/>
  <c r="G1090" i="3" s="1"/>
  <c r="H1090" i="3" s="1"/>
  <c r="J1090" i="3" l="1"/>
  <c r="I1090" i="3"/>
  <c r="L1090" i="3" l="1"/>
  <c r="K1090" i="3"/>
  <c r="Q1090" i="3" s="1"/>
  <c r="R1090" i="3" s="1"/>
  <c r="F1091" i="3" l="1"/>
  <c r="G1091" i="3" s="1"/>
  <c r="H1091" i="3" s="1"/>
  <c r="M1090" i="3"/>
  <c r="N1090" i="3"/>
  <c r="J1091" i="3" l="1"/>
  <c r="I1091" i="3"/>
  <c r="K1091" i="3" l="1"/>
  <c r="Q1091" i="3" s="1"/>
  <c r="R1091" i="3" s="1"/>
  <c r="L1091" i="3"/>
  <c r="N1091" i="3" l="1"/>
  <c r="M1091" i="3"/>
  <c r="F1092" i="3"/>
  <c r="G1092" i="3" s="1"/>
  <c r="H1092" i="3" s="1"/>
  <c r="J1092" i="3" l="1"/>
  <c r="I1092" i="3"/>
  <c r="K1092" i="3" l="1"/>
  <c r="Q1092" i="3" s="1"/>
  <c r="R1092" i="3" s="1"/>
  <c r="L1092" i="3"/>
  <c r="F1093" i="3" l="1"/>
  <c r="G1093" i="3" s="1"/>
  <c r="H1093" i="3" s="1"/>
  <c r="M1092" i="3"/>
  <c r="N1092" i="3"/>
  <c r="I1093" i="3" l="1"/>
  <c r="J1093" i="3"/>
  <c r="L1093" i="3" l="1"/>
  <c r="K1093" i="3"/>
  <c r="Q1093" i="3" s="1"/>
  <c r="R1093" i="3" s="1"/>
  <c r="F1094" i="3" l="1"/>
  <c r="G1094" i="3" s="1"/>
  <c r="H1094" i="3" s="1"/>
  <c r="M1093" i="3"/>
  <c r="N1093" i="3"/>
  <c r="I1094" i="3" l="1"/>
  <c r="J1094" i="3"/>
  <c r="L1094" i="3" l="1"/>
  <c r="K1094" i="3"/>
  <c r="Q1094" i="3" s="1"/>
  <c r="R1094" i="3" s="1"/>
  <c r="F1095" i="3" l="1"/>
  <c r="G1095" i="3" s="1"/>
  <c r="H1095" i="3" s="1"/>
  <c r="N1094" i="3"/>
  <c r="M1094" i="3"/>
  <c r="J1095" i="3" l="1"/>
  <c r="I1095" i="3"/>
  <c r="K1095" i="3" l="1"/>
  <c r="Q1095" i="3" s="1"/>
  <c r="R1095" i="3" s="1"/>
  <c r="L1095" i="3"/>
  <c r="M1095" i="3" l="1"/>
  <c r="N1095" i="3"/>
  <c r="F1096" i="3"/>
  <c r="G1096" i="3" s="1"/>
  <c r="H1096" i="3" s="1"/>
  <c r="I1096" i="3" l="1"/>
  <c r="J1096" i="3"/>
  <c r="L1096" i="3" l="1"/>
  <c r="K1096" i="3"/>
  <c r="Q1096" i="3" s="1"/>
  <c r="R1096" i="3" s="1"/>
  <c r="F1097" i="3" l="1"/>
  <c r="G1097" i="3" s="1"/>
  <c r="H1097" i="3" s="1"/>
  <c r="M1096" i="3"/>
  <c r="N1096" i="3"/>
  <c r="J1097" i="3" l="1"/>
  <c r="I1097" i="3"/>
  <c r="K1097" i="3" l="1"/>
  <c r="Q1097" i="3" s="1"/>
  <c r="R1097" i="3" s="1"/>
  <c r="L1097" i="3"/>
  <c r="M1097" i="3" l="1"/>
  <c r="N1097" i="3"/>
  <c r="F1098" i="3"/>
  <c r="G1098" i="3" s="1"/>
  <c r="H1098" i="3" s="1"/>
  <c r="J1098" i="3" l="1"/>
  <c r="I1098" i="3"/>
  <c r="L1098" i="3" l="1"/>
  <c r="K1098" i="3"/>
  <c r="Q1098" i="3" s="1"/>
  <c r="R1098" i="3" s="1"/>
  <c r="F1099" i="3" l="1"/>
  <c r="G1099" i="3" s="1"/>
  <c r="H1099" i="3" s="1"/>
  <c r="M1098" i="3"/>
  <c r="N1098" i="3"/>
  <c r="I1099" i="3" l="1"/>
  <c r="J1099" i="3"/>
  <c r="K1099" i="3" l="1"/>
  <c r="Q1099" i="3" s="1"/>
  <c r="R1099" i="3" s="1"/>
  <c r="L1099" i="3"/>
  <c r="F1100" i="3" l="1"/>
  <c r="G1100" i="3" s="1"/>
  <c r="H1100" i="3" s="1"/>
  <c r="M1099" i="3"/>
  <c r="N1099" i="3"/>
  <c r="J1100" i="3" l="1"/>
  <c r="I1100" i="3"/>
  <c r="K1100" i="3" l="1"/>
  <c r="Q1100" i="3" s="1"/>
  <c r="R1100" i="3" s="1"/>
  <c r="L1100" i="3"/>
  <c r="N1100" i="3" l="1"/>
  <c r="M1100" i="3"/>
  <c r="F1101" i="3"/>
  <c r="G1101" i="3" s="1"/>
  <c r="H1101" i="3" s="1"/>
  <c r="J1101" i="3" l="1"/>
  <c r="I1101" i="3"/>
  <c r="L1101" i="3" l="1"/>
  <c r="K1101" i="3"/>
  <c r="Q1101" i="3" s="1"/>
  <c r="R1101" i="3" s="1"/>
  <c r="F1102" i="3" l="1"/>
  <c r="G1102" i="3" s="1"/>
  <c r="H1102" i="3" s="1"/>
  <c r="M1101" i="3"/>
  <c r="N1101" i="3"/>
  <c r="J1102" i="3" l="1"/>
  <c r="I1102" i="3"/>
  <c r="L1102" i="3" l="1"/>
  <c r="K1102" i="3"/>
  <c r="Q1102" i="3" s="1"/>
  <c r="R1102" i="3" s="1"/>
  <c r="F1103" i="3" l="1"/>
  <c r="G1103" i="3" s="1"/>
  <c r="H1103" i="3" s="1"/>
  <c r="M1102" i="3"/>
  <c r="N1102" i="3"/>
  <c r="I1103" i="3" l="1"/>
  <c r="J1103" i="3"/>
  <c r="K1103" i="3" l="1"/>
  <c r="Q1103" i="3" s="1"/>
  <c r="R1103" i="3" s="1"/>
  <c r="L1103" i="3"/>
  <c r="N1103" i="3" l="1"/>
  <c r="M1103" i="3"/>
  <c r="F1104" i="3"/>
  <c r="G1104" i="3" s="1"/>
  <c r="H1104" i="3" s="1"/>
  <c r="J1104" i="3" l="1"/>
  <c r="I1104" i="3"/>
  <c r="L1104" i="3" l="1"/>
  <c r="K1104" i="3"/>
  <c r="Q1104" i="3" s="1"/>
  <c r="R1104" i="3" s="1"/>
  <c r="M1104" i="3" l="1"/>
  <c r="N1104" i="3"/>
  <c r="F1105" i="3"/>
  <c r="G1105" i="3" s="1"/>
  <c r="H1105" i="3" s="1"/>
  <c r="J1105" i="3" l="1"/>
  <c r="I1105" i="3"/>
  <c r="K1105" i="3" l="1"/>
  <c r="Q1105" i="3" s="1"/>
  <c r="R1105" i="3" s="1"/>
  <c r="L1105" i="3"/>
  <c r="M1105" i="3" l="1"/>
  <c r="N1105" i="3"/>
  <c r="F1106" i="3"/>
  <c r="G1106" i="3" s="1"/>
  <c r="H1106" i="3" s="1"/>
  <c r="I1106" i="3" l="1"/>
  <c r="J1106" i="3"/>
  <c r="L1106" i="3" l="1"/>
  <c r="K1106" i="3"/>
  <c r="Q1106" i="3" s="1"/>
  <c r="R1106" i="3" s="1"/>
  <c r="F1107" i="3" l="1"/>
  <c r="G1107" i="3" s="1"/>
  <c r="H1107" i="3" s="1"/>
  <c r="N1106" i="3"/>
  <c r="M1106" i="3"/>
  <c r="I1107" i="3" l="1"/>
  <c r="J1107" i="3"/>
  <c r="K1107" i="3" l="1"/>
  <c r="Q1107" i="3" s="1"/>
  <c r="R1107" i="3" s="1"/>
  <c r="L1107" i="3"/>
  <c r="N1107" i="3" l="1"/>
  <c r="M1107" i="3"/>
  <c r="F1108" i="3"/>
  <c r="G1108" i="3" s="1"/>
  <c r="H1108" i="3" s="1"/>
  <c r="I1108" i="3" l="1"/>
  <c r="J1108" i="3"/>
  <c r="K1108" i="3" l="1"/>
  <c r="Q1108" i="3" s="1"/>
  <c r="R1108" i="3" s="1"/>
  <c r="L1108" i="3"/>
  <c r="F1109" i="3" l="1"/>
  <c r="G1109" i="3" s="1"/>
  <c r="H1109" i="3" s="1"/>
  <c r="M1108" i="3"/>
  <c r="N1108" i="3"/>
  <c r="I1109" i="3" l="1"/>
  <c r="J1109" i="3"/>
  <c r="K1109" i="3" l="1"/>
  <c r="Q1109" i="3" s="1"/>
  <c r="R1109" i="3" s="1"/>
  <c r="L1109" i="3"/>
  <c r="M1109" i="3" l="1"/>
  <c r="N1109" i="3"/>
  <c r="F1110" i="3"/>
  <c r="G1110" i="3" s="1"/>
  <c r="H1110" i="3" s="1"/>
  <c r="J1110" i="3" l="1"/>
  <c r="I1110" i="3"/>
  <c r="K1110" i="3" l="1"/>
  <c r="Q1110" i="3" s="1"/>
  <c r="R1110" i="3" s="1"/>
  <c r="L1110" i="3"/>
  <c r="M1110" i="3" l="1"/>
  <c r="N1110" i="3"/>
  <c r="F1111" i="3"/>
  <c r="G1111" i="3" s="1"/>
  <c r="H1111" i="3" s="1"/>
  <c r="J1111" i="3" l="1"/>
  <c r="I1111" i="3"/>
  <c r="K1111" i="3" l="1"/>
  <c r="Q1111" i="3" s="1"/>
  <c r="R1111" i="3" s="1"/>
  <c r="L1111" i="3"/>
  <c r="N1111" i="3" l="1"/>
  <c r="M1111" i="3"/>
  <c r="F1112" i="3"/>
  <c r="G1112" i="3" s="1"/>
  <c r="H1112" i="3" s="1"/>
  <c r="I1112" i="3" l="1"/>
  <c r="J1112" i="3"/>
  <c r="L1112" i="3" l="1"/>
  <c r="K1112" i="3"/>
  <c r="Q1112" i="3" s="1"/>
  <c r="R1112" i="3" s="1"/>
  <c r="F1113" i="3" l="1"/>
  <c r="G1113" i="3" s="1"/>
  <c r="H1113" i="3" s="1"/>
  <c r="M1112" i="3"/>
  <c r="N1112" i="3"/>
  <c r="J1113" i="3" l="1"/>
  <c r="I1113" i="3"/>
  <c r="L1113" i="3" l="1"/>
  <c r="K1113" i="3"/>
  <c r="Q1113" i="3" s="1"/>
  <c r="R1113" i="3" s="1"/>
  <c r="F1114" i="3" l="1"/>
  <c r="G1114" i="3" s="1"/>
  <c r="H1114" i="3" s="1"/>
  <c r="N1113" i="3"/>
  <c r="M1113" i="3"/>
  <c r="J1114" i="3" l="1"/>
  <c r="I1114" i="3"/>
  <c r="K1114" i="3" l="1"/>
  <c r="Q1114" i="3" s="1"/>
  <c r="R1114" i="3" s="1"/>
  <c r="L1114" i="3"/>
  <c r="M1114" i="3" l="1"/>
  <c r="N1114" i="3"/>
  <c r="F1115" i="3"/>
  <c r="G1115" i="3" s="1"/>
  <c r="H1115" i="3" s="1"/>
  <c r="J1115" i="3" l="1"/>
  <c r="I1115" i="3"/>
  <c r="L1115" i="3" l="1"/>
  <c r="K1115" i="3"/>
  <c r="Q1115" i="3" s="1"/>
  <c r="R1115" i="3" s="1"/>
  <c r="F1116" i="3" l="1"/>
  <c r="G1116" i="3" s="1"/>
  <c r="H1116" i="3" s="1"/>
  <c r="N1115" i="3"/>
  <c r="M1115" i="3"/>
  <c r="I1116" i="3" l="1"/>
  <c r="J1116" i="3"/>
  <c r="L1116" i="3" l="1"/>
  <c r="K1116" i="3"/>
  <c r="Q1116" i="3" s="1"/>
  <c r="R1116" i="3" s="1"/>
  <c r="N1116" i="3" l="1"/>
  <c r="M1116" i="3"/>
  <c r="F1117" i="3"/>
  <c r="G1117" i="3" s="1"/>
  <c r="H1117" i="3" s="1"/>
  <c r="J1117" i="3" l="1"/>
  <c r="I1117" i="3"/>
  <c r="L1117" i="3" l="1"/>
  <c r="K1117" i="3"/>
  <c r="Q1117" i="3" s="1"/>
  <c r="R1117" i="3" s="1"/>
  <c r="F1118" i="3" l="1"/>
  <c r="G1118" i="3" s="1"/>
  <c r="H1118" i="3" s="1"/>
  <c r="M1117" i="3"/>
  <c r="N1117" i="3"/>
  <c r="I1118" i="3" l="1"/>
  <c r="J1118" i="3"/>
  <c r="L1118" i="3" l="1"/>
  <c r="K1118" i="3"/>
  <c r="Q1118" i="3" s="1"/>
  <c r="R1118" i="3" s="1"/>
  <c r="F1119" i="3" l="1"/>
  <c r="G1119" i="3" s="1"/>
  <c r="H1119" i="3" s="1"/>
  <c r="N1118" i="3"/>
  <c r="M1118" i="3"/>
  <c r="J1119" i="3" l="1"/>
  <c r="I1119" i="3"/>
  <c r="K1119" i="3" l="1"/>
  <c r="Q1119" i="3" s="1"/>
  <c r="R1119" i="3" s="1"/>
  <c r="L1119" i="3"/>
  <c r="F1120" i="3" l="1"/>
  <c r="G1120" i="3" s="1"/>
  <c r="H1120" i="3" s="1"/>
  <c r="N1119" i="3"/>
  <c r="M1119" i="3"/>
  <c r="J1120" i="3" l="1"/>
  <c r="I1120" i="3"/>
  <c r="L1120" i="3" l="1"/>
  <c r="K1120" i="3"/>
  <c r="Q1120" i="3" s="1"/>
  <c r="R1120" i="3" s="1"/>
  <c r="F1121" i="3" l="1"/>
  <c r="G1121" i="3" s="1"/>
  <c r="H1121" i="3" s="1"/>
  <c r="M1120" i="3"/>
  <c r="N1120" i="3"/>
  <c r="I1121" i="3" l="1"/>
  <c r="J1121" i="3"/>
  <c r="L1121" i="3" l="1"/>
  <c r="K1121" i="3"/>
  <c r="Q1121" i="3" s="1"/>
  <c r="R1121" i="3" s="1"/>
  <c r="F1122" i="3" l="1"/>
  <c r="G1122" i="3" s="1"/>
  <c r="H1122" i="3" s="1"/>
  <c r="N1121" i="3"/>
  <c r="M1121" i="3"/>
  <c r="I1122" i="3" l="1"/>
  <c r="J1122" i="3"/>
  <c r="K1122" i="3" l="1"/>
  <c r="Q1122" i="3" s="1"/>
  <c r="R1122" i="3" s="1"/>
  <c r="L1122" i="3"/>
  <c r="N1122" i="3" l="1"/>
  <c r="M1122" i="3"/>
  <c r="F1123" i="3"/>
  <c r="G1123" i="3" s="1"/>
  <c r="H1123" i="3" s="1"/>
  <c r="J1123" i="3" l="1"/>
  <c r="I1123" i="3"/>
  <c r="K1123" i="3" l="1"/>
  <c r="Q1123" i="3" s="1"/>
  <c r="R1123" i="3" s="1"/>
  <c r="L1123" i="3"/>
  <c r="N1123" i="3" l="1"/>
  <c r="M1123" i="3"/>
  <c r="F1124" i="3"/>
  <c r="G1124" i="3" s="1"/>
  <c r="H1124" i="3" s="1"/>
  <c r="I1124" i="3" l="1"/>
  <c r="J1124" i="3"/>
  <c r="L1124" i="3" l="1"/>
  <c r="K1124" i="3"/>
  <c r="Q1124" i="3" s="1"/>
  <c r="R1124" i="3" s="1"/>
  <c r="N1124" i="3" l="1"/>
  <c r="M1124" i="3"/>
  <c r="F1125" i="3"/>
  <c r="G1125" i="3" s="1"/>
  <c r="H1125" i="3" s="1"/>
  <c r="I1125" i="3" l="1"/>
  <c r="J1125" i="3"/>
  <c r="L1125" i="3" l="1"/>
  <c r="K1125" i="3"/>
  <c r="Q1125" i="3" s="1"/>
  <c r="R1125" i="3" s="1"/>
  <c r="F1126" i="3" l="1"/>
  <c r="G1126" i="3" s="1"/>
  <c r="H1126" i="3" s="1"/>
  <c r="M1125" i="3"/>
  <c r="N1125" i="3"/>
  <c r="I1126" i="3" l="1"/>
  <c r="J1126" i="3"/>
  <c r="L1126" i="3" l="1"/>
  <c r="K1126" i="3"/>
  <c r="Q1126" i="3" s="1"/>
  <c r="R1126" i="3" s="1"/>
  <c r="F1127" i="3" l="1"/>
  <c r="G1127" i="3" s="1"/>
  <c r="H1127" i="3" s="1"/>
  <c r="N1126" i="3"/>
  <c r="M1126" i="3"/>
  <c r="I1127" i="3" l="1"/>
  <c r="J1127" i="3"/>
  <c r="L1127" i="3" l="1"/>
  <c r="K1127" i="3"/>
  <c r="Q1127" i="3" s="1"/>
  <c r="R1127" i="3" s="1"/>
  <c r="F1128" i="3" l="1"/>
  <c r="G1128" i="3" s="1"/>
  <c r="H1128" i="3" s="1"/>
  <c r="M1127" i="3"/>
  <c r="N1127" i="3"/>
  <c r="J1128" i="3" l="1"/>
  <c r="I1128" i="3"/>
  <c r="L1128" i="3" l="1"/>
  <c r="K1128" i="3"/>
  <c r="Q1128" i="3" s="1"/>
  <c r="R1128" i="3" s="1"/>
  <c r="F1129" i="3" l="1"/>
  <c r="G1129" i="3" s="1"/>
  <c r="H1129" i="3" s="1"/>
  <c r="N1128" i="3"/>
  <c r="M1128" i="3"/>
  <c r="J1129" i="3" l="1"/>
  <c r="I1129" i="3"/>
  <c r="K1129" i="3" l="1"/>
  <c r="Q1129" i="3" s="1"/>
  <c r="R1129" i="3" s="1"/>
  <c r="L1129" i="3"/>
  <c r="F1130" i="3" l="1"/>
  <c r="G1130" i="3" s="1"/>
  <c r="H1130" i="3" s="1"/>
  <c r="N1129" i="3"/>
  <c r="M1129" i="3"/>
  <c r="J1130" i="3" l="1"/>
  <c r="I1130" i="3"/>
  <c r="K1130" i="3" l="1"/>
  <c r="Q1130" i="3" s="1"/>
  <c r="R1130" i="3" s="1"/>
  <c r="L1130" i="3"/>
  <c r="M1130" i="3" l="1"/>
  <c r="N1130" i="3"/>
  <c r="F1131" i="3"/>
  <c r="G1131" i="3" s="1"/>
  <c r="H1131" i="3" s="1"/>
  <c r="I1131" i="3" l="1"/>
  <c r="J1131" i="3"/>
  <c r="K1131" i="3" l="1"/>
  <c r="Q1131" i="3" s="1"/>
  <c r="R1131" i="3" s="1"/>
  <c r="L1131" i="3"/>
  <c r="N1131" i="3" l="1"/>
  <c r="M1131" i="3"/>
  <c r="F1132" i="3"/>
  <c r="G1132" i="3" s="1"/>
  <c r="H1132" i="3" s="1"/>
  <c r="I1132" i="3" l="1"/>
  <c r="J1132" i="3"/>
  <c r="K1132" i="3" l="1"/>
  <c r="Q1132" i="3" s="1"/>
  <c r="R1132" i="3" s="1"/>
  <c r="L1132" i="3"/>
  <c r="N1132" i="3" l="1"/>
  <c r="M1132" i="3"/>
  <c r="F1133" i="3"/>
  <c r="G1133" i="3" s="1"/>
  <c r="H1133" i="3" s="1"/>
  <c r="I1133" i="3" l="1"/>
  <c r="J1133" i="3"/>
  <c r="K1133" i="3" l="1"/>
  <c r="Q1133" i="3" s="1"/>
  <c r="R1133" i="3" s="1"/>
  <c r="L1133" i="3"/>
  <c r="M1133" i="3" l="1"/>
  <c r="N1133" i="3"/>
  <c r="F1134" i="3"/>
  <c r="G1134" i="3" s="1"/>
  <c r="H1134" i="3" s="1"/>
  <c r="I1134" i="3" l="1"/>
  <c r="J1134" i="3"/>
  <c r="K1134" i="3" l="1"/>
  <c r="Q1134" i="3" s="1"/>
  <c r="R1134" i="3" s="1"/>
  <c r="L1134" i="3"/>
  <c r="M1134" i="3" l="1"/>
  <c r="N1134" i="3"/>
  <c r="F1135" i="3"/>
  <c r="G1135" i="3" s="1"/>
  <c r="H1135" i="3" s="1"/>
  <c r="J1135" i="3" l="1"/>
  <c r="I1135" i="3"/>
  <c r="L1135" i="3" l="1"/>
  <c r="K1135" i="3"/>
  <c r="Q1135" i="3" s="1"/>
  <c r="R1135" i="3" s="1"/>
  <c r="F1136" i="3" l="1"/>
  <c r="G1136" i="3" s="1"/>
  <c r="H1136" i="3" s="1"/>
  <c r="N1135" i="3"/>
  <c r="M1135" i="3"/>
  <c r="J1136" i="3" l="1"/>
  <c r="I1136" i="3"/>
  <c r="K1136" i="3" l="1"/>
  <c r="Q1136" i="3" s="1"/>
  <c r="R1136" i="3" s="1"/>
  <c r="L1136" i="3"/>
  <c r="N1136" i="3" l="1"/>
  <c r="M1136" i="3"/>
  <c r="F1137" i="3"/>
  <c r="G1137" i="3" s="1"/>
  <c r="H1137" i="3" s="1"/>
  <c r="J1137" i="3" l="1"/>
  <c r="I1137" i="3"/>
  <c r="L1137" i="3" l="1"/>
  <c r="K1137" i="3"/>
  <c r="Q1137" i="3" s="1"/>
  <c r="R1137" i="3" s="1"/>
  <c r="F1138" i="3" l="1"/>
  <c r="G1138" i="3" s="1"/>
  <c r="H1138" i="3" s="1"/>
  <c r="N1137" i="3"/>
  <c r="M1137" i="3"/>
  <c r="J1138" i="3" l="1"/>
  <c r="I1138" i="3"/>
  <c r="L1138" i="3" l="1"/>
  <c r="K1138" i="3"/>
  <c r="Q1138" i="3" s="1"/>
  <c r="R1138" i="3" s="1"/>
  <c r="F1139" i="3" l="1"/>
  <c r="G1139" i="3" s="1"/>
  <c r="H1139" i="3" s="1"/>
  <c r="M1138" i="3"/>
  <c r="N1138" i="3"/>
  <c r="J1139" i="3" l="1"/>
  <c r="I1139" i="3"/>
  <c r="K1139" i="3" l="1"/>
  <c r="Q1139" i="3" s="1"/>
  <c r="R1139" i="3" s="1"/>
  <c r="L1139" i="3"/>
  <c r="F1140" i="3" l="1"/>
  <c r="G1140" i="3" s="1"/>
  <c r="H1140" i="3" s="1"/>
  <c r="M1139" i="3"/>
  <c r="N1139" i="3"/>
  <c r="I1140" i="3" l="1"/>
  <c r="J1140" i="3"/>
  <c r="K1140" i="3" l="1"/>
  <c r="Q1140" i="3" s="1"/>
  <c r="R1140" i="3" s="1"/>
  <c r="L1140" i="3"/>
  <c r="M1140" i="3" l="1"/>
  <c r="N1140" i="3"/>
  <c r="F1141" i="3"/>
  <c r="G1141" i="3" s="1"/>
  <c r="H1141" i="3" s="1"/>
  <c r="J1141" i="3" l="1"/>
  <c r="I1141" i="3"/>
  <c r="K1141" i="3" l="1"/>
  <c r="Q1141" i="3" s="1"/>
  <c r="R1141" i="3" s="1"/>
  <c r="L1141" i="3"/>
  <c r="M1141" i="3" l="1"/>
  <c r="N1141" i="3"/>
  <c r="F1142" i="3"/>
  <c r="G1142" i="3" s="1"/>
  <c r="H1142" i="3" s="1"/>
  <c r="I1142" i="3" l="1"/>
  <c r="J1142" i="3"/>
  <c r="K1142" i="3" l="1"/>
  <c r="Q1142" i="3" s="1"/>
  <c r="R1142" i="3" s="1"/>
  <c r="L1142" i="3"/>
  <c r="M1142" i="3" l="1"/>
  <c r="N1142" i="3"/>
  <c r="F1143" i="3"/>
  <c r="G1143" i="3" s="1"/>
  <c r="H1143" i="3" s="1"/>
  <c r="J1143" i="3" l="1"/>
  <c r="I1143" i="3"/>
  <c r="L1143" i="3" l="1"/>
  <c r="K1143" i="3"/>
  <c r="Q1143" i="3" s="1"/>
  <c r="R1143" i="3" s="1"/>
  <c r="F1144" i="3" l="1"/>
  <c r="G1144" i="3" s="1"/>
  <c r="H1144" i="3" s="1"/>
  <c r="M1143" i="3"/>
  <c r="N1143" i="3"/>
  <c r="J1144" i="3" l="1"/>
  <c r="I1144" i="3"/>
  <c r="L1144" i="3" l="1"/>
  <c r="K1144" i="3"/>
  <c r="Q1144" i="3" s="1"/>
  <c r="R1144" i="3" s="1"/>
  <c r="F1145" i="3" l="1"/>
  <c r="G1145" i="3" s="1"/>
  <c r="H1145" i="3" s="1"/>
  <c r="N1144" i="3"/>
  <c r="M1144" i="3"/>
  <c r="I1145" i="3" l="1"/>
  <c r="J1145" i="3"/>
  <c r="L1145" i="3" l="1"/>
  <c r="K1145" i="3"/>
  <c r="Q1145" i="3" s="1"/>
  <c r="R1145" i="3" s="1"/>
  <c r="F1146" i="3" l="1"/>
  <c r="G1146" i="3" s="1"/>
  <c r="H1146" i="3" s="1"/>
  <c r="N1145" i="3"/>
  <c r="M1145" i="3"/>
  <c r="I1146" i="3" l="1"/>
  <c r="J1146" i="3"/>
  <c r="L1146" i="3" l="1"/>
  <c r="K1146" i="3"/>
  <c r="Q1146" i="3" s="1"/>
  <c r="R1146" i="3" s="1"/>
  <c r="M1146" i="3" l="1"/>
  <c r="N1146" i="3"/>
  <c r="F1147" i="3"/>
  <c r="G1147" i="3" s="1"/>
  <c r="H1147" i="3" s="1"/>
  <c r="J1147" i="3" l="1"/>
  <c r="I1147" i="3"/>
  <c r="K1147" i="3" l="1"/>
  <c r="Q1147" i="3" s="1"/>
  <c r="R1147" i="3" s="1"/>
  <c r="L1147" i="3"/>
  <c r="M1147" i="3" l="1"/>
  <c r="N1147" i="3"/>
  <c r="F1148" i="3"/>
  <c r="G1148" i="3" s="1"/>
  <c r="H1148" i="3" s="1"/>
  <c r="J1148" i="3" l="1"/>
  <c r="I1148" i="3"/>
  <c r="K1148" i="3" l="1"/>
  <c r="Q1148" i="3" s="1"/>
  <c r="R1148" i="3" s="1"/>
  <c r="L1148" i="3"/>
  <c r="M1148" i="3" l="1"/>
  <c r="N1148" i="3"/>
  <c r="F1149" i="3"/>
  <c r="G1149" i="3" s="1"/>
  <c r="H1149" i="3" s="1"/>
  <c r="I1149" i="3" l="1"/>
  <c r="J1149" i="3"/>
  <c r="L1149" i="3" l="1"/>
  <c r="K1149" i="3"/>
  <c r="Q1149" i="3" s="1"/>
  <c r="R1149" i="3" s="1"/>
  <c r="F1150" i="3" l="1"/>
  <c r="G1150" i="3" s="1"/>
  <c r="H1150" i="3" s="1"/>
  <c r="M1149" i="3"/>
  <c r="N1149" i="3"/>
  <c r="I1150" i="3" l="1"/>
  <c r="J1150" i="3"/>
  <c r="K1150" i="3" l="1"/>
  <c r="Q1150" i="3" s="1"/>
  <c r="R1150" i="3" s="1"/>
  <c r="L1150" i="3"/>
  <c r="M1150" i="3" l="1"/>
  <c r="N1150" i="3"/>
  <c r="F1151" i="3"/>
  <c r="G1151" i="3" s="1"/>
  <c r="H1151" i="3" s="1"/>
  <c r="J1151" i="3" l="1"/>
  <c r="I1151" i="3"/>
  <c r="K1151" i="3" l="1"/>
  <c r="Q1151" i="3" s="1"/>
  <c r="R1151" i="3" s="1"/>
  <c r="L1151" i="3"/>
  <c r="N1151" i="3" l="1"/>
  <c r="M1151" i="3"/>
  <c r="F1152" i="3"/>
  <c r="G1152" i="3" s="1"/>
  <c r="H1152" i="3" s="1"/>
  <c r="I1152" i="3" l="1"/>
  <c r="J1152" i="3"/>
  <c r="L1152" i="3" l="1"/>
  <c r="K1152" i="3"/>
  <c r="Q1152" i="3" s="1"/>
  <c r="R1152" i="3" s="1"/>
  <c r="F1153" i="3" l="1"/>
  <c r="G1153" i="3" s="1"/>
  <c r="H1153" i="3" s="1"/>
  <c r="N1152" i="3"/>
  <c r="M1152" i="3"/>
  <c r="I1153" i="3" l="1"/>
  <c r="J1153" i="3"/>
  <c r="L1153" i="3" l="1"/>
  <c r="K1153" i="3"/>
  <c r="Q1153" i="3" s="1"/>
  <c r="R1153" i="3" s="1"/>
  <c r="F1154" i="3" l="1"/>
  <c r="G1154" i="3" s="1"/>
  <c r="H1154" i="3" s="1"/>
  <c r="N1153" i="3"/>
  <c r="M1153" i="3"/>
  <c r="I1154" i="3" l="1"/>
  <c r="J1154" i="3"/>
  <c r="K1154" i="3" l="1"/>
  <c r="Q1154" i="3" s="1"/>
  <c r="R1154" i="3" s="1"/>
  <c r="L1154" i="3"/>
  <c r="N1154" i="3" l="1"/>
  <c r="M1154" i="3"/>
  <c r="F1155" i="3"/>
  <c r="G1155" i="3" s="1"/>
  <c r="H1155" i="3" s="1"/>
  <c r="J1155" i="3" l="1"/>
  <c r="I1155" i="3"/>
  <c r="K1155" i="3" l="1"/>
  <c r="Q1155" i="3" s="1"/>
  <c r="R1155" i="3" s="1"/>
  <c r="L1155" i="3"/>
  <c r="M1155" i="3" l="1"/>
  <c r="N1155" i="3"/>
  <c r="F1156" i="3"/>
  <c r="G1156" i="3" s="1"/>
  <c r="H1156" i="3" s="1"/>
  <c r="J1156" i="3" l="1"/>
  <c r="I1156" i="3"/>
  <c r="L1156" i="3" l="1"/>
  <c r="K1156" i="3"/>
  <c r="Q1156" i="3" s="1"/>
  <c r="R1156" i="3" s="1"/>
  <c r="F1157" i="3" l="1"/>
  <c r="G1157" i="3" s="1"/>
  <c r="H1157" i="3" s="1"/>
  <c r="M1156" i="3"/>
  <c r="N1156" i="3"/>
  <c r="I1157" i="3" l="1"/>
  <c r="J1157" i="3"/>
  <c r="K1157" i="3" l="1"/>
  <c r="Q1157" i="3" s="1"/>
  <c r="R1157" i="3" s="1"/>
  <c r="L1157" i="3"/>
  <c r="M1157" i="3" l="1"/>
  <c r="N1157" i="3"/>
  <c r="F1158" i="3"/>
  <c r="G1158" i="3" s="1"/>
  <c r="H1158" i="3" s="1"/>
  <c r="J1158" i="3" l="1"/>
  <c r="I1158" i="3"/>
  <c r="L1158" i="3" l="1"/>
  <c r="K1158" i="3"/>
  <c r="Q1158" i="3" s="1"/>
  <c r="R1158" i="3" s="1"/>
  <c r="F1159" i="3" l="1"/>
  <c r="G1159" i="3" s="1"/>
  <c r="H1159" i="3" s="1"/>
  <c r="M1158" i="3"/>
  <c r="N1158" i="3"/>
  <c r="I1159" i="3" l="1"/>
  <c r="J1159" i="3"/>
  <c r="K1159" i="3" l="1"/>
  <c r="Q1159" i="3" s="1"/>
  <c r="R1159" i="3" s="1"/>
  <c r="L1159" i="3"/>
  <c r="N1159" i="3" l="1"/>
  <c r="M1159" i="3"/>
  <c r="F1160" i="3"/>
  <c r="G1160" i="3" s="1"/>
  <c r="H1160" i="3" s="1"/>
  <c r="I1160" i="3" l="1"/>
  <c r="J1160" i="3"/>
  <c r="K1160" i="3" l="1"/>
  <c r="Q1160" i="3" s="1"/>
  <c r="R1160" i="3" s="1"/>
  <c r="L1160" i="3"/>
  <c r="F1161" i="3" l="1"/>
  <c r="G1161" i="3" s="1"/>
  <c r="H1161" i="3" s="1"/>
  <c r="M1160" i="3"/>
  <c r="N1160" i="3"/>
  <c r="J1161" i="3" l="1"/>
  <c r="I1161" i="3"/>
  <c r="L1161" i="3" l="1"/>
  <c r="K1161" i="3"/>
  <c r="Q1161" i="3" s="1"/>
  <c r="R1161" i="3" s="1"/>
  <c r="F1162" i="3" l="1"/>
  <c r="G1162" i="3" s="1"/>
  <c r="H1162" i="3" s="1"/>
  <c r="M1161" i="3"/>
  <c r="N1161" i="3"/>
  <c r="I1162" i="3" l="1"/>
  <c r="J1162" i="3"/>
  <c r="L1162" i="3" l="1"/>
  <c r="K1162" i="3"/>
  <c r="Q1162" i="3" s="1"/>
  <c r="R1162" i="3" s="1"/>
  <c r="F1163" i="3" l="1"/>
  <c r="G1163" i="3" s="1"/>
  <c r="H1163" i="3" s="1"/>
  <c r="M1162" i="3"/>
  <c r="N1162" i="3"/>
  <c r="I1163" i="3" l="1"/>
  <c r="J1163" i="3"/>
  <c r="K1163" i="3" l="1"/>
  <c r="Q1163" i="3" s="1"/>
  <c r="R1163" i="3" s="1"/>
  <c r="L1163" i="3"/>
  <c r="M1163" i="3" l="1"/>
  <c r="N1163" i="3"/>
  <c r="F1164" i="3"/>
  <c r="G1164" i="3" s="1"/>
  <c r="H1164" i="3" s="1"/>
  <c r="I1164" i="3" l="1"/>
  <c r="J1164" i="3"/>
  <c r="K1164" i="3" l="1"/>
  <c r="Q1164" i="3" s="1"/>
  <c r="R1164" i="3" s="1"/>
  <c r="L1164" i="3"/>
  <c r="F1165" i="3" l="1"/>
  <c r="G1165" i="3" s="1"/>
  <c r="H1165" i="3" s="1"/>
  <c r="N1164" i="3"/>
  <c r="M1164" i="3"/>
  <c r="J1165" i="3" l="1"/>
  <c r="I1165" i="3"/>
  <c r="L1165" i="3" l="1"/>
  <c r="K1165" i="3"/>
  <c r="Q1165" i="3" s="1"/>
  <c r="R1165" i="3" s="1"/>
  <c r="F1166" i="3" l="1"/>
  <c r="G1166" i="3" s="1"/>
  <c r="H1166" i="3" s="1"/>
  <c r="M1165" i="3"/>
  <c r="N1165" i="3"/>
  <c r="I1166" i="3" l="1"/>
  <c r="J1166" i="3"/>
  <c r="K1166" i="3" l="1"/>
  <c r="Q1166" i="3" s="1"/>
  <c r="R1166" i="3" s="1"/>
  <c r="L1166" i="3"/>
  <c r="M1166" i="3" l="1"/>
  <c r="N1166" i="3"/>
  <c r="F1167" i="3"/>
  <c r="G1167" i="3" s="1"/>
  <c r="H1167" i="3" s="1"/>
  <c r="J1167" i="3" l="1"/>
  <c r="I1167" i="3"/>
  <c r="K1167" i="3" l="1"/>
  <c r="Q1167" i="3" s="1"/>
  <c r="R1167" i="3" s="1"/>
  <c r="L1167" i="3"/>
  <c r="N1167" i="3" l="1"/>
  <c r="M1167" i="3"/>
  <c r="F1168" i="3"/>
  <c r="G1168" i="3" s="1"/>
  <c r="H1168" i="3" s="1"/>
  <c r="I1168" i="3" l="1"/>
  <c r="J1168" i="3"/>
  <c r="L1168" i="3" l="1"/>
  <c r="K1168" i="3"/>
  <c r="Q1168" i="3" s="1"/>
  <c r="R1168" i="3" s="1"/>
  <c r="F1169" i="3" l="1"/>
  <c r="G1169" i="3" s="1"/>
  <c r="H1169" i="3" s="1"/>
  <c r="M1168" i="3"/>
  <c r="N1168" i="3"/>
  <c r="J1169" i="3" l="1"/>
  <c r="I1169" i="3"/>
  <c r="K1169" i="3" l="1"/>
  <c r="Q1169" i="3" s="1"/>
  <c r="R1169" i="3" s="1"/>
  <c r="L1169" i="3"/>
  <c r="N1169" i="3" l="1"/>
  <c r="M1169" i="3"/>
  <c r="F1170" i="3"/>
  <c r="G1170" i="3" s="1"/>
  <c r="H1170" i="3" s="1"/>
  <c r="J1170" i="3" l="1"/>
  <c r="I1170" i="3"/>
  <c r="K1170" i="3" l="1"/>
  <c r="Q1170" i="3" s="1"/>
  <c r="R1170" i="3" s="1"/>
  <c r="L1170" i="3"/>
  <c r="N1170" i="3" l="1"/>
  <c r="M1170" i="3"/>
  <c r="F1171" i="3"/>
  <c r="G1171" i="3" s="1"/>
  <c r="H1171" i="3" s="1"/>
  <c r="J1171" i="3" l="1"/>
  <c r="I1171" i="3"/>
  <c r="L1171" i="3" l="1"/>
  <c r="K1171" i="3"/>
  <c r="Q1171" i="3" s="1"/>
  <c r="R1171" i="3" s="1"/>
  <c r="F1172" i="3" l="1"/>
  <c r="G1172" i="3" s="1"/>
  <c r="H1172" i="3" s="1"/>
  <c r="N1171" i="3"/>
  <c r="M1171" i="3"/>
  <c r="J1172" i="3" l="1"/>
  <c r="I1172" i="3"/>
  <c r="L1172" i="3" l="1"/>
  <c r="K1172" i="3"/>
  <c r="Q1172" i="3" s="1"/>
  <c r="R1172" i="3" s="1"/>
  <c r="F1173" i="3" l="1"/>
  <c r="G1173" i="3" s="1"/>
  <c r="H1173" i="3" s="1"/>
  <c r="M1172" i="3"/>
  <c r="N1172" i="3"/>
  <c r="I1173" i="3" l="1"/>
  <c r="J1173" i="3"/>
  <c r="K1173" i="3" l="1"/>
  <c r="Q1173" i="3" s="1"/>
  <c r="R1173" i="3" s="1"/>
  <c r="L1173" i="3"/>
  <c r="M1173" i="3" l="1"/>
  <c r="N1173" i="3"/>
  <c r="F1174" i="3"/>
  <c r="G1174" i="3" s="1"/>
  <c r="H1174" i="3" s="1"/>
  <c r="I1174" i="3" l="1"/>
  <c r="J1174" i="3"/>
  <c r="L1174" i="3" l="1"/>
  <c r="K1174" i="3"/>
  <c r="Q1174" i="3" s="1"/>
  <c r="R1174" i="3" s="1"/>
  <c r="F1175" i="3" l="1"/>
  <c r="G1175" i="3" s="1"/>
  <c r="H1175" i="3" s="1"/>
  <c r="N1174" i="3"/>
  <c r="M1174" i="3"/>
  <c r="J1175" i="3" l="1"/>
  <c r="I1175" i="3"/>
  <c r="K1175" i="3" l="1"/>
  <c r="Q1175" i="3" s="1"/>
  <c r="R1175" i="3" s="1"/>
  <c r="L1175" i="3"/>
  <c r="N1175" i="3" l="1"/>
  <c r="M1175" i="3"/>
  <c r="F1176" i="3"/>
  <c r="G1176" i="3" s="1"/>
  <c r="H1176" i="3" s="1"/>
  <c r="J1176" i="3" l="1"/>
  <c r="I1176" i="3"/>
  <c r="K1176" i="3" l="1"/>
  <c r="Q1176" i="3" s="1"/>
  <c r="R1176" i="3" s="1"/>
  <c r="L1176" i="3"/>
  <c r="N1176" i="3" l="1"/>
  <c r="M1176" i="3"/>
  <c r="F1177" i="3"/>
  <c r="G1177" i="3" s="1"/>
  <c r="H1177" i="3" s="1"/>
  <c r="I1177" i="3" l="1"/>
  <c r="J1177" i="3"/>
  <c r="L1177" i="3" l="1"/>
  <c r="K1177" i="3"/>
  <c r="Q1177" i="3" s="1"/>
  <c r="R1177" i="3" s="1"/>
  <c r="F1178" i="3" l="1"/>
  <c r="G1178" i="3" s="1"/>
  <c r="H1178" i="3" s="1"/>
  <c r="M1177" i="3"/>
  <c r="N1177" i="3"/>
  <c r="I1178" i="3" l="1"/>
  <c r="J1178" i="3"/>
  <c r="K1178" i="3" l="1"/>
  <c r="Q1178" i="3" s="1"/>
  <c r="R1178" i="3" s="1"/>
  <c r="L1178" i="3"/>
  <c r="M1178" i="3" l="1"/>
  <c r="N1178" i="3"/>
  <c r="F1179" i="3"/>
  <c r="G1179" i="3" s="1"/>
  <c r="H1179" i="3" s="1"/>
  <c r="J1179" i="3" l="1"/>
  <c r="I1179" i="3"/>
  <c r="K1179" i="3" l="1"/>
  <c r="Q1179" i="3" s="1"/>
  <c r="R1179" i="3" s="1"/>
  <c r="L1179" i="3"/>
  <c r="N1179" i="3" l="1"/>
  <c r="M1179" i="3"/>
  <c r="F1180" i="3"/>
  <c r="G1180" i="3" s="1"/>
  <c r="H1180" i="3" s="1"/>
  <c r="J1180" i="3" l="1"/>
  <c r="I1180" i="3"/>
  <c r="L1180" i="3" l="1"/>
  <c r="K1180" i="3"/>
  <c r="Q1180" i="3" s="1"/>
  <c r="R1180" i="3" s="1"/>
  <c r="F1181" i="3" l="1"/>
  <c r="G1181" i="3" s="1"/>
  <c r="H1181" i="3" s="1"/>
  <c r="M1180" i="3"/>
  <c r="N1180" i="3"/>
  <c r="I1181" i="3" l="1"/>
  <c r="J1181" i="3"/>
  <c r="L1181" i="3" l="1"/>
  <c r="K1181" i="3"/>
  <c r="Q1181" i="3" s="1"/>
  <c r="R1181" i="3" s="1"/>
  <c r="F1182" i="3" l="1"/>
  <c r="G1182" i="3" s="1"/>
  <c r="H1182" i="3" s="1"/>
  <c r="M1181" i="3"/>
  <c r="N1181" i="3"/>
  <c r="I1182" i="3" l="1"/>
  <c r="J1182" i="3"/>
  <c r="L1182" i="3" l="1"/>
  <c r="K1182" i="3"/>
  <c r="Q1182" i="3" s="1"/>
  <c r="R1182" i="3" s="1"/>
  <c r="F1183" i="3" l="1"/>
  <c r="G1183" i="3" s="1"/>
  <c r="H1183" i="3" s="1"/>
  <c r="M1182" i="3"/>
  <c r="N1182" i="3"/>
  <c r="I1183" i="3" l="1"/>
  <c r="J1183" i="3"/>
  <c r="K1183" i="3" l="1"/>
  <c r="Q1183" i="3" s="1"/>
  <c r="R1183" i="3" s="1"/>
  <c r="L1183" i="3"/>
  <c r="M1183" i="3" l="1"/>
  <c r="N1183" i="3"/>
  <c r="F1184" i="3"/>
  <c r="G1184" i="3" s="1"/>
  <c r="H1184" i="3" s="1"/>
  <c r="I1184" i="3" l="1"/>
  <c r="J1184" i="3"/>
  <c r="K1184" i="3" l="1"/>
  <c r="Q1184" i="3" s="1"/>
  <c r="R1184" i="3" s="1"/>
  <c r="L1184" i="3"/>
  <c r="M1184" i="3" l="1"/>
  <c r="N1184" i="3"/>
  <c r="F1185" i="3"/>
  <c r="G1185" i="3" s="1"/>
  <c r="H1185" i="3" s="1"/>
  <c r="I1185" i="3" l="1"/>
  <c r="J1185" i="3"/>
  <c r="K1185" i="3" l="1"/>
  <c r="Q1185" i="3" s="1"/>
  <c r="R1185" i="3" s="1"/>
  <c r="L1185" i="3"/>
  <c r="M1185" i="3" l="1"/>
  <c r="N1185" i="3"/>
  <c r="F1186" i="3"/>
  <c r="G1186" i="3" s="1"/>
  <c r="H1186" i="3" s="1"/>
  <c r="I1186" i="3" l="1"/>
  <c r="J1186" i="3"/>
  <c r="L1186" i="3" l="1"/>
  <c r="K1186" i="3"/>
  <c r="Q1186" i="3" s="1"/>
  <c r="R1186" i="3" s="1"/>
  <c r="F1187" i="3" l="1"/>
  <c r="G1187" i="3" s="1"/>
  <c r="H1187" i="3" s="1"/>
  <c r="N1186" i="3"/>
  <c r="M1186" i="3"/>
  <c r="I1187" i="3" l="1"/>
  <c r="J1187" i="3"/>
  <c r="L1187" i="3" l="1"/>
  <c r="K1187" i="3"/>
  <c r="Q1187" i="3" s="1"/>
  <c r="R1187" i="3" s="1"/>
  <c r="F1188" i="3" l="1"/>
  <c r="G1188" i="3" s="1"/>
  <c r="H1188" i="3" s="1"/>
  <c r="N1187" i="3"/>
  <c r="M1187" i="3"/>
  <c r="I1188" i="3" l="1"/>
  <c r="J1188" i="3"/>
  <c r="K1188" i="3" l="1"/>
  <c r="Q1188" i="3" s="1"/>
  <c r="R1188" i="3" s="1"/>
  <c r="L1188" i="3"/>
  <c r="M1188" i="3" l="1"/>
  <c r="N1188" i="3"/>
  <c r="F1189" i="3"/>
  <c r="G1189" i="3" s="1"/>
  <c r="H1189" i="3" s="1"/>
  <c r="J1189" i="3" l="1"/>
  <c r="I1189" i="3"/>
  <c r="K1189" i="3" l="1"/>
  <c r="Q1189" i="3" s="1"/>
  <c r="R1189" i="3" s="1"/>
  <c r="L1189" i="3"/>
  <c r="N1189" i="3" l="1"/>
  <c r="M1189" i="3"/>
  <c r="F1190" i="3"/>
  <c r="G1190" i="3" s="1"/>
  <c r="H1190" i="3" s="1"/>
  <c r="J1190" i="3" l="1"/>
  <c r="I1190" i="3"/>
  <c r="L1190" i="3" l="1"/>
  <c r="K1190" i="3"/>
  <c r="Q1190" i="3" s="1"/>
  <c r="R1190" i="3" s="1"/>
  <c r="F1191" i="3" l="1"/>
  <c r="G1191" i="3" s="1"/>
  <c r="H1191" i="3" s="1"/>
  <c r="N1190" i="3"/>
  <c r="M1190" i="3"/>
  <c r="I1191" i="3" l="1"/>
  <c r="J1191" i="3"/>
  <c r="K1191" i="3" l="1"/>
  <c r="Q1191" i="3" s="1"/>
  <c r="R1191" i="3" s="1"/>
  <c r="L1191" i="3"/>
  <c r="M1191" i="3" l="1"/>
  <c r="N1191" i="3"/>
  <c r="F1192" i="3"/>
  <c r="G1192" i="3" s="1"/>
  <c r="H1192" i="3" s="1"/>
  <c r="J1192" i="3" l="1"/>
  <c r="I1192" i="3"/>
  <c r="K1192" i="3" l="1"/>
  <c r="Q1192" i="3" s="1"/>
  <c r="R1192" i="3" s="1"/>
  <c r="L1192" i="3"/>
  <c r="M1192" i="3" l="1"/>
  <c r="N1192" i="3"/>
  <c r="F1193" i="3"/>
  <c r="G1193" i="3" s="1"/>
  <c r="H1193" i="3" s="1"/>
  <c r="I1193" i="3" l="1"/>
  <c r="J1193" i="3"/>
  <c r="L1193" i="3" l="1"/>
  <c r="K1193" i="3"/>
  <c r="Q1193" i="3" s="1"/>
  <c r="R1193" i="3" s="1"/>
  <c r="F1194" i="3" l="1"/>
  <c r="G1194" i="3" s="1"/>
  <c r="H1194" i="3" s="1"/>
  <c r="N1193" i="3"/>
  <c r="M1193" i="3"/>
  <c r="I1194" i="3" l="1"/>
  <c r="J1194" i="3"/>
  <c r="L1194" i="3" l="1"/>
  <c r="K1194" i="3"/>
  <c r="Q1194" i="3" s="1"/>
  <c r="R1194" i="3" s="1"/>
  <c r="F1195" i="3" l="1"/>
  <c r="G1195" i="3" s="1"/>
  <c r="H1195" i="3" s="1"/>
  <c r="M1194" i="3"/>
  <c r="N1194" i="3"/>
  <c r="I1195" i="3" l="1"/>
  <c r="J1195" i="3"/>
  <c r="L1195" i="3" l="1"/>
  <c r="K1195" i="3"/>
  <c r="Q1195" i="3" s="1"/>
  <c r="R1195" i="3" s="1"/>
  <c r="F1196" i="3" l="1"/>
  <c r="G1196" i="3" s="1"/>
  <c r="H1196" i="3" s="1"/>
  <c r="M1195" i="3"/>
  <c r="N1195" i="3"/>
  <c r="I1196" i="3" l="1"/>
  <c r="J1196" i="3"/>
  <c r="K1196" i="3" l="1"/>
  <c r="Q1196" i="3" s="1"/>
  <c r="R1196" i="3" s="1"/>
  <c r="L1196" i="3"/>
  <c r="M1196" i="3" l="1"/>
  <c r="N1196" i="3"/>
  <c r="F1197" i="3"/>
  <c r="G1197" i="3" s="1"/>
  <c r="H1197" i="3" s="1"/>
  <c r="J1197" i="3" l="1"/>
  <c r="I1197" i="3"/>
  <c r="K1197" i="3" l="1"/>
  <c r="Q1197" i="3" s="1"/>
  <c r="R1197" i="3" s="1"/>
  <c r="L1197" i="3"/>
  <c r="M1197" i="3" l="1"/>
  <c r="N1197" i="3"/>
  <c r="F1198" i="3"/>
  <c r="G1198" i="3" s="1"/>
  <c r="H1198" i="3" s="1"/>
  <c r="I1198" i="3" l="1"/>
  <c r="J1198" i="3"/>
  <c r="K1198" i="3" l="1"/>
  <c r="Q1198" i="3" s="1"/>
  <c r="R1198" i="3" s="1"/>
  <c r="L1198" i="3"/>
  <c r="M1198" i="3" l="1"/>
  <c r="N1198" i="3"/>
  <c r="F1199" i="3"/>
  <c r="G1199" i="3" s="1"/>
  <c r="H1199" i="3" s="1"/>
  <c r="J1199" i="3" l="1"/>
  <c r="I1199" i="3"/>
  <c r="K1199" i="3" l="1"/>
  <c r="Q1199" i="3" s="1"/>
  <c r="R1199" i="3" s="1"/>
  <c r="L1199" i="3"/>
  <c r="N1199" i="3" l="1"/>
  <c r="M1199" i="3"/>
  <c r="F1200" i="3"/>
  <c r="G1200" i="3" s="1"/>
  <c r="H1200" i="3" s="1"/>
  <c r="J1200" i="3" l="1"/>
  <c r="I1200" i="3"/>
  <c r="K1200" i="3" l="1"/>
  <c r="Q1200" i="3" s="1"/>
  <c r="R1200" i="3" s="1"/>
  <c r="L1200" i="3"/>
  <c r="N1200" i="3" l="1"/>
  <c r="M1200" i="3"/>
  <c r="F1201" i="3"/>
  <c r="G1201" i="3" s="1"/>
  <c r="H1201" i="3" s="1"/>
  <c r="J1201" i="3" l="1"/>
  <c r="I1201" i="3"/>
  <c r="L1201" i="3" l="1"/>
  <c r="K1201" i="3"/>
  <c r="Q1201" i="3" s="1"/>
  <c r="R1201" i="3" s="1"/>
  <c r="F1202" i="3" l="1"/>
  <c r="G1202" i="3" s="1"/>
  <c r="H1202" i="3" s="1"/>
  <c r="M1201" i="3"/>
  <c r="N1201" i="3"/>
  <c r="I1202" i="3" l="1"/>
  <c r="J1202" i="3"/>
  <c r="K1202" i="3" l="1"/>
  <c r="Q1202" i="3" s="1"/>
  <c r="R1202" i="3" s="1"/>
  <c r="L1202" i="3"/>
  <c r="N1202" i="3" l="1"/>
  <c r="M1202" i="3"/>
  <c r="F1203" i="3"/>
  <c r="G1203" i="3" s="1"/>
  <c r="H1203" i="3" s="1"/>
  <c r="I1203" i="3" l="1"/>
  <c r="J1203" i="3"/>
  <c r="L1203" i="3" l="1"/>
  <c r="K1203" i="3"/>
  <c r="Q1203" i="3" s="1"/>
  <c r="R1203" i="3" s="1"/>
  <c r="F1204" i="3" l="1"/>
  <c r="G1204" i="3" s="1"/>
  <c r="H1204" i="3" s="1"/>
  <c r="N1203" i="3"/>
  <c r="M1203" i="3"/>
  <c r="I1204" i="3" l="1"/>
  <c r="J1204" i="3"/>
  <c r="K1204" i="3" l="1"/>
  <c r="Q1204" i="3" s="1"/>
  <c r="R1204" i="3" s="1"/>
  <c r="L1204" i="3"/>
  <c r="F1205" i="3" l="1"/>
  <c r="G1205" i="3" s="1"/>
  <c r="H1205" i="3" s="1"/>
  <c r="N1204" i="3"/>
  <c r="M1204" i="3"/>
  <c r="I1205" i="3" l="1"/>
  <c r="J1205" i="3"/>
  <c r="L1205" i="3" l="1"/>
  <c r="K1205" i="3"/>
  <c r="Q1205" i="3" s="1"/>
  <c r="R1205" i="3" s="1"/>
  <c r="N1205" i="3" l="1"/>
  <c r="M1205" i="3"/>
  <c r="F1206" i="3"/>
  <c r="G1206" i="3" s="1"/>
  <c r="H1206" i="3" s="1"/>
  <c r="J1206" i="3" l="1"/>
  <c r="I1206" i="3"/>
  <c r="K1206" i="3" l="1"/>
  <c r="Q1206" i="3" s="1"/>
  <c r="R1206" i="3" s="1"/>
  <c r="L1206" i="3"/>
  <c r="M1206" i="3" l="1"/>
  <c r="N1206" i="3"/>
  <c r="F1207" i="3"/>
  <c r="G1207" i="3" s="1"/>
  <c r="H1207" i="3" s="1"/>
  <c r="J1207" i="3" l="1"/>
  <c r="I1207" i="3"/>
  <c r="K1207" i="3" l="1"/>
  <c r="Q1207" i="3" s="1"/>
  <c r="R1207" i="3" s="1"/>
  <c r="L1207" i="3"/>
  <c r="N1207" i="3" l="1"/>
  <c r="M1207" i="3"/>
  <c r="F1208" i="3"/>
  <c r="G1208" i="3" s="1"/>
  <c r="H1208" i="3" s="1"/>
  <c r="I1208" i="3" l="1"/>
  <c r="J1208" i="3"/>
  <c r="K1208" i="3" l="1"/>
  <c r="Q1208" i="3" s="1"/>
  <c r="R1208" i="3" s="1"/>
  <c r="L1208" i="3"/>
  <c r="N1208" i="3" l="1"/>
  <c r="M1208" i="3"/>
  <c r="F1209" i="3"/>
  <c r="G1209" i="3" s="1"/>
  <c r="H1209" i="3" s="1"/>
  <c r="I1209" i="3" l="1"/>
  <c r="J1209" i="3"/>
  <c r="L1209" i="3" l="1"/>
  <c r="K1209" i="3"/>
  <c r="Q1209" i="3" s="1"/>
  <c r="R1209" i="3" s="1"/>
  <c r="F1210" i="3" l="1"/>
  <c r="G1210" i="3" s="1"/>
  <c r="H1210" i="3" s="1"/>
  <c r="N1209" i="3"/>
  <c r="M1209" i="3"/>
  <c r="J1210" i="3" l="1"/>
  <c r="I1210" i="3"/>
  <c r="K1210" i="3" l="1"/>
  <c r="Q1210" i="3" s="1"/>
  <c r="R1210" i="3" s="1"/>
  <c r="L1210" i="3"/>
  <c r="M1210" i="3" l="1"/>
  <c r="N1210" i="3"/>
  <c r="F1211" i="3"/>
  <c r="G1211" i="3" s="1"/>
  <c r="H1211" i="3" s="1"/>
  <c r="I1211" i="3" l="1"/>
  <c r="J1211" i="3"/>
  <c r="K1211" i="3" l="1"/>
  <c r="Q1211" i="3" s="1"/>
  <c r="R1211" i="3" s="1"/>
  <c r="L1211" i="3"/>
  <c r="N1211" i="3" l="1"/>
  <c r="M1211" i="3"/>
  <c r="F1212" i="3"/>
  <c r="G1212" i="3" s="1"/>
  <c r="H1212" i="3" s="1"/>
  <c r="I1212" i="3" l="1"/>
  <c r="J1212" i="3"/>
  <c r="K1212" i="3" l="1"/>
  <c r="Q1212" i="3" s="1"/>
  <c r="R1212" i="3" s="1"/>
  <c r="L1212" i="3"/>
  <c r="M1212" i="3" l="1"/>
  <c r="N1212" i="3"/>
  <c r="F1213" i="3"/>
  <c r="G1213" i="3" s="1"/>
  <c r="H1213" i="3" s="1"/>
  <c r="I1213" i="3" l="1"/>
  <c r="J1213" i="3"/>
  <c r="K1213" i="3" l="1"/>
  <c r="Q1213" i="3" s="1"/>
  <c r="R1213" i="3" s="1"/>
  <c r="L1213" i="3"/>
  <c r="N1213" i="3" l="1"/>
  <c r="M1213" i="3"/>
  <c r="F1214" i="3"/>
  <c r="G1214" i="3" s="1"/>
  <c r="H1214" i="3" s="1"/>
  <c r="I1214" i="3" l="1"/>
  <c r="J1214" i="3"/>
  <c r="K1214" i="3" l="1"/>
  <c r="Q1214" i="3" s="1"/>
  <c r="R1214" i="3" s="1"/>
  <c r="L1214" i="3"/>
  <c r="M1214" i="3" l="1"/>
  <c r="N1214" i="3"/>
  <c r="F1215" i="3"/>
  <c r="G1215" i="3" s="1"/>
  <c r="H1215" i="3" s="1"/>
  <c r="I1215" i="3" l="1"/>
  <c r="J1215" i="3"/>
  <c r="K1215" i="3" l="1"/>
  <c r="Q1215" i="3" s="1"/>
  <c r="R1215" i="3" s="1"/>
  <c r="L1215" i="3"/>
  <c r="M1215" i="3" l="1"/>
  <c r="N1215" i="3"/>
  <c r="F1216" i="3"/>
  <c r="G1216" i="3" s="1"/>
  <c r="H1216" i="3" s="1"/>
  <c r="J1216" i="3" l="1"/>
  <c r="I1216" i="3"/>
  <c r="L1216" i="3" l="1"/>
  <c r="K1216" i="3"/>
  <c r="Q1216" i="3" s="1"/>
  <c r="R1216" i="3" s="1"/>
  <c r="F1217" i="3" l="1"/>
  <c r="G1217" i="3" s="1"/>
  <c r="H1217" i="3" s="1"/>
  <c r="N1216" i="3"/>
  <c r="M1216" i="3"/>
  <c r="J1217" i="3" l="1"/>
  <c r="I1217" i="3"/>
  <c r="K1217" i="3" l="1"/>
  <c r="Q1217" i="3" s="1"/>
  <c r="R1217" i="3" s="1"/>
  <c r="L1217" i="3"/>
  <c r="N1217" i="3" l="1"/>
  <c r="M1217" i="3"/>
  <c r="F1218" i="3"/>
  <c r="G1218" i="3" s="1"/>
  <c r="H1218" i="3" s="1"/>
  <c r="I1218" i="3" l="1"/>
  <c r="J1218" i="3"/>
  <c r="L1218" i="3" l="1"/>
  <c r="K1218" i="3"/>
  <c r="Q1218" i="3" s="1"/>
  <c r="R1218" i="3" s="1"/>
  <c r="F1219" i="3" l="1"/>
  <c r="G1219" i="3" s="1"/>
  <c r="H1219" i="3" s="1"/>
  <c r="N1218" i="3"/>
  <c r="M1218" i="3"/>
  <c r="J1219" i="3" l="1"/>
  <c r="I1219" i="3"/>
  <c r="L1219" i="3" l="1"/>
  <c r="K1219" i="3"/>
  <c r="Q1219" i="3" s="1"/>
  <c r="R1219" i="3" s="1"/>
  <c r="F1220" i="3" l="1"/>
  <c r="G1220" i="3" s="1"/>
  <c r="H1220" i="3" s="1"/>
  <c r="N1219" i="3"/>
  <c r="M1219" i="3"/>
  <c r="J1220" i="3" l="1"/>
  <c r="I1220" i="3"/>
  <c r="K1220" i="3" l="1"/>
  <c r="Q1220" i="3" s="1"/>
  <c r="R1220" i="3" s="1"/>
  <c r="L1220" i="3"/>
  <c r="M1220" i="3" l="1"/>
  <c r="N1220" i="3"/>
  <c r="F1221" i="3"/>
  <c r="G1221" i="3" s="1"/>
  <c r="H1221" i="3" s="1"/>
  <c r="J1221" i="3" l="1"/>
  <c r="I1221" i="3"/>
  <c r="K1221" i="3" l="1"/>
  <c r="Q1221" i="3" s="1"/>
  <c r="R1221" i="3" s="1"/>
  <c r="L1221" i="3"/>
  <c r="N1221" i="3" l="1"/>
  <c r="M1221" i="3"/>
  <c r="F1222" i="3"/>
  <c r="G1222" i="3" s="1"/>
  <c r="H1222" i="3" s="1"/>
  <c r="I1222" i="3" l="1"/>
  <c r="J1222" i="3"/>
  <c r="L1222" i="3" l="1"/>
  <c r="K1222" i="3"/>
  <c r="Q1222" i="3" s="1"/>
  <c r="R1222" i="3" s="1"/>
  <c r="F1223" i="3" l="1"/>
  <c r="G1223" i="3" s="1"/>
  <c r="H1223" i="3" s="1"/>
  <c r="N1222" i="3"/>
  <c r="M1222" i="3"/>
  <c r="I1223" i="3" l="1"/>
  <c r="J1223" i="3"/>
  <c r="L1223" i="3" l="1"/>
  <c r="K1223" i="3"/>
  <c r="Q1223" i="3" s="1"/>
  <c r="R1223" i="3" s="1"/>
  <c r="F1224" i="3" l="1"/>
  <c r="G1224" i="3" s="1"/>
  <c r="H1224" i="3" s="1"/>
  <c r="M1223" i="3"/>
  <c r="N1223" i="3"/>
  <c r="J1224" i="3" l="1"/>
  <c r="I1224" i="3"/>
  <c r="K1224" i="3" l="1"/>
  <c r="Q1224" i="3" s="1"/>
  <c r="R1224" i="3" s="1"/>
  <c r="L1224" i="3"/>
  <c r="M1224" i="3" l="1"/>
  <c r="N1224" i="3"/>
  <c r="F1225" i="3"/>
  <c r="G1225" i="3" s="1"/>
  <c r="H1225" i="3" s="1"/>
  <c r="I1225" i="3" l="1"/>
  <c r="J1225" i="3"/>
  <c r="K1225" i="3" l="1"/>
  <c r="Q1225" i="3" s="1"/>
  <c r="R1225" i="3" s="1"/>
  <c r="L1225" i="3"/>
  <c r="N1225" i="3" l="1"/>
  <c r="M1225" i="3"/>
  <c r="F1226" i="3"/>
  <c r="G1226" i="3" s="1"/>
  <c r="H1226" i="3" s="1"/>
  <c r="I1226" i="3" l="1"/>
  <c r="J1226" i="3"/>
  <c r="K1226" i="3" l="1"/>
  <c r="Q1226" i="3" s="1"/>
  <c r="R1226" i="3" s="1"/>
  <c r="L1226" i="3"/>
  <c r="M1226" i="3" l="1"/>
  <c r="N1226" i="3"/>
  <c r="F1227" i="3"/>
  <c r="G1227" i="3" s="1"/>
  <c r="H1227" i="3" s="1"/>
  <c r="J1227" i="3" l="1"/>
  <c r="I1227" i="3"/>
  <c r="L1227" i="3" l="1"/>
  <c r="K1227" i="3"/>
  <c r="Q1227" i="3" s="1"/>
  <c r="R1227" i="3" s="1"/>
  <c r="F1228" i="3" l="1"/>
  <c r="G1228" i="3" s="1"/>
  <c r="H1228" i="3" s="1"/>
  <c r="N1227" i="3"/>
  <c r="M1227" i="3"/>
  <c r="I1228" i="3" l="1"/>
  <c r="J1228" i="3"/>
  <c r="K1228" i="3" l="1"/>
  <c r="Q1228" i="3" s="1"/>
  <c r="R1228" i="3" s="1"/>
  <c r="L1228" i="3"/>
  <c r="M1228" i="3" l="1"/>
  <c r="N1228" i="3"/>
  <c r="F1229" i="3"/>
  <c r="G1229" i="3" s="1"/>
  <c r="H1229" i="3" s="1"/>
  <c r="J1229" i="3" l="1"/>
  <c r="I1229" i="3"/>
  <c r="K1229" i="3" l="1"/>
  <c r="Q1229" i="3" s="1"/>
  <c r="R1229" i="3" s="1"/>
  <c r="L1229" i="3"/>
  <c r="M1229" i="3" l="1"/>
  <c r="N1229" i="3"/>
  <c r="F1230" i="3"/>
  <c r="G1230" i="3" s="1"/>
  <c r="H1230" i="3" s="1"/>
  <c r="I1230" i="3" l="1"/>
  <c r="J1230" i="3"/>
  <c r="K1230" i="3" l="1"/>
  <c r="Q1230" i="3" s="1"/>
  <c r="R1230" i="3" s="1"/>
  <c r="L1230" i="3"/>
  <c r="M1230" i="3" l="1"/>
  <c r="N1230" i="3"/>
  <c r="F1231" i="3"/>
  <c r="G1231" i="3" s="1"/>
  <c r="H1231" i="3" s="1"/>
  <c r="J1231" i="3" l="1"/>
  <c r="I1231" i="3"/>
  <c r="L1231" i="3" l="1"/>
  <c r="K1231" i="3"/>
  <c r="Q1231" i="3" s="1"/>
  <c r="R1231" i="3" s="1"/>
  <c r="F1232" i="3" l="1"/>
  <c r="G1232" i="3" s="1"/>
  <c r="H1232" i="3" s="1"/>
  <c r="M1231" i="3"/>
  <c r="N1231" i="3"/>
  <c r="J1232" i="3" l="1"/>
  <c r="I1232" i="3"/>
  <c r="L1232" i="3" l="1"/>
  <c r="K1232" i="3"/>
  <c r="Q1232" i="3" s="1"/>
  <c r="R1232" i="3" s="1"/>
  <c r="F1233" i="3" l="1"/>
  <c r="G1233" i="3" s="1"/>
  <c r="H1233" i="3" s="1"/>
  <c r="M1232" i="3"/>
  <c r="N1232" i="3"/>
  <c r="I1233" i="3" l="1"/>
  <c r="J1233" i="3"/>
  <c r="L1233" i="3" l="1"/>
  <c r="K1233" i="3"/>
  <c r="Q1233" i="3" s="1"/>
  <c r="R1233" i="3" s="1"/>
  <c r="F1234" i="3" l="1"/>
  <c r="G1234" i="3" s="1"/>
  <c r="H1234" i="3" s="1"/>
  <c r="N1233" i="3"/>
  <c r="M1233" i="3"/>
  <c r="I1234" i="3" l="1"/>
  <c r="J1234" i="3"/>
  <c r="K1234" i="3" l="1"/>
  <c r="Q1234" i="3" s="1"/>
  <c r="R1234" i="3" s="1"/>
  <c r="L1234" i="3"/>
  <c r="N1234" i="3" l="1"/>
  <c r="M1234" i="3"/>
  <c r="F1235" i="3"/>
  <c r="G1235" i="3" s="1"/>
  <c r="H1235" i="3" s="1"/>
  <c r="J1235" i="3" l="1"/>
  <c r="I1235" i="3"/>
  <c r="K1235" i="3" l="1"/>
  <c r="Q1235" i="3" s="1"/>
  <c r="R1235" i="3" s="1"/>
  <c r="L1235" i="3"/>
  <c r="N1235" i="3" l="1"/>
  <c r="M1235" i="3"/>
  <c r="F1236" i="3"/>
  <c r="G1236" i="3" s="1"/>
  <c r="H1236" i="3" s="1"/>
  <c r="J1236" i="3" l="1"/>
  <c r="I1236" i="3"/>
  <c r="K1236" i="3" l="1"/>
  <c r="Q1236" i="3" s="1"/>
  <c r="R1236" i="3" s="1"/>
  <c r="L1236" i="3"/>
  <c r="M1236" i="3" l="1"/>
  <c r="N1236" i="3"/>
  <c r="F1237" i="3"/>
  <c r="G1237" i="3" s="1"/>
  <c r="H1237" i="3" s="1"/>
  <c r="I1237" i="3" l="1"/>
  <c r="J1237" i="3"/>
  <c r="K1237" i="3" l="1"/>
  <c r="Q1237" i="3" s="1"/>
  <c r="R1237" i="3" s="1"/>
  <c r="L1237" i="3"/>
  <c r="M1237" i="3" l="1"/>
  <c r="N1237" i="3"/>
  <c r="F1238" i="3"/>
  <c r="G1238" i="3" s="1"/>
  <c r="H1238" i="3" s="1"/>
  <c r="I1238" i="3" l="1"/>
  <c r="J1238" i="3"/>
  <c r="L1238" i="3" l="1"/>
  <c r="K1238" i="3"/>
  <c r="Q1238" i="3" s="1"/>
  <c r="R1238" i="3" s="1"/>
  <c r="F1239" i="3" l="1"/>
  <c r="G1239" i="3" s="1"/>
  <c r="H1239" i="3" s="1"/>
  <c r="M1238" i="3"/>
  <c r="N1238" i="3"/>
  <c r="J1239" i="3" l="1"/>
  <c r="I1239" i="3"/>
  <c r="K1239" i="3" l="1"/>
  <c r="Q1239" i="3" s="1"/>
  <c r="R1239" i="3" s="1"/>
  <c r="L1239" i="3"/>
  <c r="M1239" i="3" l="1"/>
  <c r="N1239" i="3"/>
  <c r="F1240" i="3"/>
  <c r="G1240" i="3" s="1"/>
  <c r="H1240" i="3" s="1"/>
  <c r="I1240" i="3" l="1"/>
  <c r="J1240" i="3"/>
  <c r="K1240" i="3" l="1"/>
  <c r="Q1240" i="3" s="1"/>
  <c r="R1240" i="3" s="1"/>
  <c r="L1240" i="3"/>
  <c r="M1240" i="3" l="1"/>
  <c r="N1240" i="3"/>
  <c r="F1241" i="3"/>
  <c r="G1241" i="3" s="1"/>
  <c r="H1241" i="3" s="1"/>
  <c r="J1241" i="3" l="1"/>
  <c r="I1241" i="3"/>
  <c r="K1241" i="3" l="1"/>
  <c r="Q1241" i="3" s="1"/>
  <c r="R1241" i="3" s="1"/>
  <c r="L1241" i="3"/>
  <c r="M1241" i="3" l="1"/>
  <c r="N1241" i="3"/>
  <c r="F1242" i="3"/>
  <c r="G1242" i="3" s="1"/>
  <c r="H1242" i="3" s="1"/>
  <c r="I1242" i="3" l="1"/>
  <c r="J1242" i="3"/>
  <c r="L1242" i="3" l="1"/>
  <c r="K1242" i="3"/>
  <c r="Q1242" i="3" s="1"/>
  <c r="R1242" i="3" s="1"/>
  <c r="F1243" i="3" l="1"/>
  <c r="G1243" i="3" s="1"/>
  <c r="H1243" i="3" s="1"/>
  <c r="N1242" i="3"/>
  <c r="M1242" i="3"/>
  <c r="J1243" i="3" l="1"/>
  <c r="I1243" i="3"/>
  <c r="K1243" i="3" l="1"/>
  <c r="Q1243" i="3" s="1"/>
  <c r="R1243" i="3" s="1"/>
  <c r="L1243" i="3"/>
  <c r="N1243" i="3" l="1"/>
  <c r="M1243" i="3"/>
  <c r="F1244" i="3"/>
  <c r="G1244" i="3" s="1"/>
  <c r="H1244" i="3" s="1"/>
  <c r="I1244" i="3" l="1"/>
  <c r="J1244" i="3"/>
  <c r="K1244" i="3" l="1"/>
  <c r="Q1244" i="3" s="1"/>
  <c r="R1244" i="3" s="1"/>
  <c r="L1244" i="3"/>
  <c r="N1244" i="3" l="1"/>
  <c r="M1244" i="3"/>
  <c r="F1245" i="3"/>
  <c r="G1245" i="3" s="1"/>
  <c r="H1245" i="3" s="1"/>
  <c r="J1245" i="3" l="1"/>
  <c r="I1245" i="3"/>
  <c r="L1245" i="3" l="1"/>
  <c r="K1245" i="3"/>
  <c r="Q1245" i="3" s="1"/>
  <c r="R1245" i="3" s="1"/>
  <c r="F1246" i="3" l="1"/>
  <c r="G1246" i="3" s="1"/>
  <c r="H1246" i="3" s="1"/>
  <c r="N1245" i="3"/>
  <c r="M1245" i="3"/>
  <c r="I1246" i="3" l="1"/>
  <c r="J1246" i="3"/>
  <c r="L1246" i="3" l="1"/>
  <c r="K1246" i="3"/>
  <c r="Q1246" i="3" s="1"/>
  <c r="R1246" i="3" s="1"/>
  <c r="F1247" i="3" l="1"/>
  <c r="G1247" i="3" s="1"/>
  <c r="H1247" i="3" s="1"/>
  <c r="M1246" i="3"/>
  <c r="N1246" i="3"/>
  <c r="I1247" i="3" l="1"/>
  <c r="J1247" i="3"/>
  <c r="K1247" i="3" l="1"/>
  <c r="Q1247" i="3" s="1"/>
  <c r="R1247" i="3" s="1"/>
  <c r="L1247" i="3"/>
  <c r="N1247" i="3" l="1"/>
  <c r="M1247" i="3"/>
  <c r="F1248" i="3"/>
  <c r="G1248" i="3" s="1"/>
  <c r="H1248" i="3" s="1"/>
  <c r="I1248" i="3" l="1"/>
  <c r="J1248" i="3"/>
  <c r="L1248" i="3" l="1"/>
  <c r="K1248" i="3"/>
  <c r="Q1248" i="3" s="1"/>
  <c r="R1248" i="3" s="1"/>
  <c r="F1249" i="3" l="1"/>
  <c r="G1249" i="3" s="1"/>
  <c r="H1249" i="3" s="1"/>
  <c r="N1248" i="3"/>
  <c r="M1248" i="3"/>
  <c r="I1249" i="3" l="1"/>
  <c r="J1249" i="3"/>
  <c r="L1249" i="3" l="1"/>
  <c r="K1249" i="3"/>
  <c r="Q1249" i="3" s="1"/>
  <c r="R1249" i="3" s="1"/>
  <c r="F1250" i="3" l="1"/>
  <c r="G1250" i="3" s="1"/>
  <c r="H1250" i="3" s="1"/>
  <c r="N1249" i="3"/>
  <c r="M1249" i="3"/>
  <c r="I1250" i="3" l="1"/>
  <c r="J1250" i="3"/>
  <c r="K1250" i="3" l="1"/>
  <c r="Q1250" i="3" s="1"/>
  <c r="R1250" i="3" s="1"/>
  <c r="L1250" i="3"/>
  <c r="M1250" i="3" l="1"/>
  <c r="N1250" i="3"/>
  <c r="F1251" i="3"/>
  <c r="G1251" i="3" s="1"/>
  <c r="H1251" i="3" s="1"/>
  <c r="J1251" i="3" l="1"/>
  <c r="I1251" i="3"/>
  <c r="K1251" i="3" l="1"/>
  <c r="Q1251" i="3" s="1"/>
  <c r="R1251" i="3" s="1"/>
  <c r="L1251" i="3"/>
  <c r="M1251" i="3" l="1"/>
  <c r="N1251" i="3"/>
  <c r="F1252" i="3"/>
  <c r="G1252" i="3" s="1"/>
  <c r="H1252" i="3" s="1"/>
  <c r="J1252" i="3" l="1"/>
  <c r="I1252" i="3"/>
  <c r="K1252" i="3" l="1"/>
  <c r="Q1252" i="3" s="1"/>
  <c r="R1252" i="3" s="1"/>
  <c r="L1252" i="3"/>
  <c r="N1252" i="3" l="1"/>
  <c r="M1252" i="3"/>
  <c r="F1253" i="3"/>
  <c r="G1253" i="3" s="1"/>
  <c r="H1253" i="3" s="1"/>
  <c r="J1253" i="3" l="1"/>
  <c r="I1253" i="3"/>
  <c r="L1253" i="3" l="1"/>
  <c r="K1253" i="3"/>
  <c r="Q1253" i="3" s="1"/>
  <c r="R1253" i="3" s="1"/>
  <c r="F1254" i="3" l="1"/>
  <c r="G1254" i="3" s="1"/>
  <c r="H1254" i="3" s="1"/>
  <c r="M1253" i="3"/>
  <c r="N1253" i="3"/>
  <c r="I1254" i="3" l="1"/>
  <c r="J1254" i="3"/>
  <c r="K1254" i="3" l="1"/>
  <c r="Q1254" i="3" s="1"/>
  <c r="R1254" i="3" s="1"/>
  <c r="L1254" i="3"/>
  <c r="N1254" i="3" l="1"/>
  <c r="M1254" i="3"/>
  <c r="F1255" i="3"/>
  <c r="G1255" i="3" s="1"/>
  <c r="H1255" i="3" s="1"/>
  <c r="J1255" i="3" l="1"/>
  <c r="I1255" i="3"/>
  <c r="L1255" i="3" l="1"/>
  <c r="K1255" i="3"/>
  <c r="Q1255" i="3" s="1"/>
  <c r="R1255" i="3" s="1"/>
  <c r="N1255" i="3" l="1"/>
  <c r="M1255" i="3"/>
  <c r="F1256" i="3"/>
  <c r="G1256" i="3" s="1"/>
  <c r="H1256" i="3" s="1"/>
  <c r="I1256" i="3" l="1"/>
  <c r="J1256" i="3"/>
  <c r="K1256" i="3" l="1"/>
  <c r="Q1256" i="3" s="1"/>
  <c r="R1256" i="3" s="1"/>
  <c r="L1256" i="3"/>
  <c r="N1256" i="3" l="1"/>
  <c r="M1256" i="3"/>
  <c r="F1257" i="3"/>
  <c r="G1257" i="3" s="1"/>
  <c r="H1257" i="3" s="1"/>
  <c r="I1257" i="3" l="1"/>
  <c r="J1257" i="3"/>
  <c r="K1257" i="3" l="1"/>
  <c r="Q1257" i="3" s="1"/>
  <c r="R1257" i="3" s="1"/>
  <c r="L1257" i="3"/>
  <c r="M1257" i="3" l="1"/>
  <c r="N1257" i="3"/>
  <c r="F1258" i="3"/>
  <c r="G1258" i="3" s="1"/>
  <c r="H1258" i="3" s="1"/>
  <c r="J1258" i="3" l="1"/>
  <c r="I1258" i="3"/>
  <c r="K1258" i="3" l="1"/>
  <c r="Q1258" i="3" s="1"/>
  <c r="R1258" i="3" s="1"/>
  <c r="L1258" i="3"/>
  <c r="M1258" i="3" l="1"/>
  <c r="N1258" i="3"/>
  <c r="F1259" i="3"/>
  <c r="G1259" i="3" s="1"/>
  <c r="H1259" i="3" s="1"/>
  <c r="J1259" i="3" l="1"/>
  <c r="I1259" i="3"/>
  <c r="K1259" i="3" l="1"/>
  <c r="Q1259" i="3" s="1"/>
  <c r="R1259" i="3" s="1"/>
  <c r="L1259" i="3"/>
  <c r="N1259" i="3" l="1"/>
  <c r="M1259" i="3"/>
  <c r="F1260" i="3"/>
  <c r="G1260" i="3" s="1"/>
  <c r="H1260" i="3" s="1"/>
  <c r="J1260" i="3" l="1"/>
  <c r="I1260" i="3"/>
  <c r="K1260" i="3" l="1"/>
  <c r="Q1260" i="3" s="1"/>
  <c r="R1260" i="3" s="1"/>
  <c r="L1260" i="3"/>
  <c r="M1260" i="3" l="1"/>
  <c r="N1260" i="3"/>
  <c r="F1261" i="3"/>
  <c r="G1261" i="3" s="1"/>
  <c r="H1261" i="3" s="1"/>
  <c r="I1261" i="3" l="1"/>
  <c r="J1261" i="3"/>
  <c r="K1261" i="3" l="1"/>
  <c r="Q1261" i="3" s="1"/>
  <c r="R1261" i="3" s="1"/>
  <c r="L1261" i="3"/>
  <c r="M1261" i="3" l="1"/>
  <c r="N1261" i="3"/>
  <c r="F1262" i="3"/>
  <c r="G1262" i="3" s="1"/>
  <c r="H1262" i="3" s="1"/>
  <c r="I1262" i="3" l="1"/>
  <c r="J1262" i="3"/>
  <c r="L1262" i="3" l="1"/>
  <c r="K1262" i="3"/>
  <c r="Q1262" i="3" s="1"/>
  <c r="R1262" i="3" s="1"/>
  <c r="F1263" i="3" l="1"/>
  <c r="G1263" i="3" s="1"/>
  <c r="H1263" i="3" s="1"/>
  <c r="M1262" i="3"/>
  <c r="N1262" i="3"/>
  <c r="I1263" i="3" l="1"/>
  <c r="J1263" i="3"/>
  <c r="L1263" i="3" l="1"/>
  <c r="K1263" i="3"/>
  <c r="Q1263" i="3" s="1"/>
  <c r="R1263" i="3" s="1"/>
  <c r="F1264" i="3" l="1"/>
  <c r="G1264" i="3" s="1"/>
  <c r="H1264" i="3" s="1"/>
  <c r="N1263" i="3"/>
  <c r="M1263" i="3"/>
  <c r="J1264" i="3" l="1"/>
  <c r="I1264" i="3"/>
  <c r="K1264" i="3" l="1"/>
  <c r="Q1264" i="3" s="1"/>
  <c r="R1264" i="3" s="1"/>
  <c r="L1264" i="3"/>
  <c r="N1264" i="3" l="1"/>
  <c r="M1264" i="3"/>
  <c r="F1265" i="3"/>
  <c r="G1265" i="3" s="1"/>
  <c r="H1265" i="3" s="1"/>
  <c r="J1265" i="3" l="1"/>
  <c r="I1265" i="3"/>
  <c r="K1265" i="3" l="1"/>
  <c r="Q1265" i="3" s="1"/>
  <c r="R1265" i="3" s="1"/>
  <c r="L1265" i="3"/>
  <c r="M1265" i="3" l="1"/>
  <c r="N1265" i="3"/>
  <c r="F1266" i="3"/>
  <c r="G1266" i="3" s="1"/>
  <c r="H1266" i="3" s="1"/>
  <c r="I1266" i="3" l="1"/>
  <c r="J1266" i="3"/>
  <c r="L1266" i="3" l="1"/>
  <c r="K1266" i="3"/>
  <c r="Q1266" i="3" s="1"/>
  <c r="R1266" i="3" s="1"/>
  <c r="F1267" i="3" l="1"/>
  <c r="G1267" i="3" s="1"/>
  <c r="H1267" i="3" s="1"/>
  <c r="M1266" i="3"/>
  <c r="N1266" i="3"/>
  <c r="J1267" i="3" l="1"/>
  <c r="I1267" i="3"/>
  <c r="K1267" i="3" l="1"/>
  <c r="Q1267" i="3" s="1"/>
  <c r="R1267" i="3" s="1"/>
  <c r="L1267" i="3"/>
  <c r="N1267" i="3" l="1"/>
  <c r="M1267" i="3"/>
  <c r="F1268" i="3"/>
  <c r="G1268" i="3" s="1"/>
  <c r="H1268" i="3" s="1"/>
  <c r="J1268" i="3" l="1"/>
  <c r="I1268" i="3"/>
  <c r="L1268" i="3" l="1"/>
  <c r="K1268" i="3"/>
  <c r="Q1268" i="3" s="1"/>
  <c r="R1268" i="3" s="1"/>
  <c r="F1269" i="3" l="1"/>
  <c r="G1269" i="3" s="1"/>
  <c r="H1269" i="3" s="1"/>
  <c r="M1268" i="3"/>
  <c r="N1268" i="3"/>
  <c r="I1269" i="3" l="1"/>
  <c r="J1269" i="3"/>
  <c r="K1269" i="3" l="1"/>
  <c r="Q1269" i="3" s="1"/>
  <c r="R1269" i="3" s="1"/>
  <c r="L1269" i="3"/>
  <c r="M1269" i="3" l="1"/>
  <c r="N1269" i="3"/>
  <c r="F1270" i="3"/>
  <c r="G1270" i="3" s="1"/>
  <c r="H1270" i="3" s="1"/>
  <c r="I1270" i="3" l="1"/>
  <c r="J1270" i="3"/>
  <c r="K1270" i="3" l="1"/>
  <c r="Q1270" i="3" s="1"/>
  <c r="R1270" i="3" s="1"/>
  <c r="L1270" i="3"/>
  <c r="M1270" i="3" l="1"/>
  <c r="N1270" i="3"/>
  <c r="F1271" i="3"/>
  <c r="G1271" i="3" s="1"/>
  <c r="H1271" i="3" s="1"/>
  <c r="J1271" i="3" l="1"/>
  <c r="I1271" i="3"/>
  <c r="L1271" i="3" l="1"/>
  <c r="K1271" i="3"/>
  <c r="Q1271" i="3" s="1"/>
  <c r="R1271" i="3" s="1"/>
  <c r="F1272" i="3" l="1"/>
  <c r="G1272" i="3" s="1"/>
  <c r="H1272" i="3" s="1"/>
  <c r="M1271" i="3"/>
  <c r="N1271" i="3"/>
  <c r="J1272" i="3" l="1"/>
  <c r="I1272" i="3"/>
  <c r="L1272" i="3" l="1"/>
  <c r="K1272" i="3"/>
  <c r="Q1272" i="3" s="1"/>
  <c r="R1272" i="3" s="1"/>
  <c r="F1273" i="3" l="1"/>
  <c r="G1273" i="3" s="1"/>
  <c r="H1273" i="3" s="1"/>
  <c r="N1272" i="3"/>
  <c r="M1272" i="3"/>
  <c r="I1273" i="3" l="1"/>
  <c r="J1273" i="3"/>
  <c r="K1273" i="3" l="1"/>
  <c r="Q1273" i="3" s="1"/>
  <c r="R1273" i="3" s="1"/>
  <c r="L1273" i="3"/>
  <c r="N1273" i="3" l="1"/>
  <c r="M1273" i="3"/>
  <c r="F1274" i="3"/>
  <c r="G1274" i="3" s="1"/>
  <c r="H1274" i="3" s="1"/>
  <c r="J1274" i="3" l="1"/>
  <c r="I1274" i="3"/>
  <c r="L1274" i="3" l="1"/>
  <c r="K1274" i="3"/>
  <c r="Q1274" i="3" s="1"/>
  <c r="R1274" i="3" s="1"/>
  <c r="F1275" i="3" l="1"/>
  <c r="G1275" i="3" s="1"/>
  <c r="H1275" i="3" s="1"/>
  <c r="N1274" i="3"/>
  <c r="M1274" i="3"/>
  <c r="I1275" i="3" l="1"/>
  <c r="J1275" i="3"/>
  <c r="K1275" i="3" l="1"/>
  <c r="Q1275" i="3" s="1"/>
  <c r="R1275" i="3" s="1"/>
  <c r="L1275" i="3"/>
  <c r="M1275" i="3" l="1"/>
  <c r="N1275" i="3"/>
  <c r="F1276" i="3"/>
  <c r="G1276" i="3" s="1"/>
  <c r="H1276" i="3" s="1"/>
  <c r="J1276" i="3" l="1"/>
  <c r="I1276" i="3"/>
  <c r="L1276" i="3" l="1"/>
  <c r="K1276" i="3"/>
  <c r="Q1276" i="3" s="1"/>
  <c r="R1276" i="3" s="1"/>
  <c r="F1277" i="3" l="1"/>
  <c r="G1277" i="3" s="1"/>
  <c r="H1277" i="3" s="1"/>
  <c r="M1276" i="3"/>
  <c r="N1276" i="3"/>
  <c r="I1277" i="3" l="1"/>
  <c r="J1277" i="3"/>
  <c r="L1277" i="3" l="1"/>
  <c r="K1277" i="3"/>
  <c r="Q1277" i="3" s="1"/>
  <c r="R1277" i="3" s="1"/>
  <c r="F1278" i="3" l="1"/>
  <c r="G1278" i="3" s="1"/>
  <c r="H1278" i="3" s="1"/>
  <c r="M1277" i="3"/>
  <c r="N1277" i="3"/>
  <c r="J1278" i="3" l="1"/>
  <c r="I1278" i="3"/>
  <c r="L1278" i="3" l="1"/>
  <c r="K1278" i="3"/>
  <c r="Q1278" i="3" s="1"/>
  <c r="R1278" i="3" s="1"/>
  <c r="F1279" i="3" l="1"/>
  <c r="G1279" i="3" s="1"/>
  <c r="H1279" i="3" s="1"/>
  <c r="M1278" i="3"/>
  <c r="N1278" i="3"/>
  <c r="I1279" i="3" l="1"/>
  <c r="J1279" i="3"/>
  <c r="L1279" i="3" l="1"/>
  <c r="K1279" i="3"/>
  <c r="Q1279" i="3" s="1"/>
  <c r="R1279" i="3" s="1"/>
  <c r="F1280" i="3" l="1"/>
  <c r="G1280" i="3" s="1"/>
  <c r="H1280" i="3" s="1"/>
  <c r="N1279" i="3"/>
  <c r="M1279" i="3"/>
  <c r="J1280" i="3" l="1"/>
  <c r="I1280" i="3"/>
  <c r="L1280" i="3" l="1"/>
  <c r="K1280" i="3"/>
  <c r="Q1280" i="3" s="1"/>
  <c r="R1280" i="3" s="1"/>
  <c r="F1281" i="3" l="1"/>
  <c r="G1281" i="3" s="1"/>
  <c r="H1281" i="3" s="1"/>
  <c r="M1280" i="3"/>
  <c r="N1280" i="3"/>
  <c r="J1281" i="3" l="1"/>
  <c r="I1281" i="3"/>
  <c r="L1281" i="3" l="1"/>
  <c r="K1281" i="3"/>
  <c r="Q1281" i="3" s="1"/>
  <c r="R1281" i="3" s="1"/>
  <c r="F1282" i="3" l="1"/>
  <c r="G1282" i="3" s="1"/>
  <c r="H1282" i="3" s="1"/>
  <c r="M1281" i="3"/>
  <c r="N1281" i="3"/>
  <c r="I1282" i="3" l="1"/>
  <c r="J1282" i="3"/>
  <c r="K1282" i="3" l="1"/>
  <c r="Q1282" i="3" s="1"/>
  <c r="R1282" i="3" s="1"/>
  <c r="L1282" i="3"/>
  <c r="M1282" i="3" l="1"/>
  <c r="N1282" i="3"/>
  <c r="F1283" i="3"/>
  <c r="G1283" i="3" s="1"/>
  <c r="H1283" i="3" s="1"/>
  <c r="J1283" i="3" l="1"/>
  <c r="I1283" i="3"/>
  <c r="L1283" i="3" l="1"/>
  <c r="K1283" i="3"/>
  <c r="Q1283" i="3" s="1"/>
  <c r="R1283" i="3" s="1"/>
  <c r="F1284" i="3" l="1"/>
  <c r="G1284" i="3" s="1"/>
  <c r="H1284" i="3" s="1"/>
  <c r="N1283" i="3"/>
  <c r="M1283" i="3"/>
  <c r="J1284" i="3" l="1"/>
  <c r="I1284" i="3"/>
  <c r="K1284" i="3" l="1"/>
  <c r="Q1284" i="3" s="1"/>
  <c r="R1284" i="3" s="1"/>
  <c r="L1284" i="3"/>
  <c r="N1284" i="3" l="1"/>
  <c r="M1284" i="3"/>
  <c r="F1285" i="3"/>
  <c r="G1285" i="3" s="1"/>
  <c r="H1285" i="3" s="1"/>
  <c r="I1285" i="3" l="1"/>
  <c r="J1285" i="3"/>
  <c r="L1285" i="3" l="1"/>
  <c r="K1285" i="3"/>
  <c r="Q1285" i="3" s="1"/>
  <c r="R1285" i="3" s="1"/>
  <c r="F1286" i="3" l="1"/>
  <c r="G1286" i="3" s="1"/>
  <c r="H1286" i="3" s="1"/>
  <c r="N1285" i="3"/>
  <c r="M1285" i="3"/>
  <c r="J1286" i="3" l="1"/>
  <c r="I1286" i="3"/>
  <c r="L1286" i="3" l="1"/>
  <c r="K1286" i="3"/>
  <c r="Q1286" i="3" s="1"/>
  <c r="R1286" i="3" s="1"/>
  <c r="F1287" i="3" l="1"/>
  <c r="G1287" i="3" s="1"/>
  <c r="H1287" i="3" s="1"/>
  <c r="N1286" i="3"/>
  <c r="M1286" i="3"/>
  <c r="J1287" i="3" l="1"/>
  <c r="I1287" i="3"/>
  <c r="K1287" i="3" l="1"/>
  <c r="Q1287" i="3" s="1"/>
  <c r="R1287" i="3" s="1"/>
  <c r="L1287" i="3"/>
  <c r="N1287" i="3" l="1"/>
  <c r="M1287" i="3"/>
  <c r="F1288" i="3"/>
  <c r="G1288" i="3" s="1"/>
  <c r="H1288" i="3" s="1"/>
  <c r="I1288" i="3" l="1"/>
  <c r="J1288" i="3"/>
  <c r="L1288" i="3" l="1"/>
  <c r="K1288" i="3"/>
  <c r="Q1288" i="3" s="1"/>
  <c r="R1288" i="3" s="1"/>
  <c r="F1289" i="3" l="1"/>
  <c r="G1289" i="3" s="1"/>
  <c r="H1289" i="3" s="1"/>
  <c r="M1288" i="3"/>
  <c r="N1288" i="3"/>
  <c r="I1289" i="3" l="1"/>
  <c r="J1289" i="3"/>
  <c r="L1289" i="3" l="1"/>
  <c r="K1289" i="3"/>
  <c r="Q1289" i="3" s="1"/>
  <c r="R1289" i="3" s="1"/>
  <c r="F1290" i="3" l="1"/>
  <c r="G1290" i="3" s="1"/>
  <c r="H1290" i="3" s="1"/>
  <c r="N1289" i="3"/>
  <c r="M1289" i="3"/>
  <c r="J1290" i="3" l="1"/>
  <c r="I1290" i="3"/>
  <c r="L1290" i="3" l="1"/>
  <c r="K1290" i="3"/>
  <c r="Q1290" i="3" s="1"/>
  <c r="R1290" i="3" s="1"/>
  <c r="F1291" i="3" l="1"/>
  <c r="G1291" i="3" s="1"/>
  <c r="H1291" i="3" s="1"/>
  <c r="N1290" i="3"/>
  <c r="M1290" i="3"/>
  <c r="J1291" i="3" l="1"/>
  <c r="I1291" i="3"/>
  <c r="L1291" i="3" l="1"/>
  <c r="K1291" i="3"/>
  <c r="Q1291" i="3" s="1"/>
  <c r="R1291" i="3" s="1"/>
  <c r="F1292" i="3" l="1"/>
  <c r="G1292" i="3" s="1"/>
  <c r="H1292" i="3" s="1"/>
  <c r="N1291" i="3"/>
  <c r="M1291" i="3"/>
  <c r="I1292" i="3" l="1"/>
  <c r="J1292" i="3"/>
  <c r="L1292" i="3" l="1"/>
  <c r="K1292" i="3"/>
  <c r="Q1292" i="3" s="1"/>
  <c r="R1292" i="3" s="1"/>
  <c r="F1293" i="3" l="1"/>
  <c r="G1293" i="3" s="1"/>
  <c r="H1293" i="3" s="1"/>
  <c r="M1292" i="3"/>
  <c r="N1292" i="3"/>
  <c r="I1293" i="3" l="1"/>
  <c r="J1293" i="3"/>
  <c r="K1293" i="3" l="1"/>
  <c r="Q1293" i="3" s="1"/>
  <c r="R1293" i="3" s="1"/>
  <c r="L1293" i="3"/>
  <c r="N1293" i="3" l="1"/>
  <c r="M1293" i="3"/>
  <c r="F1294" i="3"/>
  <c r="G1294" i="3" s="1"/>
  <c r="H1294" i="3" s="1"/>
  <c r="J1294" i="3" l="1"/>
  <c r="I1294" i="3"/>
  <c r="K1294" i="3" l="1"/>
  <c r="Q1294" i="3" s="1"/>
  <c r="R1294" i="3" s="1"/>
  <c r="L1294" i="3"/>
  <c r="M1294" i="3" l="1"/>
  <c r="N1294" i="3"/>
  <c r="F1295" i="3"/>
  <c r="G1295" i="3" s="1"/>
  <c r="H1295" i="3" s="1"/>
  <c r="J1295" i="3" l="1"/>
  <c r="I1295" i="3"/>
  <c r="K1295" i="3" l="1"/>
  <c r="Q1295" i="3" s="1"/>
  <c r="R1295" i="3" s="1"/>
  <c r="L1295" i="3"/>
  <c r="M1295" i="3" l="1"/>
  <c r="N1295" i="3"/>
  <c r="F1296" i="3"/>
  <c r="G1296" i="3" s="1"/>
  <c r="H1296" i="3" s="1"/>
  <c r="J1296" i="3" l="1"/>
  <c r="I1296" i="3"/>
  <c r="L1296" i="3" l="1"/>
  <c r="K1296" i="3"/>
  <c r="Q1296" i="3" s="1"/>
  <c r="R1296" i="3" s="1"/>
  <c r="F1297" i="3" l="1"/>
  <c r="G1297" i="3" s="1"/>
  <c r="H1297" i="3" s="1"/>
  <c r="N1296" i="3"/>
  <c r="M1296" i="3"/>
  <c r="I1297" i="3" l="1"/>
  <c r="J1297" i="3"/>
  <c r="K1297" i="3" l="1"/>
  <c r="Q1297" i="3" s="1"/>
  <c r="R1297" i="3" s="1"/>
  <c r="L1297" i="3"/>
  <c r="N1297" i="3" l="1"/>
  <c r="M1297" i="3"/>
  <c r="F1298" i="3"/>
  <c r="G1298" i="3" s="1"/>
  <c r="H1298" i="3" s="1"/>
  <c r="J1298" i="3" l="1"/>
  <c r="I1298" i="3"/>
  <c r="L1298" i="3" l="1"/>
  <c r="K1298" i="3"/>
  <c r="Q1298" i="3" s="1"/>
  <c r="R1298" i="3" s="1"/>
  <c r="F1299" i="3" l="1"/>
  <c r="G1299" i="3" s="1"/>
  <c r="H1299" i="3" s="1"/>
  <c r="N1298" i="3"/>
  <c r="M1298" i="3"/>
  <c r="I1299" i="3" l="1"/>
  <c r="J1299" i="3"/>
  <c r="K1299" i="3" l="1"/>
  <c r="Q1299" i="3" s="1"/>
  <c r="R1299" i="3" s="1"/>
  <c r="L1299" i="3"/>
  <c r="M1299" i="3" l="1"/>
  <c r="N1299" i="3"/>
  <c r="F1300" i="3"/>
  <c r="G1300" i="3" s="1"/>
  <c r="H1300" i="3" s="1"/>
  <c r="J1300" i="3" l="1"/>
  <c r="I1300" i="3"/>
  <c r="K1300" i="3" l="1"/>
  <c r="Q1300" i="3" s="1"/>
  <c r="R1300" i="3" s="1"/>
  <c r="L1300" i="3"/>
  <c r="N1300" i="3" l="1"/>
  <c r="M1300" i="3"/>
  <c r="F1301" i="3"/>
  <c r="G1301" i="3" s="1"/>
  <c r="H1301" i="3" s="1"/>
  <c r="J1301" i="3" l="1"/>
  <c r="I1301" i="3"/>
  <c r="K1301" i="3" l="1"/>
  <c r="Q1301" i="3" s="1"/>
  <c r="R1301" i="3" s="1"/>
  <c r="L1301" i="3"/>
  <c r="N1301" i="3" l="1"/>
  <c r="M1301" i="3"/>
  <c r="F1302" i="3"/>
  <c r="G1302" i="3" s="1"/>
  <c r="H1302" i="3" s="1"/>
  <c r="J1302" i="3" l="1"/>
  <c r="I1302" i="3"/>
  <c r="L1302" i="3" l="1"/>
  <c r="K1302" i="3"/>
  <c r="Q1302" i="3" s="1"/>
  <c r="R1302" i="3" s="1"/>
  <c r="F1303" i="3" l="1"/>
  <c r="G1303" i="3" s="1"/>
  <c r="H1303" i="3" s="1"/>
  <c r="M1302" i="3"/>
  <c r="N1302" i="3"/>
  <c r="I1303" i="3" l="1"/>
  <c r="J1303" i="3"/>
  <c r="K1303" i="3" l="1"/>
  <c r="Q1303" i="3" s="1"/>
  <c r="R1303" i="3" s="1"/>
  <c r="L1303" i="3"/>
  <c r="N1303" i="3" l="1"/>
  <c r="M1303" i="3"/>
  <c r="F1304" i="3"/>
  <c r="G1304" i="3" s="1"/>
  <c r="H1304" i="3" s="1"/>
  <c r="J1304" i="3" l="1"/>
  <c r="I1304" i="3"/>
  <c r="K1304" i="3" l="1"/>
  <c r="Q1304" i="3" s="1"/>
  <c r="R1304" i="3" s="1"/>
  <c r="L1304" i="3"/>
  <c r="N1304" i="3" l="1"/>
  <c r="M1304" i="3"/>
  <c r="F1305" i="3"/>
  <c r="G1305" i="3" s="1"/>
  <c r="H1305" i="3" s="1"/>
  <c r="J1305" i="3" l="1"/>
  <c r="I1305" i="3"/>
  <c r="K1305" i="3" l="1"/>
  <c r="Q1305" i="3" s="1"/>
  <c r="R1305" i="3" s="1"/>
  <c r="L1305" i="3"/>
  <c r="N1305" i="3" l="1"/>
  <c r="M1305" i="3"/>
  <c r="F1306" i="3"/>
  <c r="G1306" i="3" s="1"/>
  <c r="H1306" i="3" s="1"/>
  <c r="J1306" i="3" l="1"/>
  <c r="I1306" i="3"/>
  <c r="K1306" i="3" l="1"/>
  <c r="Q1306" i="3" s="1"/>
  <c r="R1306" i="3" s="1"/>
  <c r="L1306" i="3"/>
  <c r="M1306" i="3" l="1"/>
  <c r="N1306" i="3"/>
  <c r="F1307" i="3"/>
  <c r="G1307" i="3" s="1"/>
  <c r="H1307" i="3" s="1"/>
  <c r="J1307" i="3" l="1"/>
  <c r="I1307" i="3"/>
  <c r="L1307" i="3" l="1"/>
  <c r="K1307" i="3"/>
  <c r="Q1307" i="3" s="1"/>
  <c r="R1307" i="3" s="1"/>
  <c r="F1308" i="3" l="1"/>
  <c r="G1308" i="3" s="1"/>
  <c r="H1308" i="3" s="1"/>
  <c r="N1307" i="3"/>
  <c r="M1307" i="3"/>
  <c r="I1308" i="3" l="1"/>
  <c r="J1308" i="3"/>
  <c r="L1308" i="3" l="1"/>
  <c r="K1308" i="3"/>
  <c r="Q1308" i="3" s="1"/>
  <c r="R1308" i="3" s="1"/>
  <c r="F1309" i="3" s="1"/>
  <c r="G1309" i="3" s="1"/>
  <c r="H1309" i="3" s="1"/>
  <c r="J1309" i="3" l="1"/>
  <c r="I1309" i="3"/>
  <c r="N1308" i="3"/>
  <c r="M1308" i="3"/>
  <c r="K1309" i="3" l="1"/>
  <c r="Q1309" i="3" s="1"/>
  <c r="R1309" i="3" s="1"/>
  <c r="L1309" i="3"/>
  <c r="M1309" i="3" l="1"/>
  <c r="N1309" i="3"/>
</calcChain>
</file>

<file path=xl/sharedStrings.xml><?xml version="1.0" encoding="utf-8"?>
<sst xmlns="http://schemas.openxmlformats.org/spreadsheetml/2006/main" count="35" uniqueCount="35">
  <si>
    <t>m</t>
  </si>
  <si>
    <t>k</t>
  </si>
  <si>
    <t>A</t>
  </si>
  <si>
    <t>X</t>
  </si>
  <si>
    <t>z</t>
  </si>
  <si>
    <t>cell No</t>
  </si>
  <si>
    <t>moulation (m)</t>
  </si>
  <si>
    <t>x</t>
  </si>
  <si>
    <t>y</t>
  </si>
  <si>
    <t>L</t>
  </si>
  <si>
    <t>KV</t>
  </si>
  <si>
    <t>const</t>
  </si>
  <si>
    <t>Energy</t>
  </si>
  <si>
    <t>Phase</t>
  </si>
  <si>
    <t>m/s</t>
  </si>
  <si>
    <t>Initial energy (keV/u)</t>
  </si>
  <si>
    <t>Final energy (keV/u)</t>
  </si>
  <si>
    <t>Hz</t>
  </si>
  <si>
    <t>1 degree=</t>
  </si>
  <si>
    <t>A/q =</t>
  </si>
  <si>
    <t>modulation (m)</t>
  </si>
  <si>
    <t>cell no.</t>
  </si>
  <si>
    <t>phase</t>
  </si>
  <si>
    <t>beta</t>
  </si>
  <si>
    <t>Frequency =</t>
  </si>
  <si>
    <t xml:space="preserve">wavelength (λ) = </t>
  </si>
  <si>
    <t xml:space="preserve">c = </t>
  </si>
  <si>
    <r>
      <t>V</t>
    </r>
    <r>
      <rPr>
        <sz val="8"/>
        <color theme="1"/>
        <rFont val="Calibri"/>
        <family val="2"/>
        <scheme val="minor"/>
      </rPr>
      <t xml:space="preserve">0 =  </t>
    </r>
  </si>
  <si>
    <t>a (m) =</t>
  </si>
  <si>
    <t>x equation</t>
  </si>
  <si>
    <t>y equation</t>
  </si>
  <si>
    <t xml:space="preserve"> W = qV0(pi/4)I0(kr) cos(Q)</t>
  </si>
  <si>
    <r>
      <t>I</t>
    </r>
    <r>
      <rPr>
        <sz val="8"/>
        <color theme="1"/>
        <rFont val="Calibri"/>
        <family val="2"/>
        <scheme val="minor"/>
      </rPr>
      <t>0</t>
    </r>
    <r>
      <rPr>
        <sz val="14"/>
        <color theme="1"/>
        <rFont val="Calibri"/>
        <family val="2"/>
        <scheme val="minor"/>
      </rPr>
      <t>(ka)</t>
    </r>
  </si>
  <si>
    <r>
      <t>I</t>
    </r>
    <r>
      <rPr>
        <sz val="8"/>
        <color theme="1"/>
        <rFont val="Calibri"/>
        <family val="2"/>
        <scheme val="minor"/>
      </rPr>
      <t>0</t>
    </r>
    <r>
      <rPr>
        <sz val="14"/>
        <color theme="1"/>
        <rFont val="Calibri"/>
        <family val="2"/>
        <scheme val="minor"/>
      </rPr>
      <t>(kma)</t>
    </r>
  </si>
  <si>
    <t>(kev/u)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</si>
</sst>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2" borderId="1"/>
  </cellStyleXfs>
  <cellXfs count="5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4" fillId="0" borderId="0" xfId="0" applyFont="1"/>
    <xf numFmtId="0" fontId="0" fillId="0" borderId="0" xfId="0" applyAlignment="1">
      <alignment horizontal="center" vertical="center"/>
    </xf>
  </cellXfs>
  <cellStyles count="2">
    <cellStyle name="Normal" xfId="0" builtinId="0" customBuiltin="1"/>
    <cellStyle name="Style 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3"/>
          <c:order val="0"/>
          <c:tx>
            <c:strRef>
              <c:f>Sheet3!$O$1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Sheet3!$A$2:$A$1309</c:f>
              <c:numCache>
                <c:formatCode>General</c:formatCode>
                <c:ptCount val="1308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1.7999999999999999E-2</c:v>
                </c:pt>
                <c:pt idx="9">
                  <c:v>0.02</c:v>
                </c:pt>
                <c:pt idx="10">
                  <c:v>2.1999999999999999E-2</c:v>
                </c:pt>
                <c:pt idx="11">
                  <c:v>2.4E-2</c:v>
                </c:pt>
                <c:pt idx="12">
                  <c:v>2.5999999999999999E-2</c:v>
                </c:pt>
                <c:pt idx="13">
                  <c:v>2.8000000000000001E-2</c:v>
                </c:pt>
                <c:pt idx="14">
                  <c:v>0.03</c:v>
                </c:pt>
                <c:pt idx="15">
                  <c:v>3.2000000000000001E-2</c:v>
                </c:pt>
                <c:pt idx="16">
                  <c:v>3.4000000000000002E-2</c:v>
                </c:pt>
                <c:pt idx="17">
                  <c:v>3.5999999999999997E-2</c:v>
                </c:pt>
                <c:pt idx="18">
                  <c:v>3.7999999999999999E-2</c:v>
                </c:pt>
                <c:pt idx="19">
                  <c:v>0.04</c:v>
                </c:pt>
                <c:pt idx="20">
                  <c:v>4.2000000000000003E-2</c:v>
                </c:pt>
                <c:pt idx="21">
                  <c:v>4.3999999999999997E-2</c:v>
                </c:pt>
                <c:pt idx="22">
                  <c:v>4.5999999999999999E-2</c:v>
                </c:pt>
                <c:pt idx="23">
                  <c:v>4.8000000000000001E-2</c:v>
                </c:pt>
                <c:pt idx="24">
                  <c:v>0.05</c:v>
                </c:pt>
                <c:pt idx="25">
                  <c:v>5.1999999999999998E-2</c:v>
                </c:pt>
                <c:pt idx="26">
                  <c:v>5.3999999999999999E-2</c:v>
                </c:pt>
                <c:pt idx="27">
                  <c:v>5.6000000000000001E-2</c:v>
                </c:pt>
                <c:pt idx="28">
                  <c:v>5.8000000000000003E-2</c:v>
                </c:pt>
                <c:pt idx="29">
                  <c:v>0.06</c:v>
                </c:pt>
                <c:pt idx="30">
                  <c:v>6.2E-2</c:v>
                </c:pt>
                <c:pt idx="31">
                  <c:v>6.4000000000000001E-2</c:v>
                </c:pt>
                <c:pt idx="32">
                  <c:v>6.6000000000000003E-2</c:v>
                </c:pt>
                <c:pt idx="33">
                  <c:v>6.8000000000000005E-2</c:v>
                </c:pt>
                <c:pt idx="34">
                  <c:v>7.0000000000000007E-2</c:v>
                </c:pt>
                <c:pt idx="35">
                  <c:v>7.1999999999999995E-2</c:v>
                </c:pt>
                <c:pt idx="36">
                  <c:v>7.3999999999999996E-2</c:v>
                </c:pt>
                <c:pt idx="37">
                  <c:v>7.5999999999999998E-2</c:v>
                </c:pt>
                <c:pt idx="38">
                  <c:v>7.8E-2</c:v>
                </c:pt>
                <c:pt idx="39">
                  <c:v>0.08</c:v>
                </c:pt>
                <c:pt idx="40">
                  <c:v>8.2000000000000003E-2</c:v>
                </c:pt>
                <c:pt idx="41">
                  <c:v>8.4000000000000005E-2</c:v>
                </c:pt>
                <c:pt idx="42">
                  <c:v>8.5999999999999993E-2</c:v>
                </c:pt>
                <c:pt idx="43">
                  <c:v>8.7999999999999995E-2</c:v>
                </c:pt>
                <c:pt idx="44">
                  <c:v>0.09</c:v>
                </c:pt>
                <c:pt idx="45">
                  <c:v>9.1999999999999998E-2</c:v>
                </c:pt>
                <c:pt idx="46">
                  <c:v>9.4E-2</c:v>
                </c:pt>
                <c:pt idx="47">
                  <c:v>9.6000000000000002E-2</c:v>
                </c:pt>
                <c:pt idx="48">
                  <c:v>9.8000000000000004E-2</c:v>
                </c:pt>
                <c:pt idx="49">
                  <c:v>0.1</c:v>
                </c:pt>
                <c:pt idx="50">
                  <c:v>0.10199999999999999</c:v>
                </c:pt>
                <c:pt idx="51">
                  <c:v>0.104</c:v>
                </c:pt>
                <c:pt idx="52">
                  <c:v>0.106</c:v>
                </c:pt>
                <c:pt idx="53">
                  <c:v>0.108</c:v>
                </c:pt>
                <c:pt idx="54">
                  <c:v>0.11</c:v>
                </c:pt>
                <c:pt idx="55">
                  <c:v>0.112</c:v>
                </c:pt>
                <c:pt idx="56">
                  <c:v>0.114</c:v>
                </c:pt>
                <c:pt idx="57">
                  <c:v>0.11600000000000001</c:v>
                </c:pt>
                <c:pt idx="58">
                  <c:v>0.11799999999999999</c:v>
                </c:pt>
                <c:pt idx="59">
                  <c:v>0.12</c:v>
                </c:pt>
                <c:pt idx="60">
                  <c:v>0.122</c:v>
                </c:pt>
                <c:pt idx="61">
                  <c:v>0.124</c:v>
                </c:pt>
                <c:pt idx="62">
                  <c:v>0.126</c:v>
                </c:pt>
                <c:pt idx="63">
                  <c:v>0.128</c:v>
                </c:pt>
                <c:pt idx="64">
                  <c:v>0.13</c:v>
                </c:pt>
                <c:pt idx="65">
                  <c:v>0.13200000000000001</c:v>
                </c:pt>
                <c:pt idx="66">
                  <c:v>0.13400000000000001</c:v>
                </c:pt>
                <c:pt idx="67">
                  <c:v>0.13600000000000001</c:v>
                </c:pt>
                <c:pt idx="68">
                  <c:v>0.13800000000000001</c:v>
                </c:pt>
                <c:pt idx="69">
                  <c:v>0.14000000000000001</c:v>
                </c:pt>
                <c:pt idx="70">
                  <c:v>0.14199999999999999</c:v>
                </c:pt>
                <c:pt idx="71">
                  <c:v>0.14399999999999999</c:v>
                </c:pt>
                <c:pt idx="72">
                  <c:v>0.14599999999999999</c:v>
                </c:pt>
                <c:pt idx="73">
                  <c:v>0.14799999999999999</c:v>
                </c:pt>
                <c:pt idx="74">
                  <c:v>0.15</c:v>
                </c:pt>
                <c:pt idx="75">
                  <c:v>0.152</c:v>
                </c:pt>
                <c:pt idx="76">
                  <c:v>0.154</c:v>
                </c:pt>
                <c:pt idx="77">
                  <c:v>0.156</c:v>
                </c:pt>
                <c:pt idx="78">
                  <c:v>0.158</c:v>
                </c:pt>
                <c:pt idx="79">
                  <c:v>0.16</c:v>
                </c:pt>
                <c:pt idx="80">
                  <c:v>0.16200000000000001</c:v>
                </c:pt>
                <c:pt idx="81">
                  <c:v>0.16400000000000001</c:v>
                </c:pt>
                <c:pt idx="82">
                  <c:v>0.16600000000000001</c:v>
                </c:pt>
                <c:pt idx="83">
                  <c:v>0.16800000000000001</c:v>
                </c:pt>
                <c:pt idx="84">
                  <c:v>0.17</c:v>
                </c:pt>
                <c:pt idx="85">
                  <c:v>0.17199999999999999</c:v>
                </c:pt>
                <c:pt idx="86">
                  <c:v>0.17399999999999999</c:v>
                </c:pt>
                <c:pt idx="87">
                  <c:v>0.17599999999999999</c:v>
                </c:pt>
                <c:pt idx="88">
                  <c:v>0.17799999999999999</c:v>
                </c:pt>
                <c:pt idx="89">
                  <c:v>0.18</c:v>
                </c:pt>
                <c:pt idx="90">
                  <c:v>0.182</c:v>
                </c:pt>
                <c:pt idx="91">
                  <c:v>0.184</c:v>
                </c:pt>
                <c:pt idx="92">
                  <c:v>0.186</c:v>
                </c:pt>
                <c:pt idx="93">
                  <c:v>0.188</c:v>
                </c:pt>
                <c:pt idx="94">
                  <c:v>0.19</c:v>
                </c:pt>
                <c:pt idx="95">
                  <c:v>0.192</c:v>
                </c:pt>
                <c:pt idx="96">
                  <c:v>0.19400000000000001</c:v>
                </c:pt>
                <c:pt idx="97">
                  <c:v>0.19600000000000001</c:v>
                </c:pt>
                <c:pt idx="98">
                  <c:v>0.19800000000000001</c:v>
                </c:pt>
                <c:pt idx="99">
                  <c:v>0.2</c:v>
                </c:pt>
                <c:pt idx="100">
                  <c:v>0.20200000000000001</c:v>
                </c:pt>
                <c:pt idx="101">
                  <c:v>0.20399999999999999</c:v>
                </c:pt>
                <c:pt idx="102">
                  <c:v>0.20599999999999999</c:v>
                </c:pt>
                <c:pt idx="103">
                  <c:v>0.20799999999999999</c:v>
                </c:pt>
                <c:pt idx="104">
                  <c:v>0.21</c:v>
                </c:pt>
                <c:pt idx="105">
                  <c:v>0.21199999999999999</c:v>
                </c:pt>
                <c:pt idx="106">
                  <c:v>0.214</c:v>
                </c:pt>
                <c:pt idx="107">
                  <c:v>0.216</c:v>
                </c:pt>
                <c:pt idx="108">
                  <c:v>0.218</c:v>
                </c:pt>
                <c:pt idx="109">
                  <c:v>0.22</c:v>
                </c:pt>
                <c:pt idx="110">
                  <c:v>0.222</c:v>
                </c:pt>
                <c:pt idx="111">
                  <c:v>0.224</c:v>
                </c:pt>
                <c:pt idx="112">
                  <c:v>0.22600000000000001</c:v>
                </c:pt>
                <c:pt idx="113">
                  <c:v>0.22800000000000001</c:v>
                </c:pt>
                <c:pt idx="114">
                  <c:v>0.23</c:v>
                </c:pt>
                <c:pt idx="115">
                  <c:v>0.23200000000000001</c:v>
                </c:pt>
                <c:pt idx="116">
                  <c:v>0.23400000000000001</c:v>
                </c:pt>
                <c:pt idx="117">
                  <c:v>0.23599999999999999</c:v>
                </c:pt>
                <c:pt idx="118">
                  <c:v>0.23799999999999999</c:v>
                </c:pt>
                <c:pt idx="119">
                  <c:v>0.24</c:v>
                </c:pt>
                <c:pt idx="120">
                  <c:v>0.24199999999999999</c:v>
                </c:pt>
                <c:pt idx="121">
                  <c:v>0.24399999999999999</c:v>
                </c:pt>
                <c:pt idx="122">
                  <c:v>0.246</c:v>
                </c:pt>
                <c:pt idx="123">
                  <c:v>0.248</c:v>
                </c:pt>
                <c:pt idx="124">
                  <c:v>0.25</c:v>
                </c:pt>
                <c:pt idx="125">
                  <c:v>0.252</c:v>
                </c:pt>
                <c:pt idx="126">
                  <c:v>0.254</c:v>
                </c:pt>
                <c:pt idx="127">
                  <c:v>0.25600000000000001</c:v>
                </c:pt>
                <c:pt idx="128">
                  <c:v>0.25800000000000001</c:v>
                </c:pt>
                <c:pt idx="129">
                  <c:v>0.26</c:v>
                </c:pt>
                <c:pt idx="130">
                  <c:v>0.26200000000000001</c:v>
                </c:pt>
                <c:pt idx="131">
                  <c:v>0.26400000000000001</c:v>
                </c:pt>
                <c:pt idx="132">
                  <c:v>0.26600000000000001</c:v>
                </c:pt>
                <c:pt idx="133">
                  <c:v>0.26800000000000002</c:v>
                </c:pt>
                <c:pt idx="134">
                  <c:v>0.27</c:v>
                </c:pt>
                <c:pt idx="135">
                  <c:v>0.27200000000000002</c:v>
                </c:pt>
                <c:pt idx="136">
                  <c:v>0.27400000000000002</c:v>
                </c:pt>
                <c:pt idx="137">
                  <c:v>0.27600000000000002</c:v>
                </c:pt>
                <c:pt idx="138">
                  <c:v>0.27800000000000002</c:v>
                </c:pt>
                <c:pt idx="139">
                  <c:v>0.28000000000000003</c:v>
                </c:pt>
                <c:pt idx="140">
                  <c:v>0.28199999999999997</c:v>
                </c:pt>
                <c:pt idx="141">
                  <c:v>0.28399999999999997</c:v>
                </c:pt>
                <c:pt idx="142">
                  <c:v>0.28599999999999998</c:v>
                </c:pt>
                <c:pt idx="143">
                  <c:v>0.28799999999999998</c:v>
                </c:pt>
                <c:pt idx="144">
                  <c:v>0.28999999999999998</c:v>
                </c:pt>
                <c:pt idx="145">
                  <c:v>0.29199999999999998</c:v>
                </c:pt>
                <c:pt idx="146">
                  <c:v>0.29399999999999998</c:v>
                </c:pt>
                <c:pt idx="147">
                  <c:v>0.29599999999999999</c:v>
                </c:pt>
                <c:pt idx="148">
                  <c:v>0.29799999999999999</c:v>
                </c:pt>
                <c:pt idx="149">
                  <c:v>0.3</c:v>
                </c:pt>
                <c:pt idx="150">
                  <c:v>0.30199999999999999</c:v>
                </c:pt>
                <c:pt idx="151">
                  <c:v>0.30399999999999999</c:v>
                </c:pt>
                <c:pt idx="152">
                  <c:v>0.30599999999999999</c:v>
                </c:pt>
                <c:pt idx="153">
                  <c:v>0.308</c:v>
                </c:pt>
                <c:pt idx="154">
                  <c:v>0.31</c:v>
                </c:pt>
                <c:pt idx="155">
                  <c:v>0.312</c:v>
                </c:pt>
                <c:pt idx="156">
                  <c:v>0.314</c:v>
                </c:pt>
                <c:pt idx="157">
                  <c:v>0.316</c:v>
                </c:pt>
                <c:pt idx="158">
                  <c:v>0.318</c:v>
                </c:pt>
                <c:pt idx="159">
                  <c:v>0.32</c:v>
                </c:pt>
                <c:pt idx="160">
                  <c:v>0.32200000000000001</c:v>
                </c:pt>
                <c:pt idx="161">
                  <c:v>0.32400000000000001</c:v>
                </c:pt>
                <c:pt idx="162">
                  <c:v>0.32600000000000001</c:v>
                </c:pt>
                <c:pt idx="163">
                  <c:v>0.32800000000000001</c:v>
                </c:pt>
                <c:pt idx="164">
                  <c:v>0.33</c:v>
                </c:pt>
                <c:pt idx="165">
                  <c:v>0.33200000000000002</c:v>
                </c:pt>
                <c:pt idx="166">
                  <c:v>0.33400000000000002</c:v>
                </c:pt>
                <c:pt idx="167">
                  <c:v>0.33600000000000002</c:v>
                </c:pt>
                <c:pt idx="168">
                  <c:v>0.33800000000000002</c:v>
                </c:pt>
                <c:pt idx="169">
                  <c:v>0.34</c:v>
                </c:pt>
                <c:pt idx="170">
                  <c:v>0.34200000000000003</c:v>
                </c:pt>
                <c:pt idx="171">
                  <c:v>0.34399999999999997</c:v>
                </c:pt>
                <c:pt idx="172">
                  <c:v>0.34599999999999997</c:v>
                </c:pt>
                <c:pt idx="173">
                  <c:v>0.34799999999999998</c:v>
                </c:pt>
                <c:pt idx="174">
                  <c:v>0.35</c:v>
                </c:pt>
                <c:pt idx="175">
                  <c:v>0.35199999999999998</c:v>
                </c:pt>
                <c:pt idx="176">
                  <c:v>0.35399999999999998</c:v>
                </c:pt>
                <c:pt idx="177">
                  <c:v>0.35599999999999998</c:v>
                </c:pt>
                <c:pt idx="178">
                  <c:v>0.35799999999999998</c:v>
                </c:pt>
                <c:pt idx="179">
                  <c:v>0.36</c:v>
                </c:pt>
                <c:pt idx="180">
                  <c:v>0.36199999999999999</c:v>
                </c:pt>
                <c:pt idx="181">
                  <c:v>0.36399999999999999</c:v>
                </c:pt>
                <c:pt idx="182">
                  <c:v>0.36599999999999999</c:v>
                </c:pt>
                <c:pt idx="183">
                  <c:v>0.36799999999999999</c:v>
                </c:pt>
                <c:pt idx="184">
                  <c:v>0.37</c:v>
                </c:pt>
                <c:pt idx="185">
                  <c:v>0.372</c:v>
                </c:pt>
                <c:pt idx="186">
                  <c:v>0.374</c:v>
                </c:pt>
                <c:pt idx="187">
                  <c:v>0.376</c:v>
                </c:pt>
                <c:pt idx="188">
                  <c:v>0.378</c:v>
                </c:pt>
                <c:pt idx="189">
                  <c:v>0.38</c:v>
                </c:pt>
                <c:pt idx="190">
                  <c:v>0.38200000000000001</c:v>
                </c:pt>
                <c:pt idx="191">
                  <c:v>0.38400000000000001</c:v>
                </c:pt>
                <c:pt idx="192">
                  <c:v>0.38600000000000001</c:v>
                </c:pt>
                <c:pt idx="193">
                  <c:v>0.38800000000000001</c:v>
                </c:pt>
                <c:pt idx="194">
                  <c:v>0.39</c:v>
                </c:pt>
                <c:pt idx="195">
                  <c:v>0.39200000000000002</c:v>
                </c:pt>
                <c:pt idx="196">
                  <c:v>0.39400000000000002</c:v>
                </c:pt>
                <c:pt idx="197">
                  <c:v>0.39600000000000002</c:v>
                </c:pt>
                <c:pt idx="198">
                  <c:v>0.39800000000000002</c:v>
                </c:pt>
                <c:pt idx="199">
                  <c:v>0.4</c:v>
                </c:pt>
                <c:pt idx="200">
                  <c:v>0.40200000000000002</c:v>
                </c:pt>
                <c:pt idx="201">
                  <c:v>0.40400000000000003</c:v>
                </c:pt>
                <c:pt idx="202">
                  <c:v>0.40600000000000003</c:v>
                </c:pt>
                <c:pt idx="203">
                  <c:v>0.40799999999999997</c:v>
                </c:pt>
                <c:pt idx="204">
                  <c:v>0.41</c:v>
                </c:pt>
                <c:pt idx="205">
                  <c:v>0.41199999999999998</c:v>
                </c:pt>
                <c:pt idx="206">
                  <c:v>0.41399999999999998</c:v>
                </c:pt>
                <c:pt idx="207">
                  <c:v>0.41599999999999998</c:v>
                </c:pt>
                <c:pt idx="208">
                  <c:v>0.41799999999999998</c:v>
                </c:pt>
                <c:pt idx="209">
                  <c:v>0.42</c:v>
                </c:pt>
                <c:pt idx="210">
                  <c:v>0.42199999999999999</c:v>
                </c:pt>
                <c:pt idx="211">
                  <c:v>0.42399999999999999</c:v>
                </c:pt>
                <c:pt idx="212">
                  <c:v>0.42599999999999999</c:v>
                </c:pt>
                <c:pt idx="213">
                  <c:v>0.42799999999999999</c:v>
                </c:pt>
                <c:pt idx="214">
                  <c:v>0.43</c:v>
                </c:pt>
                <c:pt idx="215">
                  <c:v>0.432</c:v>
                </c:pt>
                <c:pt idx="216">
                  <c:v>0.434</c:v>
                </c:pt>
                <c:pt idx="217">
                  <c:v>0.436</c:v>
                </c:pt>
                <c:pt idx="218">
                  <c:v>0.438</c:v>
                </c:pt>
                <c:pt idx="219">
                  <c:v>0.44</c:v>
                </c:pt>
                <c:pt idx="220">
                  <c:v>0.442</c:v>
                </c:pt>
                <c:pt idx="221">
                  <c:v>0.44400000000000001</c:v>
                </c:pt>
                <c:pt idx="222">
                  <c:v>0.44600000000000001</c:v>
                </c:pt>
                <c:pt idx="223">
                  <c:v>0.44800000000000001</c:v>
                </c:pt>
                <c:pt idx="224">
                  <c:v>0.45</c:v>
                </c:pt>
                <c:pt idx="225">
                  <c:v>0.45200000000000001</c:v>
                </c:pt>
                <c:pt idx="226">
                  <c:v>0.45400000000000001</c:v>
                </c:pt>
                <c:pt idx="227">
                  <c:v>0.45600000000000002</c:v>
                </c:pt>
                <c:pt idx="228">
                  <c:v>0.45800000000000002</c:v>
                </c:pt>
                <c:pt idx="229">
                  <c:v>0.46</c:v>
                </c:pt>
                <c:pt idx="230">
                  <c:v>0.46200000000000002</c:v>
                </c:pt>
                <c:pt idx="231">
                  <c:v>0.46400000000000002</c:v>
                </c:pt>
                <c:pt idx="232">
                  <c:v>0.46600000000000003</c:v>
                </c:pt>
                <c:pt idx="233">
                  <c:v>0.46800000000000003</c:v>
                </c:pt>
                <c:pt idx="234">
                  <c:v>0.47</c:v>
                </c:pt>
                <c:pt idx="235">
                  <c:v>0.47199999999999998</c:v>
                </c:pt>
                <c:pt idx="236">
                  <c:v>0.47399999999999998</c:v>
                </c:pt>
                <c:pt idx="237">
                  <c:v>0.47599999999999998</c:v>
                </c:pt>
                <c:pt idx="238">
                  <c:v>0.47799999999999998</c:v>
                </c:pt>
                <c:pt idx="239">
                  <c:v>0.48</c:v>
                </c:pt>
                <c:pt idx="240">
                  <c:v>0.48199999999999998</c:v>
                </c:pt>
                <c:pt idx="241">
                  <c:v>0.48399999999999999</c:v>
                </c:pt>
                <c:pt idx="242">
                  <c:v>0.48599999999999999</c:v>
                </c:pt>
                <c:pt idx="243">
                  <c:v>0.48799999999999999</c:v>
                </c:pt>
                <c:pt idx="244">
                  <c:v>0.49</c:v>
                </c:pt>
                <c:pt idx="245">
                  <c:v>0.49199999999999999</c:v>
                </c:pt>
                <c:pt idx="246">
                  <c:v>0.49399999999999999</c:v>
                </c:pt>
                <c:pt idx="247">
                  <c:v>0.496</c:v>
                </c:pt>
                <c:pt idx="248">
                  <c:v>0.498</c:v>
                </c:pt>
                <c:pt idx="249">
                  <c:v>0.5</c:v>
                </c:pt>
                <c:pt idx="250">
                  <c:v>0.502</c:v>
                </c:pt>
                <c:pt idx="251">
                  <c:v>0.504</c:v>
                </c:pt>
                <c:pt idx="252">
                  <c:v>0.50600000000000001</c:v>
                </c:pt>
                <c:pt idx="253">
                  <c:v>0.50800000000000001</c:v>
                </c:pt>
                <c:pt idx="254">
                  <c:v>0.51</c:v>
                </c:pt>
                <c:pt idx="255">
                  <c:v>0.51200000000000001</c:v>
                </c:pt>
                <c:pt idx="256">
                  <c:v>0.51400000000000001</c:v>
                </c:pt>
                <c:pt idx="257">
                  <c:v>0.51600000000000001</c:v>
                </c:pt>
                <c:pt idx="258">
                  <c:v>0.51800000000000002</c:v>
                </c:pt>
                <c:pt idx="259">
                  <c:v>0.52</c:v>
                </c:pt>
                <c:pt idx="260">
                  <c:v>0.52200000000000002</c:v>
                </c:pt>
                <c:pt idx="261">
                  <c:v>0.52400000000000002</c:v>
                </c:pt>
                <c:pt idx="262">
                  <c:v>0.52600000000000002</c:v>
                </c:pt>
                <c:pt idx="263">
                  <c:v>0.52800000000000002</c:v>
                </c:pt>
                <c:pt idx="264">
                  <c:v>0.53</c:v>
                </c:pt>
                <c:pt idx="265">
                  <c:v>0.53200000000000003</c:v>
                </c:pt>
                <c:pt idx="266">
                  <c:v>0.53400000000000003</c:v>
                </c:pt>
                <c:pt idx="267">
                  <c:v>0.53600000000000003</c:v>
                </c:pt>
                <c:pt idx="268">
                  <c:v>0.53800000000000003</c:v>
                </c:pt>
                <c:pt idx="269">
                  <c:v>0.54</c:v>
                </c:pt>
                <c:pt idx="270">
                  <c:v>0.54200000000000004</c:v>
                </c:pt>
                <c:pt idx="271">
                  <c:v>0.54400000000000004</c:v>
                </c:pt>
                <c:pt idx="272">
                  <c:v>0.54600000000000004</c:v>
                </c:pt>
                <c:pt idx="273">
                  <c:v>0.54800000000000004</c:v>
                </c:pt>
                <c:pt idx="274">
                  <c:v>0.55000000000000004</c:v>
                </c:pt>
                <c:pt idx="275">
                  <c:v>0.55200000000000005</c:v>
                </c:pt>
                <c:pt idx="276">
                  <c:v>0.55400000000000005</c:v>
                </c:pt>
                <c:pt idx="277">
                  <c:v>0.55600000000000005</c:v>
                </c:pt>
                <c:pt idx="278">
                  <c:v>0.55800000000000005</c:v>
                </c:pt>
                <c:pt idx="279">
                  <c:v>0.56000000000000005</c:v>
                </c:pt>
                <c:pt idx="280">
                  <c:v>0.56200000000000006</c:v>
                </c:pt>
                <c:pt idx="281">
                  <c:v>0.56399999999999995</c:v>
                </c:pt>
                <c:pt idx="282">
                  <c:v>0.56599999999999995</c:v>
                </c:pt>
                <c:pt idx="283">
                  <c:v>0.56799999999999995</c:v>
                </c:pt>
                <c:pt idx="284">
                  <c:v>0.56999999999999995</c:v>
                </c:pt>
                <c:pt idx="285">
                  <c:v>0.57199999999999995</c:v>
                </c:pt>
                <c:pt idx="286">
                  <c:v>0.57399999999999995</c:v>
                </c:pt>
                <c:pt idx="287">
                  <c:v>0.57599999999999996</c:v>
                </c:pt>
                <c:pt idx="288">
                  <c:v>0.57799999999999996</c:v>
                </c:pt>
                <c:pt idx="289">
                  <c:v>0.57999999999999996</c:v>
                </c:pt>
                <c:pt idx="290">
                  <c:v>0.58199999999999996</c:v>
                </c:pt>
                <c:pt idx="291">
                  <c:v>0.58399999999999996</c:v>
                </c:pt>
                <c:pt idx="292">
                  <c:v>0.58599999999999997</c:v>
                </c:pt>
                <c:pt idx="293">
                  <c:v>0.58799999999999997</c:v>
                </c:pt>
                <c:pt idx="294">
                  <c:v>0.59</c:v>
                </c:pt>
                <c:pt idx="295">
                  <c:v>0.59199999999999997</c:v>
                </c:pt>
                <c:pt idx="296">
                  <c:v>0.59399999999999997</c:v>
                </c:pt>
                <c:pt idx="297">
                  <c:v>0.59599999999999997</c:v>
                </c:pt>
                <c:pt idx="298">
                  <c:v>0.59799999999999998</c:v>
                </c:pt>
                <c:pt idx="299">
                  <c:v>0.6</c:v>
                </c:pt>
                <c:pt idx="300">
                  <c:v>0.60199999999999998</c:v>
                </c:pt>
                <c:pt idx="301">
                  <c:v>0.60399999999999998</c:v>
                </c:pt>
                <c:pt idx="302">
                  <c:v>0.60599999999999998</c:v>
                </c:pt>
                <c:pt idx="303">
                  <c:v>0.60799999999999998</c:v>
                </c:pt>
                <c:pt idx="304">
                  <c:v>0.61</c:v>
                </c:pt>
                <c:pt idx="305">
                  <c:v>0.61199999999999999</c:v>
                </c:pt>
                <c:pt idx="306">
                  <c:v>0.61399999999999999</c:v>
                </c:pt>
                <c:pt idx="307">
                  <c:v>0.61599999999999999</c:v>
                </c:pt>
                <c:pt idx="308">
                  <c:v>0.61799999999999999</c:v>
                </c:pt>
                <c:pt idx="309">
                  <c:v>0.62</c:v>
                </c:pt>
                <c:pt idx="310">
                  <c:v>0.622</c:v>
                </c:pt>
                <c:pt idx="311">
                  <c:v>0.624</c:v>
                </c:pt>
                <c:pt idx="312">
                  <c:v>0.626</c:v>
                </c:pt>
                <c:pt idx="313">
                  <c:v>0.628</c:v>
                </c:pt>
                <c:pt idx="314">
                  <c:v>0.63</c:v>
                </c:pt>
                <c:pt idx="315">
                  <c:v>0.63200000000000001</c:v>
                </c:pt>
                <c:pt idx="316">
                  <c:v>0.63400000000000001</c:v>
                </c:pt>
                <c:pt idx="317">
                  <c:v>0.63600000000000001</c:v>
                </c:pt>
                <c:pt idx="318">
                  <c:v>0.63800000000000001</c:v>
                </c:pt>
                <c:pt idx="319">
                  <c:v>0.64</c:v>
                </c:pt>
                <c:pt idx="320">
                  <c:v>0.64200000000000002</c:v>
                </c:pt>
                <c:pt idx="321">
                  <c:v>0.64400000000000002</c:v>
                </c:pt>
                <c:pt idx="322">
                  <c:v>0.64600000000000002</c:v>
                </c:pt>
                <c:pt idx="323">
                  <c:v>0.64800000000000002</c:v>
                </c:pt>
                <c:pt idx="324">
                  <c:v>0.65</c:v>
                </c:pt>
                <c:pt idx="325">
                  <c:v>0.65200000000000002</c:v>
                </c:pt>
                <c:pt idx="326">
                  <c:v>0.65400000000000003</c:v>
                </c:pt>
                <c:pt idx="327">
                  <c:v>0.65600000000000003</c:v>
                </c:pt>
                <c:pt idx="328">
                  <c:v>0.65800000000000003</c:v>
                </c:pt>
                <c:pt idx="329">
                  <c:v>0.66</c:v>
                </c:pt>
                <c:pt idx="330">
                  <c:v>0.66200000000000003</c:v>
                </c:pt>
                <c:pt idx="331">
                  <c:v>0.66400000000000003</c:v>
                </c:pt>
                <c:pt idx="332">
                  <c:v>0.66600000000000004</c:v>
                </c:pt>
                <c:pt idx="333">
                  <c:v>0.66800000000000004</c:v>
                </c:pt>
                <c:pt idx="334">
                  <c:v>0.67</c:v>
                </c:pt>
                <c:pt idx="335">
                  <c:v>0.67200000000000004</c:v>
                </c:pt>
                <c:pt idx="336">
                  <c:v>0.67400000000000004</c:v>
                </c:pt>
                <c:pt idx="337">
                  <c:v>0.67600000000000005</c:v>
                </c:pt>
                <c:pt idx="338">
                  <c:v>0.67800000000000005</c:v>
                </c:pt>
                <c:pt idx="339">
                  <c:v>0.68</c:v>
                </c:pt>
                <c:pt idx="340">
                  <c:v>0.68200000000000005</c:v>
                </c:pt>
                <c:pt idx="341">
                  <c:v>0.68400000000000005</c:v>
                </c:pt>
                <c:pt idx="342">
                  <c:v>0.68600000000000005</c:v>
                </c:pt>
                <c:pt idx="343">
                  <c:v>0.68799999999999994</c:v>
                </c:pt>
                <c:pt idx="344">
                  <c:v>0.69</c:v>
                </c:pt>
                <c:pt idx="345">
                  <c:v>0.69199999999999995</c:v>
                </c:pt>
                <c:pt idx="346">
                  <c:v>0.69399999999999995</c:v>
                </c:pt>
                <c:pt idx="347">
                  <c:v>0.69599999999999995</c:v>
                </c:pt>
                <c:pt idx="348">
                  <c:v>0.69799999999999995</c:v>
                </c:pt>
                <c:pt idx="349">
                  <c:v>0.7</c:v>
                </c:pt>
                <c:pt idx="350">
                  <c:v>0.70199999999999996</c:v>
                </c:pt>
                <c:pt idx="351">
                  <c:v>0.70399999999999996</c:v>
                </c:pt>
                <c:pt idx="352">
                  <c:v>0.70599999999999996</c:v>
                </c:pt>
                <c:pt idx="353">
                  <c:v>0.70799999999999996</c:v>
                </c:pt>
                <c:pt idx="354">
                  <c:v>0.71</c:v>
                </c:pt>
                <c:pt idx="355">
                  <c:v>0.71199999999999997</c:v>
                </c:pt>
                <c:pt idx="356">
                  <c:v>0.71399999999999997</c:v>
                </c:pt>
                <c:pt idx="357">
                  <c:v>0.71599999999999997</c:v>
                </c:pt>
                <c:pt idx="358">
                  <c:v>0.71799999999999997</c:v>
                </c:pt>
                <c:pt idx="359">
                  <c:v>0.72</c:v>
                </c:pt>
                <c:pt idx="360">
                  <c:v>0.72199999999999998</c:v>
                </c:pt>
                <c:pt idx="361">
                  <c:v>0.72399999999999998</c:v>
                </c:pt>
                <c:pt idx="362">
                  <c:v>0.72599999999999998</c:v>
                </c:pt>
                <c:pt idx="363">
                  <c:v>0.72799999999999998</c:v>
                </c:pt>
                <c:pt idx="364">
                  <c:v>0.73</c:v>
                </c:pt>
                <c:pt idx="365">
                  <c:v>0.73199999999999998</c:v>
                </c:pt>
                <c:pt idx="366">
                  <c:v>0.73399999999999999</c:v>
                </c:pt>
                <c:pt idx="367">
                  <c:v>0.73599999999999999</c:v>
                </c:pt>
                <c:pt idx="368">
                  <c:v>0.73799999999999999</c:v>
                </c:pt>
                <c:pt idx="369">
                  <c:v>0.74</c:v>
                </c:pt>
                <c:pt idx="370">
                  <c:v>0.74199999999999999</c:v>
                </c:pt>
                <c:pt idx="371">
                  <c:v>0.74399999999999999</c:v>
                </c:pt>
                <c:pt idx="372">
                  <c:v>0.746</c:v>
                </c:pt>
                <c:pt idx="373">
                  <c:v>0.748</c:v>
                </c:pt>
                <c:pt idx="374">
                  <c:v>0.75</c:v>
                </c:pt>
                <c:pt idx="375">
                  <c:v>0.752</c:v>
                </c:pt>
                <c:pt idx="376">
                  <c:v>0.754</c:v>
                </c:pt>
                <c:pt idx="377">
                  <c:v>0.75600000000000001</c:v>
                </c:pt>
                <c:pt idx="378">
                  <c:v>0.75800000000000001</c:v>
                </c:pt>
                <c:pt idx="379">
                  <c:v>0.76</c:v>
                </c:pt>
                <c:pt idx="380">
                  <c:v>0.76200000000000001</c:v>
                </c:pt>
                <c:pt idx="381">
                  <c:v>0.76400000000000001</c:v>
                </c:pt>
                <c:pt idx="382">
                  <c:v>0.76600000000000001</c:v>
                </c:pt>
                <c:pt idx="383">
                  <c:v>0.76800000000000002</c:v>
                </c:pt>
                <c:pt idx="384">
                  <c:v>0.77</c:v>
                </c:pt>
                <c:pt idx="385">
                  <c:v>0.77200000000000002</c:v>
                </c:pt>
                <c:pt idx="386">
                  <c:v>0.77400000000000002</c:v>
                </c:pt>
                <c:pt idx="387">
                  <c:v>0.77600000000000002</c:v>
                </c:pt>
                <c:pt idx="388">
                  <c:v>0.77800000000000002</c:v>
                </c:pt>
                <c:pt idx="389">
                  <c:v>0.78</c:v>
                </c:pt>
                <c:pt idx="390">
                  <c:v>0.78200000000000003</c:v>
                </c:pt>
                <c:pt idx="391">
                  <c:v>0.78400000000000003</c:v>
                </c:pt>
                <c:pt idx="392">
                  <c:v>0.78600000000000003</c:v>
                </c:pt>
                <c:pt idx="393">
                  <c:v>0.78800000000000003</c:v>
                </c:pt>
                <c:pt idx="394">
                  <c:v>0.79</c:v>
                </c:pt>
                <c:pt idx="395">
                  <c:v>0.79200000000000004</c:v>
                </c:pt>
                <c:pt idx="396">
                  <c:v>0.79400000000000004</c:v>
                </c:pt>
                <c:pt idx="397">
                  <c:v>0.79600000000000004</c:v>
                </c:pt>
                <c:pt idx="398">
                  <c:v>0.79800000000000004</c:v>
                </c:pt>
                <c:pt idx="399">
                  <c:v>0.8</c:v>
                </c:pt>
                <c:pt idx="400">
                  <c:v>0.80200000000000005</c:v>
                </c:pt>
                <c:pt idx="401">
                  <c:v>0.80400000000000005</c:v>
                </c:pt>
                <c:pt idx="402">
                  <c:v>0.80600000000000005</c:v>
                </c:pt>
                <c:pt idx="403">
                  <c:v>0.80800000000000005</c:v>
                </c:pt>
                <c:pt idx="404">
                  <c:v>0.81</c:v>
                </c:pt>
                <c:pt idx="405">
                  <c:v>0.81200000000000006</c:v>
                </c:pt>
                <c:pt idx="406">
                  <c:v>0.81399999999999995</c:v>
                </c:pt>
                <c:pt idx="407">
                  <c:v>0.81599999999999995</c:v>
                </c:pt>
                <c:pt idx="408">
                  <c:v>0.81799999999999995</c:v>
                </c:pt>
                <c:pt idx="409">
                  <c:v>0.82</c:v>
                </c:pt>
                <c:pt idx="410">
                  <c:v>0.82199999999999995</c:v>
                </c:pt>
                <c:pt idx="411">
                  <c:v>0.82399999999999995</c:v>
                </c:pt>
                <c:pt idx="412">
                  <c:v>0.82599999999999996</c:v>
                </c:pt>
                <c:pt idx="413">
                  <c:v>0.82799999999999996</c:v>
                </c:pt>
                <c:pt idx="414">
                  <c:v>0.83</c:v>
                </c:pt>
                <c:pt idx="415">
                  <c:v>0.83199999999999996</c:v>
                </c:pt>
                <c:pt idx="416">
                  <c:v>0.83399999999999996</c:v>
                </c:pt>
                <c:pt idx="417">
                  <c:v>0.83599999999999997</c:v>
                </c:pt>
                <c:pt idx="418">
                  <c:v>0.83799999999999997</c:v>
                </c:pt>
                <c:pt idx="419">
                  <c:v>0.84</c:v>
                </c:pt>
                <c:pt idx="420">
                  <c:v>0.84199999999999997</c:v>
                </c:pt>
                <c:pt idx="421">
                  <c:v>0.84399999999999997</c:v>
                </c:pt>
                <c:pt idx="422">
                  <c:v>0.84599999999999997</c:v>
                </c:pt>
                <c:pt idx="423">
                  <c:v>0.84799999999999998</c:v>
                </c:pt>
                <c:pt idx="424">
                  <c:v>0.85</c:v>
                </c:pt>
                <c:pt idx="425">
                  <c:v>0.85199999999999998</c:v>
                </c:pt>
                <c:pt idx="426">
                  <c:v>0.85399999999999998</c:v>
                </c:pt>
                <c:pt idx="427">
                  <c:v>0.85599999999999998</c:v>
                </c:pt>
                <c:pt idx="428">
                  <c:v>0.85799999999999998</c:v>
                </c:pt>
                <c:pt idx="429">
                  <c:v>0.86</c:v>
                </c:pt>
                <c:pt idx="430">
                  <c:v>0.86199999999999999</c:v>
                </c:pt>
                <c:pt idx="431">
                  <c:v>0.86399999999999999</c:v>
                </c:pt>
                <c:pt idx="432">
                  <c:v>0.86599999999999999</c:v>
                </c:pt>
                <c:pt idx="433">
                  <c:v>0.86799999999999999</c:v>
                </c:pt>
                <c:pt idx="434">
                  <c:v>0.87</c:v>
                </c:pt>
                <c:pt idx="435">
                  <c:v>0.872</c:v>
                </c:pt>
                <c:pt idx="436">
                  <c:v>0.874</c:v>
                </c:pt>
                <c:pt idx="437">
                  <c:v>0.876</c:v>
                </c:pt>
                <c:pt idx="438">
                  <c:v>0.878</c:v>
                </c:pt>
                <c:pt idx="439">
                  <c:v>0.88</c:v>
                </c:pt>
                <c:pt idx="440">
                  <c:v>0.88200000000000001</c:v>
                </c:pt>
                <c:pt idx="441">
                  <c:v>0.88400000000000001</c:v>
                </c:pt>
                <c:pt idx="442">
                  <c:v>0.88600000000000001</c:v>
                </c:pt>
                <c:pt idx="443">
                  <c:v>0.88800000000000001</c:v>
                </c:pt>
                <c:pt idx="444">
                  <c:v>0.89</c:v>
                </c:pt>
                <c:pt idx="445">
                  <c:v>0.89200000000000002</c:v>
                </c:pt>
                <c:pt idx="446">
                  <c:v>0.89400000000000002</c:v>
                </c:pt>
                <c:pt idx="447">
                  <c:v>0.89600000000000002</c:v>
                </c:pt>
                <c:pt idx="448">
                  <c:v>0.89800000000000002</c:v>
                </c:pt>
                <c:pt idx="449">
                  <c:v>0.9</c:v>
                </c:pt>
                <c:pt idx="450">
                  <c:v>0.90200000000000002</c:v>
                </c:pt>
                <c:pt idx="451">
                  <c:v>0.90400000000000003</c:v>
                </c:pt>
                <c:pt idx="452">
                  <c:v>0.90600000000000003</c:v>
                </c:pt>
                <c:pt idx="453">
                  <c:v>0.90800000000000003</c:v>
                </c:pt>
                <c:pt idx="454">
                  <c:v>0.91</c:v>
                </c:pt>
                <c:pt idx="455">
                  <c:v>0.91200000000000003</c:v>
                </c:pt>
                <c:pt idx="456">
                  <c:v>0.91400000000000003</c:v>
                </c:pt>
                <c:pt idx="457">
                  <c:v>0.91600000000000004</c:v>
                </c:pt>
                <c:pt idx="458">
                  <c:v>0.91800000000000004</c:v>
                </c:pt>
                <c:pt idx="459">
                  <c:v>0.92</c:v>
                </c:pt>
                <c:pt idx="460">
                  <c:v>0.92200000000000004</c:v>
                </c:pt>
                <c:pt idx="461">
                  <c:v>0.92400000000000004</c:v>
                </c:pt>
                <c:pt idx="462">
                  <c:v>0.92600000000000005</c:v>
                </c:pt>
                <c:pt idx="463">
                  <c:v>0.92800000000000005</c:v>
                </c:pt>
                <c:pt idx="464">
                  <c:v>0.93</c:v>
                </c:pt>
                <c:pt idx="465">
                  <c:v>0.93200000000000005</c:v>
                </c:pt>
                <c:pt idx="466">
                  <c:v>0.93400000000000005</c:v>
                </c:pt>
                <c:pt idx="467">
                  <c:v>0.93600000000000005</c:v>
                </c:pt>
                <c:pt idx="468">
                  <c:v>0.93799999999999994</c:v>
                </c:pt>
                <c:pt idx="469">
                  <c:v>0.94</c:v>
                </c:pt>
                <c:pt idx="470">
                  <c:v>0.94199999999999995</c:v>
                </c:pt>
                <c:pt idx="471">
                  <c:v>0.94399999999999995</c:v>
                </c:pt>
                <c:pt idx="472">
                  <c:v>0.94599999999999995</c:v>
                </c:pt>
                <c:pt idx="473">
                  <c:v>0.94799999999999995</c:v>
                </c:pt>
                <c:pt idx="474">
                  <c:v>0.95</c:v>
                </c:pt>
                <c:pt idx="475">
                  <c:v>0.95199999999999996</c:v>
                </c:pt>
                <c:pt idx="476">
                  <c:v>0.95399999999999996</c:v>
                </c:pt>
                <c:pt idx="477">
                  <c:v>0.95599999999999996</c:v>
                </c:pt>
                <c:pt idx="478">
                  <c:v>0.95799999999999996</c:v>
                </c:pt>
                <c:pt idx="479">
                  <c:v>0.96</c:v>
                </c:pt>
                <c:pt idx="480">
                  <c:v>0.96199999999999997</c:v>
                </c:pt>
                <c:pt idx="481">
                  <c:v>0.96399999999999997</c:v>
                </c:pt>
                <c:pt idx="482">
                  <c:v>0.96599999999999997</c:v>
                </c:pt>
                <c:pt idx="483">
                  <c:v>0.96799999999999997</c:v>
                </c:pt>
                <c:pt idx="484">
                  <c:v>0.97</c:v>
                </c:pt>
                <c:pt idx="485">
                  <c:v>0.97199999999999998</c:v>
                </c:pt>
                <c:pt idx="486">
                  <c:v>0.97399999999999998</c:v>
                </c:pt>
                <c:pt idx="487">
                  <c:v>0.97599999999999998</c:v>
                </c:pt>
                <c:pt idx="488">
                  <c:v>0.97799999999999998</c:v>
                </c:pt>
                <c:pt idx="489">
                  <c:v>0.98</c:v>
                </c:pt>
                <c:pt idx="490">
                  <c:v>0.98199999999999998</c:v>
                </c:pt>
                <c:pt idx="491">
                  <c:v>0.98399999999999999</c:v>
                </c:pt>
                <c:pt idx="492">
                  <c:v>0.98599999999999999</c:v>
                </c:pt>
                <c:pt idx="493">
                  <c:v>0.98799999999999999</c:v>
                </c:pt>
                <c:pt idx="494">
                  <c:v>0.99</c:v>
                </c:pt>
                <c:pt idx="495">
                  <c:v>0.99199999999999999</c:v>
                </c:pt>
                <c:pt idx="496">
                  <c:v>0.99399999999999999</c:v>
                </c:pt>
                <c:pt idx="497">
                  <c:v>0.996</c:v>
                </c:pt>
                <c:pt idx="498">
                  <c:v>0.998</c:v>
                </c:pt>
                <c:pt idx="499">
                  <c:v>1</c:v>
                </c:pt>
                <c:pt idx="500">
                  <c:v>1.002</c:v>
                </c:pt>
                <c:pt idx="501">
                  <c:v>1.004</c:v>
                </c:pt>
                <c:pt idx="502">
                  <c:v>1.006</c:v>
                </c:pt>
                <c:pt idx="503">
                  <c:v>1.008</c:v>
                </c:pt>
                <c:pt idx="504">
                  <c:v>1.01</c:v>
                </c:pt>
                <c:pt idx="505">
                  <c:v>1.012</c:v>
                </c:pt>
                <c:pt idx="506">
                  <c:v>1.014</c:v>
                </c:pt>
                <c:pt idx="507">
                  <c:v>1.016</c:v>
                </c:pt>
                <c:pt idx="508">
                  <c:v>1.018</c:v>
                </c:pt>
                <c:pt idx="509">
                  <c:v>1.02</c:v>
                </c:pt>
                <c:pt idx="510">
                  <c:v>1.022</c:v>
                </c:pt>
                <c:pt idx="511">
                  <c:v>1.024</c:v>
                </c:pt>
                <c:pt idx="512">
                  <c:v>1.026</c:v>
                </c:pt>
                <c:pt idx="513">
                  <c:v>1.028</c:v>
                </c:pt>
                <c:pt idx="514">
                  <c:v>1.03</c:v>
                </c:pt>
                <c:pt idx="515">
                  <c:v>1.032</c:v>
                </c:pt>
                <c:pt idx="516">
                  <c:v>1.034</c:v>
                </c:pt>
                <c:pt idx="517">
                  <c:v>1.036</c:v>
                </c:pt>
                <c:pt idx="518">
                  <c:v>1.038</c:v>
                </c:pt>
                <c:pt idx="519">
                  <c:v>1.04</c:v>
                </c:pt>
                <c:pt idx="520">
                  <c:v>1.042</c:v>
                </c:pt>
                <c:pt idx="521">
                  <c:v>1.044</c:v>
                </c:pt>
                <c:pt idx="522">
                  <c:v>1.046</c:v>
                </c:pt>
                <c:pt idx="523">
                  <c:v>1.048</c:v>
                </c:pt>
                <c:pt idx="524">
                  <c:v>1.05</c:v>
                </c:pt>
                <c:pt idx="525">
                  <c:v>1.052</c:v>
                </c:pt>
                <c:pt idx="526">
                  <c:v>1.054</c:v>
                </c:pt>
                <c:pt idx="527">
                  <c:v>1.056</c:v>
                </c:pt>
                <c:pt idx="528">
                  <c:v>1.0580000000000001</c:v>
                </c:pt>
                <c:pt idx="529">
                  <c:v>1.06</c:v>
                </c:pt>
                <c:pt idx="530">
                  <c:v>1.0620000000000001</c:v>
                </c:pt>
                <c:pt idx="531">
                  <c:v>1.0640000000000001</c:v>
                </c:pt>
                <c:pt idx="532">
                  <c:v>1.0660000000000001</c:v>
                </c:pt>
                <c:pt idx="533">
                  <c:v>1.0680000000000001</c:v>
                </c:pt>
                <c:pt idx="534">
                  <c:v>1.07</c:v>
                </c:pt>
                <c:pt idx="535">
                  <c:v>1.0720000000000001</c:v>
                </c:pt>
                <c:pt idx="536">
                  <c:v>1.0740000000000001</c:v>
                </c:pt>
                <c:pt idx="537">
                  <c:v>1.0760000000000001</c:v>
                </c:pt>
                <c:pt idx="538">
                  <c:v>1.0780000000000001</c:v>
                </c:pt>
                <c:pt idx="539">
                  <c:v>1.08</c:v>
                </c:pt>
                <c:pt idx="540">
                  <c:v>1.0820000000000001</c:v>
                </c:pt>
                <c:pt idx="541">
                  <c:v>1.0840000000000001</c:v>
                </c:pt>
                <c:pt idx="542">
                  <c:v>1.0860000000000001</c:v>
                </c:pt>
                <c:pt idx="543">
                  <c:v>1.0880000000000001</c:v>
                </c:pt>
                <c:pt idx="544">
                  <c:v>1.0900000000000001</c:v>
                </c:pt>
                <c:pt idx="545">
                  <c:v>1.0920000000000001</c:v>
                </c:pt>
                <c:pt idx="546">
                  <c:v>1.0940000000000001</c:v>
                </c:pt>
                <c:pt idx="547">
                  <c:v>1.0960000000000001</c:v>
                </c:pt>
                <c:pt idx="548">
                  <c:v>1.0980000000000001</c:v>
                </c:pt>
                <c:pt idx="549">
                  <c:v>1.1000000000000001</c:v>
                </c:pt>
                <c:pt idx="550">
                  <c:v>1.1020000000000001</c:v>
                </c:pt>
                <c:pt idx="551">
                  <c:v>1.1040000000000001</c:v>
                </c:pt>
                <c:pt idx="552">
                  <c:v>1.1060000000000001</c:v>
                </c:pt>
                <c:pt idx="553">
                  <c:v>1.1080000000000001</c:v>
                </c:pt>
                <c:pt idx="554">
                  <c:v>1.1100000000000001</c:v>
                </c:pt>
                <c:pt idx="555">
                  <c:v>1.1120000000000001</c:v>
                </c:pt>
                <c:pt idx="556">
                  <c:v>1.1140000000000001</c:v>
                </c:pt>
                <c:pt idx="557">
                  <c:v>1.1160000000000001</c:v>
                </c:pt>
                <c:pt idx="558">
                  <c:v>1.1180000000000001</c:v>
                </c:pt>
                <c:pt idx="559">
                  <c:v>1.1200000000000001</c:v>
                </c:pt>
                <c:pt idx="560">
                  <c:v>1.1220000000000001</c:v>
                </c:pt>
                <c:pt idx="561">
                  <c:v>1.1240000000000001</c:v>
                </c:pt>
                <c:pt idx="562">
                  <c:v>1.1259999999999999</c:v>
                </c:pt>
                <c:pt idx="563">
                  <c:v>1.1279999999999999</c:v>
                </c:pt>
                <c:pt idx="564">
                  <c:v>1.1299999999999999</c:v>
                </c:pt>
                <c:pt idx="565">
                  <c:v>1.1319999999999999</c:v>
                </c:pt>
                <c:pt idx="566">
                  <c:v>1.1339999999999999</c:v>
                </c:pt>
                <c:pt idx="567">
                  <c:v>1.1359999999999999</c:v>
                </c:pt>
                <c:pt idx="568">
                  <c:v>1.1379999999999999</c:v>
                </c:pt>
                <c:pt idx="569">
                  <c:v>1.1399999999999999</c:v>
                </c:pt>
                <c:pt idx="570">
                  <c:v>1.1419999999999999</c:v>
                </c:pt>
                <c:pt idx="571">
                  <c:v>1.1439999999999999</c:v>
                </c:pt>
                <c:pt idx="572">
                  <c:v>1.1459999999999999</c:v>
                </c:pt>
                <c:pt idx="573">
                  <c:v>1.1479999999999999</c:v>
                </c:pt>
                <c:pt idx="574">
                  <c:v>1.1499999999999999</c:v>
                </c:pt>
                <c:pt idx="575">
                  <c:v>1.1519999999999999</c:v>
                </c:pt>
                <c:pt idx="576">
                  <c:v>1.1539999999999999</c:v>
                </c:pt>
                <c:pt idx="577">
                  <c:v>1.1559999999999999</c:v>
                </c:pt>
                <c:pt idx="578">
                  <c:v>1.1579999999999999</c:v>
                </c:pt>
                <c:pt idx="579">
                  <c:v>1.1599999999999999</c:v>
                </c:pt>
                <c:pt idx="580">
                  <c:v>1.1619999999999999</c:v>
                </c:pt>
                <c:pt idx="581">
                  <c:v>1.1639999999999999</c:v>
                </c:pt>
                <c:pt idx="582">
                  <c:v>1.1659999999999999</c:v>
                </c:pt>
                <c:pt idx="583">
                  <c:v>1.1679999999999999</c:v>
                </c:pt>
                <c:pt idx="584">
                  <c:v>1.17</c:v>
                </c:pt>
                <c:pt idx="585">
                  <c:v>1.1719999999999999</c:v>
                </c:pt>
                <c:pt idx="586">
                  <c:v>1.1739999999999999</c:v>
                </c:pt>
                <c:pt idx="587">
                  <c:v>1.1759999999999999</c:v>
                </c:pt>
                <c:pt idx="588">
                  <c:v>1.1779999999999999</c:v>
                </c:pt>
                <c:pt idx="589">
                  <c:v>1.18</c:v>
                </c:pt>
                <c:pt idx="590">
                  <c:v>1.1819999999999999</c:v>
                </c:pt>
                <c:pt idx="591">
                  <c:v>1.1839999999999999</c:v>
                </c:pt>
                <c:pt idx="592">
                  <c:v>1.1859999999999999</c:v>
                </c:pt>
                <c:pt idx="593">
                  <c:v>1.1879999999999999</c:v>
                </c:pt>
                <c:pt idx="594">
                  <c:v>1.19</c:v>
                </c:pt>
                <c:pt idx="595">
                  <c:v>1.1919999999999999</c:v>
                </c:pt>
                <c:pt idx="596">
                  <c:v>1.194</c:v>
                </c:pt>
                <c:pt idx="597">
                  <c:v>1.196</c:v>
                </c:pt>
                <c:pt idx="598">
                  <c:v>1.198</c:v>
                </c:pt>
                <c:pt idx="599">
                  <c:v>1.2</c:v>
                </c:pt>
                <c:pt idx="600">
                  <c:v>1.202</c:v>
                </c:pt>
                <c:pt idx="601">
                  <c:v>1.204</c:v>
                </c:pt>
                <c:pt idx="602">
                  <c:v>1.206</c:v>
                </c:pt>
                <c:pt idx="603">
                  <c:v>1.208</c:v>
                </c:pt>
                <c:pt idx="604">
                  <c:v>1.21</c:v>
                </c:pt>
                <c:pt idx="605">
                  <c:v>1.212</c:v>
                </c:pt>
                <c:pt idx="606">
                  <c:v>1.214</c:v>
                </c:pt>
                <c:pt idx="607">
                  <c:v>1.216</c:v>
                </c:pt>
                <c:pt idx="608">
                  <c:v>1.218</c:v>
                </c:pt>
                <c:pt idx="609">
                  <c:v>1.22</c:v>
                </c:pt>
                <c:pt idx="610">
                  <c:v>1.222</c:v>
                </c:pt>
                <c:pt idx="611">
                  <c:v>1.224</c:v>
                </c:pt>
                <c:pt idx="612">
                  <c:v>1.226</c:v>
                </c:pt>
                <c:pt idx="613">
                  <c:v>1.228</c:v>
                </c:pt>
                <c:pt idx="614">
                  <c:v>1.23</c:v>
                </c:pt>
                <c:pt idx="615">
                  <c:v>1.232</c:v>
                </c:pt>
                <c:pt idx="616">
                  <c:v>1.234</c:v>
                </c:pt>
                <c:pt idx="617">
                  <c:v>1.236</c:v>
                </c:pt>
                <c:pt idx="618">
                  <c:v>1.238</c:v>
                </c:pt>
                <c:pt idx="619">
                  <c:v>1.24</c:v>
                </c:pt>
                <c:pt idx="620">
                  <c:v>1.242</c:v>
                </c:pt>
                <c:pt idx="621">
                  <c:v>1.244</c:v>
                </c:pt>
                <c:pt idx="622">
                  <c:v>1.246</c:v>
                </c:pt>
                <c:pt idx="623">
                  <c:v>1.248</c:v>
                </c:pt>
                <c:pt idx="624">
                  <c:v>1.25</c:v>
                </c:pt>
                <c:pt idx="625">
                  <c:v>1.252</c:v>
                </c:pt>
                <c:pt idx="626">
                  <c:v>1.254</c:v>
                </c:pt>
                <c:pt idx="627">
                  <c:v>1.256</c:v>
                </c:pt>
                <c:pt idx="628">
                  <c:v>1.258</c:v>
                </c:pt>
                <c:pt idx="629">
                  <c:v>1.26</c:v>
                </c:pt>
                <c:pt idx="630">
                  <c:v>1.262</c:v>
                </c:pt>
                <c:pt idx="631">
                  <c:v>1.264</c:v>
                </c:pt>
                <c:pt idx="632">
                  <c:v>1.266</c:v>
                </c:pt>
                <c:pt idx="633">
                  <c:v>1.268</c:v>
                </c:pt>
                <c:pt idx="634">
                  <c:v>1.27</c:v>
                </c:pt>
                <c:pt idx="635">
                  <c:v>1.272</c:v>
                </c:pt>
                <c:pt idx="636">
                  <c:v>1.274</c:v>
                </c:pt>
                <c:pt idx="637">
                  <c:v>1.276</c:v>
                </c:pt>
                <c:pt idx="638">
                  <c:v>1.278</c:v>
                </c:pt>
                <c:pt idx="639">
                  <c:v>1.28</c:v>
                </c:pt>
                <c:pt idx="640">
                  <c:v>1.282</c:v>
                </c:pt>
                <c:pt idx="641">
                  <c:v>1.284</c:v>
                </c:pt>
                <c:pt idx="642">
                  <c:v>1.286</c:v>
                </c:pt>
                <c:pt idx="643">
                  <c:v>1.288</c:v>
                </c:pt>
                <c:pt idx="644">
                  <c:v>1.29</c:v>
                </c:pt>
                <c:pt idx="645">
                  <c:v>1.292</c:v>
                </c:pt>
                <c:pt idx="646">
                  <c:v>1.294</c:v>
                </c:pt>
                <c:pt idx="647">
                  <c:v>1.296</c:v>
                </c:pt>
                <c:pt idx="648">
                  <c:v>1.298</c:v>
                </c:pt>
                <c:pt idx="649">
                  <c:v>1.3</c:v>
                </c:pt>
                <c:pt idx="650">
                  <c:v>1.302</c:v>
                </c:pt>
                <c:pt idx="651">
                  <c:v>1.304</c:v>
                </c:pt>
                <c:pt idx="652">
                  <c:v>1.306</c:v>
                </c:pt>
                <c:pt idx="653">
                  <c:v>1.3080000000000001</c:v>
                </c:pt>
                <c:pt idx="654">
                  <c:v>1.31</c:v>
                </c:pt>
                <c:pt idx="655">
                  <c:v>1.3120000000000001</c:v>
                </c:pt>
                <c:pt idx="656">
                  <c:v>1.3140000000000001</c:v>
                </c:pt>
                <c:pt idx="657">
                  <c:v>1.3160000000000001</c:v>
                </c:pt>
                <c:pt idx="658">
                  <c:v>1.3180000000000001</c:v>
                </c:pt>
                <c:pt idx="659">
                  <c:v>1.32</c:v>
                </c:pt>
                <c:pt idx="660">
                  <c:v>1.3220000000000001</c:v>
                </c:pt>
                <c:pt idx="661">
                  <c:v>1.3240000000000001</c:v>
                </c:pt>
                <c:pt idx="662">
                  <c:v>1.3260000000000001</c:v>
                </c:pt>
                <c:pt idx="663">
                  <c:v>1.3280000000000001</c:v>
                </c:pt>
                <c:pt idx="664">
                  <c:v>1.33</c:v>
                </c:pt>
                <c:pt idx="665">
                  <c:v>1.3320000000000001</c:v>
                </c:pt>
                <c:pt idx="666">
                  <c:v>1.3340000000000001</c:v>
                </c:pt>
                <c:pt idx="667">
                  <c:v>1.3360000000000001</c:v>
                </c:pt>
                <c:pt idx="668">
                  <c:v>1.3380000000000001</c:v>
                </c:pt>
                <c:pt idx="669">
                  <c:v>1.34</c:v>
                </c:pt>
                <c:pt idx="670">
                  <c:v>1.3420000000000001</c:v>
                </c:pt>
                <c:pt idx="671">
                  <c:v>1.3440000000000001</c:v>
                </c:pt>
                <c:pt idx="672">
                  <c:v>1.3460000000000001</c:v>
                </c:pt>
                <c:pt idx="673">
                  <c:v>1.3480000000000001</c:v>
                </c:pt>
                <c:pt idx="674">
                  <c:v>1.35</c:v>
                </c:pt>
                <c:pt idx="675">
                  <c:v>1.3520000000000001</c:v>
                </c:pt>
                <c:pt idx="676">
                  <c:v>1.3540000000000001</c:v>
                </c:pt>
                <c:pt idx="677">
                  <c:v>1.3560000000000001</c:v>
                </c:pt>
                <c:pt idx="678">
                  <c:v>1.3580000000000001</c:v>
                </c:pt>
                <c:pt idx="679">
                  <c:v>1.36</c:v>
                </c:pt>
                <c:pt idx="680">
                  <c:v>1.3620000000000001</c:v>
                </c:pt>
                <c:pt idx="681">
                  <c:v>1.3640000000000001</c:v>
                </c:pt>
                <c:pt idx="682">
                  <c:v>1.3660000000000001</c:v>
                </c:pt>
                <c:pt idx="683">
                  <c:v>1.3680000000000001</c:v>
                </c:pt>
                <c:pt idx="684">
                  <c:v>1.37</c:v>
                </c:pt>
                <c:pt idx="685">
                  <c:v>1.3720000000000001</c:v>
                </c:pt>
                <c:pt idx="686">
                  <c:v>1.3740000000000001</c:v>
                </c:pt>
                <c:pt idx="687">
                  <c:v>1.3759999999999999</c:v>
                </c:pt>
                <c:pt idx="688">
                  <c:v>1.3779999999999999</c:v>
                </c:pt>
                <c:pt idx="689">
                  <c:v>1.38</c:v>
                </c:pt>
                <c:pt idx="690">
                  <c:v>1.3819999999999999</c:v>
                </c:pt>
                <c:pt idx="691">
                  <c:v>1.3839999999999999</c:v>
                </c:pt>
                <c:pt idx="692">
                  <c:v>1.3859999999999999</c:v>
                </c:pt>
                <c:pt idx="693">
                  <c:v>1.3879999999999999</c:v>
                </c:pt>
                <c:pt idx="694">
                  <c:v>1.39</c:v>
                </c:pt>
                <c:pt idx="695">
                  <c:v>1.3919999999999999</c:v>
                </c:pt>
                <c:pt idx="696">
                  <c:v>1.3939999999999999</c:v>
                </c:pt>
                <c:pt idx="697">
                  <c:v>1.3959999999999999</c:v>
                </c:pt>
                <c:pt idx="698">
                  <c:v>1.3979999999999999</c:v>
                </c:pt>
                <c:pt idx="699">
                  <c:v>1.4</c:v>
                </c:pt>
                <c:pt idx="700">
                  <c:v>1.4019999999999999</c:v>
                </c:pt>
                <c:pt idx="701">
                  <c:v>1.4039999999999999</c:v>
                </c:pt>
                <c:pt idx="702">
                  <c:v>1.4059999999999999</c:v>
                </c:pt>
                <c:pt idx="703">
                  <c:v>1.4079999999999999</c:v>
                </c:pt>
                <c:pt idx="704">
                  <c:v>1.41</c:v>
                </c:pt>
                <c:pt idx="705">
                  <c:v>1.4119999999999999</c:v>
                </c:pt>
                <c:pt idx="706">
                  <c:v>1.4139999999999999</c:v>
                </c:pt>
                <c:pt idx="707">
                  <c:v>1.4159999999999999</c:v>
                </c:pt>
                <c:pt idx="708">
                  <c:v>1.4179999999999999</c:v>
                </c:pt>
                <c:pt idx="709">
                  <c:v>1.42</c:v>
                </c:pt>
                <c:pt idx="710">
                  <c:v>1.4219999999999999</c:v>
                </c:pt>
                <c:pt idx="711">
                  <c:v>1.4239999999999999</c:v>
                </c:pt>
                <c:pt idx="712">
                  <c:v>1.4259999999999999</c:v>
                </c:pt>
                <c:pt idx="713">
                  <c:v>1.4279999999999999</c:v>
                </c:pt>
                <c:pt idx="714">
                  <c:v>1.43</c:v>
                </c:pt>
                <c:pt idx="715">
                  <c:v>1.4319999999999999</c:v>
                </c:pt>
                <c:pt idx="716">
                  <c:v>1.4339999999999999</c:v>
                </c:pt>
                <c:pt idx="717">
                  <c:v>1.4359999999999999</c:v>
                </c:pt>
                <c:pt idx="718">
                  <c:v>1.4379999999999999</c:v>
                </c:pt>
                <c:pt idx="719">
                  <c:v>1.44</c:v>
                </c:pt>
                <c:pt idx="720">
                  <c:v>1.4419999999999999</c:v>
                </c:pt>
                <c:pt idx="721">
                  <c:v>1.444</c:v>
                </c:pt>
                <c:pt idx="722">
                  <c:v>1.446</c:v>
                </c:pt>
                <c:pt idx="723">
                  <c:v>1.448</c:v>
                </c:pt>
                <c:pt idx="724">
                  <c:v>1.45</c:v>
                </c:pt>
                <c:pt idx="725">
                  <c:v>1.452</c:v>
                </c:pt>
                <c:pt idx="726">
                  <c:v>1.454</c:v>
                </c:pt>
                <c:pt idx="727">
                  <c:v>1.456</c:v>
                </c:pt>
                <c:pt idx="728">
                  <c:v>1.458</c:v>
                </c:pt>
                <c:pt idx="729">
                  <c:v>1.46</c:v>
                </c:pt>
                <c:pt idx="730">
                  <c:v>1.462</c:v>
                </c:pt>
                <c:pt idx="731">
                  <c:v>1.464</c:v>
                </c:pt>
                <c:pt idx="732">
                  <c:v>1.466</c:v>
                </c:pt>
                <c:pt idx="733">
                  <c:v>1.468</c:v>
                </c:pt>
                <c:pt idx="734">
                  <c:v>1.47</c:v>
                </c:pt>
                <c:pt idx="735">
                  <c:v>1.472</c:v>
                </c:pt>
                <c:pt idx="736">
                  <c:v>1.474</c:v>
                </c:pt>
                <c:pt idx="737">
                  <c:v>1.476</c:v>
                </c:pt>
                <c:pt idx="738">
                  <c:v>1.478</c:v>
                </c:pt>
                <c:pt idx="739">
                  <c:v>1.48</c:v>
                </c:pt>
                <c:pt idx="740">
                  <c:v>1.482</c:v>
                </c:pt>
                <c:pt idx="741">
                  <c:v>1.484</c:v>
                </c:pt>
                <c:pt idx="742">
                  <c:v>1.486</c:v>
                </c:pt>
                <c:pt idx="743">
                  <c:v>1.488</c:v>
                </c:pt>
                <c:pt idx="744">
                  <c:v>1.49</c:v>
                </c:pt>
                <c:pt idx="745">
                  <c:v>1.492</c:v>
                </c:pt>
                <c:pt idx="746">
                  <c:v>1.494</c:v>
                </c:pt>
                <c:pt idx="747">
                  <c:v>1.496</c:v>
                </c:pt>
                <c:pt idx="748">
                  <c:v>1.498</c:v>
                </c:pt>
                <c:pt idx="749">
                  <c:v>1.5</c:v>
                </c:pt>
                <c:pt idx="750">
                  <c:v>1.502</c:v>
                </c:pt>
                <c:pt idx="751">
                  <c:v>1.504</c:v>
                </c:pt>
                <c:pt idx="752">
                  <c:v>1.506</c:v>
                </c:pt>
                <c:pt idx="753">
                  <c:v>1.508</c:v>
                </c:pt>
                <c:pt idx="754">
                  <c:v>1.51</c:v>
                </c:pt>
                <c:pt idx="755">
                  <c:v>1.512</c:v>
                </c:pt>
                <c:pt idx="756">
                  <c:v>1.514</c:v>
                </c:pt>
                <c:pt idx="757">
                  <c:v>1.516</c:v>
                </c:pt>
                <c:pt idx="758">
                  <c:v>1.518</c:v>
                </c:pt>
                <c:pt idx="759">
                  <c:v>1.52</c:v>
                </c:pt>
                <c:pt idx="760">
                  <c:v>1.522</c:v>
                </c:pt>
                <c:pt idx="761">
                  <c:v>1.524</c:v>
                </c:pt>
                <c:pt idx="762">
                  <c:v>1.526</c:v>
                </c:pt>
                <c:pt idx="763">
                  <c:v>1.528</c:v>
                </c:pt>
                <c:pt idx="764">
                  <c:v>1.53</c:v>
                </c:pt>
                <c:pt idx="765">
                  <c:v>1.532</c:v>
                </c:pt>
                <c:pt idx="766">
                  <c:v>1.534</c:v>
                </c:pt>
                <c:pt idx="767">
                  <c:v>1.536</c:v>
                </c:pt>
                <c:pt idx="768">
                  <c:v>1.538</c:v>
                </c:pt>
                <c:pt idx="769">
                  <c:v>1.54</c:v>
                </c:pt>
                <c:pt idx="770">
                  <c:v>1.542</c:v>
                </c:pt>
                <c:pt idx="771">
                  <c:v>1.544</c:v>
                </c:pt>
                <c:pt idx="772">
                  <c:v>1.546</c:v>
                </c:pt>
                <c:pt idx="773">
                  <c:v>1.548</c:v>
                </c:pt>
                <c:pt idx="774">
                  <c:v>1.55</c:v>
                </c:pt>
                <c:pt idx="775">
                  <c:v>1.552</c:v>
                </c:pt>
                <c:pt idx="776">
                  <c:v>1.554</c:v>
                </c:pt>
                <c:pt idx="777">
                  <c:v>1.556</c:v>
                </c:pt>
                <c:pt idx="778">
                  <c:v>1.5580000000000001</c:v>
                </c:pt>
                <c:pt idx="779">
                  <c:v>1.56</c:v>
                </c:pt>
                <c:pt idx="780">
                  <c:v>1.5620000000000001</c:v>
                </c:pt>
                <c:pt idx="781">
                  <c:v>1.5640000000000001</c:v>
                </c:pt>
                <c:pt idx="782">
                  <c:v>1.5660000000000001</c:v>
                </c:pt>
                <c:pt idx="783">
                  <c:v>1.5680000000000001</c:v>
                </c:pt>
                <c:pt idx="784">
                  <c:v>1.57</c:v>
                </c:pt>
                <c:pt idx="785">
                  <c:v>1.5720000000000001</c:v>
                </c:pt>
                <c:pt idx="786">
                  <c:v>1.5740000000000001</c:v>
                </c:pt>
                <c:pt idx="787">
                  <c:v>1.5760000000000001</c:v>
                </c:pt>
                <c:pt idx="788">
                  <c:v>1.5780000000000001</c:v>
                </c:pt>
                <c:pt idx="789">
                  <c:v>1.58</c:v>
                </c:pt>
                <c:pt idx="790">
                  <c:v>1.5820000000000001</c:v>
                </c:pt>
                <c:pt idx="791">
                  <c:v>1.5840000000000001</c:v>
                </c:pt>
                <c:pt idx="792">
                  <c:v>1.5860000000000001</c:v>
                </c:pt>
                <c:pt idx="793">
                  <c:v>1.5880000000000001</c:v>
                </c:pt>
                <c:pt idx="794">
                  <c:v>1.59</c:v>
                </c:pt>
                <c:pt idx="795">
                  <c:v>1.5920000000000001</c:v>
                </c:pt>
                <c:pt idx="796">
                  <c:v>1.5940000000000001</c:v>
                </c:pt>
                <c:pt idx="797">
                  <c:v>1.5960000000000001</c:v>
                </c:pt>
                <c:pt idx="798">
                  <c:v>1.5980000000000001</c:v>
                </c:pt>
                <c:pt idx="799">
                  <c:v>1.6</c:v>
                </c:pt>
                <c:pt idx="800">
                  <c:v>1.6020000000000001</c:v>
                </c:pt>
                <c:pt idx="801">
                  <c:v>1.6040000000000001</c:v>
                </c:pt>
                <c:pt idx="802">
                  <c:v>1.6060000000000001</c:v>
                </c:pt>
                <c:pt idx="803">
                  <c:v>1.6080000000000001</c:v>
                </c:pt>
                <c:pt idx="804">
                  <c:v>1.61</c:v>
                </c:pt>
                <c:pt idx="805">
                  <c:v>1.6120000000000001</c:v>
                </c:pt>
                <c:pt idx="806">
                  <c:v>1.6140000000000001</c:v>
                </c:pt>
                <c:pt idx="807">
                  <c:v>1.6160000000000001</c:v>
                </c:pt>
                <c:pt idx="808">
                  <c:v>1.6180000000000001</c:v>
                </c:pt>
                <c:pt idx="809">
                  <c:v>1.62</c:v>
                </c:pt>
                <c:pt idx="810">
                  <c:v>1.6220000000000001</c:v>
                </c:pt>
                <c:pt idx="811">
                  <c:v>1.6240000000000001</c:v>
                </c:pt>
                <c:pt idx="812">
                  <c:v>1.6259999999999999</c:v>
                </c:pt>
                <c:pt idx="813">
                  <c:v>1.6279999999999999</c:v>
                </c:pt>
                <c:pt idx="814">
                  <c:v>1.63</c:v>
                </c:pt>
                <c:pt idx="815">
                  <c:v>1.6319999999999999</c:v>
                </c:pt>
                <c:pt idx="816">
                  <c:v>1.6339999999999999</c:v>
                </c:pt>
                <c:pt idx="817">
                  <c:v>1.6359999999999999</c:v>
                </c:pt>
                <c:pt idx="818">
                  <c:v>1.6379999999999999</c:v>
                </c:pt>
                <c:pt idx="819">
                  <c:v>1.64</c:v>
                </c:pt>
                <c:pt idx="820">
                  <c:v>1.6419999999999999</c:v>
                </c:pt>
                <c:pt idx="821">
                  <c:v>1.6439999999999999</c:v>
                </c:pt>
                <c:pt idx="822">
                  <c:v>1.6459999999999999</c:v>
                </c:pt>
                <c:pt idx="823">
                  <c:v>1.6479999999999999</c:v>
                </c:pt>
                <c:pt idx="824">
                  <c:v>1.65</c:v>
                </c:pt>
                <c:pt idx="825">
                  <c:v>1.6519999999999999</c:v>
                </c:pt>
                <c:pt idx="826">
                  <c:v>1.6539999999999999</c:v>
                </c:pt>
                <c:pt idx="827">
                  <c:v>1.6559999999999999</c:v>
                </c:pt>
                <c:pt idx="828">
                  <c:v>1.6579999999999999</c:v>
                </c:pt>
                <c:pt idx="829">
                  <c:v>1.66</c:v>
                </c:pt>
                <c:pt idx="830">
                  <c:v>1.6619999999999999</c:v>
                </c:pt>
                <c:pt idx="831">
                  <c:v>1.6639999999999999</c:v>
                </c:pt>
                <c:pt idx="832">
                  <c:v>1.6659999999999999</c:v>
                </c:pt>
                <c:pt idx="833">
                  <c:v>1.6679999999999999</c:v>
                </c:pt>
                <c:pt idx="834">
                  <c:v>1.67</c:v>
                </c:pt>
                <c:pt idx="835">
                  <c:v>1.6719999999999999</c:v>
                </c:pt>
                <c:pt idx="836">
                  <c:v>1.6739999999999999</c:v>
                </c:pt>
                <c:pt idx="837">
                  <c:v>1.6759999999999999</c:v>
                </c:pt>
                <c:pt idx="838">
                  <c:v>1.6779999999999999</c:v>
                </c:pt>
                <c:pt idx="839">
                  <c:v>1.68</c:v>
                </c:pt>
                <c:pt idx="840">
                  <c:v>1.6819999999999999</c:v>
                </c:pt>
                <c:pt idx="841">
                  <c:v>1.6839999999999999</c:v>
                </c:pt>
                <c:pt idx="842">
                  <c:v>1.6859999999999999</c:v>
                </c:pt>
                <c:pt idx="843">
                  <c:v>1.6879999999999999</c:v>
                </c:pt>
                <c:pt idx="844">
                  <c:v>1.69</c:v>
                </c:pt>
                <c:pt idx="845">
                  <c:v>1.6919999999999999</c:v>
                </c:pt>
                <c:pt idx="846">
                  <c:v>1.694</c:v>
                </c:pt>
                <c:pt idx="847">
                  <c:v>1.696</c:v>
                </c:pt>
                <c:pt idx="848">
                  <c:v>1.698</c:v>
                </c:pt>
                <c:pt idx="849">
                  <c:v>1.7</c:v>
                </c:pt>
                <c:pt idx="850">
                  <c:v>1.702</c:v>
                </c:pt>
                <c:pt idx="851">
                  <c:v>1.704</c:v>
                </c:pt>
                <c:pt idx="852">
                  <c:v>1.706</c:v>
                </c:pt>
                <c:pt idx="853">
                  <c:v>1.708</c:v>
                </c:pt>
                <c:pt idx="854">
                  <c:v>1.71</c:v>
                </c:pt>
                <c:pt idx="855">
                  <c:v>1.712</c:v>
                </c:pt>
                <c:pt idx="856">
                  <c:v>1.714</c:v>
                </c:pt>
                <c:pt idx="857">
                  <c:v>1.716</c:v>
                </c:pt>
                <c:pt idx="858">
                  <c:v>1.718</c:v>
                </c:pt>
                <c:pt idx="859">
                  <c:v>1.72</c:v>
                </c:pt>
                <c:pt idx="860">
                  <c:v>1.722</c:v>
                </c:pt>
                <c:pt idx="861">
                  <c:v>1.724</c:v>
                </c:pt>
                <c:pt idx="862">
                  <c:v>1.726</c:v>
                </c:pt>
                <c:pt idx="863">
                  <c:v>1.728</c:v>
                </c:pt>
                <c:pt idx="864">
                  <c:v>1.73</c:v>
                </c:pt>
                <c:pt idx="865">
                  <c:v>1.732</c:v>
                </c:pt>
                <c:pt idx="866">
                  <c:v>1.734</c:v>
                </c:pt>
                <c:pt idx="867">
                  <c:v>1.736</c:v>
                </c:pt>
                <c:pt idx="868">
                  <c:v>1.738</c:v>
                </c:pt>
                <c:pt idx="869">
                  <c:v>1.74</c:v>
                </c:pt>
                <c:pt idx="870">
                  <c:v>1.742</c:v>
                </c:pt>
                <c:pt idx="871">
                  <c:v>1.744</c:v>
                </c:pt>
                <c:pt idx="872">
                  <c:v>1.746</c:v>
                </c:pt>
                <c:pt idx="873">
                  <c:v>1.748</c:v>
                </c:pt>
                <c:pt idx="874">
                  <c:v>1.75</c:v>
                </c:pt>
                <c:pt idx="875">
                  <c:v>1.752</c:v>
                </c:pt>
                <c:pt idx="876">
                  <c:v>1.754</c:v>
                </c:pt>
                <c:pt idx="877">
                  <c:v>1.756</c:v>
                </c:pt>
                <c:pt idx="878">
                  <c:v>1.758</c:v>
                </c:pt>
                <c:pt idx="879">
                  <c:v>1.76</c:v>
                </c:pt>
                <c:pt idx="880">
                  <c:v>1.762</c:v>
                </c:pt>
                <c:pt idx="881">
                  <c:v>1.764</c:v>
                </c:pt>
                <c:pt idx="882">
                  <c:v>1.766</c:v>
                </c:pt>
                <c:pt idx="883">
                  <c:v>1.768</c:v>
                </c:pt>
                <c:pt idx="884">
                  <c:v>1.77</c:v>
                </c:pt>
                <c:pt idx="885">
                  <c:v>1.772</c:v>
                </c:pt>
                <c:pt idx="886">
                  <c:v>1.774</c:v>
                </c:pt>
                <c:pt idx="887">
                  <c:v>1.776</c:v>
                </c:pt>
                <c:pt idx="888">
                  <c:v>1.778</c:v>
                </c:pt>
                <c:pt idx="889">
                  <c:v>1.78</c:v>
                </c:pt>
                <c:pt idx="890">
                  <c:v>1.782</c:v>
                </c:pt>
                <c:pt idx="891">
                  <c:v>1.784</c:v>
                </c:pt>
                <c:pt idx="892">
                  <c:v>1.786</c:v>
                </c:pt>
                <c:pt idx="893">
                  <c:v>1.788</c:v>
                </c:pt>
                <c:pt idx="894">
                  <c:v>1.79</c:v>
                </c:pt>
                <c:pt idx="895">
                  <c:v>1.792</c:v>
                </c:pt>
                <c:pt idx="896">
                  <c:v>1.794</c:v>
                </c:pt>
                <c:pt idx="897">
                  <c:v>1.796</c:v>
                </c:pt>
                <c:pt idx="898">
                  <c:v>1.798</c:v>
                </c:pt>
                <c:pt idx="899">
                  <c:v>1.8</c:v>
                </c:pt>
                <c:pt idx="900">
                  <c:v>1.802</c:v>
                </c:pt>
                <c:pt idx="901">
                  <c:v>1.804</c:v>
                </c:pt>
                <c:pt idx="902">
                  <c:v>1.806</c:v>
                </c:pt>
                <c:pt idx="903">
                  <c:v>1.8080000000000001</c:v>
                </c:pt>
                <c:pt idx="904">
                  <c:v>1.81</c:v>
                </c:pt>
                <c:pt idx="905">
                  <c:v>1.8120000000000001</c:v>
                </c:pt>
                <c:pt idx="906">
                  <c:v>1.8140000000000001</c:v>
                </c:pt>
                <c:pt idx="907">
                  <c:v>1.8160000000000001</c:v>
                </c:pt>
                <c:pt idx="908">
                  <c:v>1.8180000000000001</c:v>
                </c:pt>
                <c:pt idx="909">
                  <c:v>1.82</c:v>
                </c:pt>
                <c:pt idx="910">
                  <c:v>1.8220000000000001</c:v>
                </c:pt>
                <c:pt idx="911">
                  <c:v>1.8240000000000001</c:v>
                </c:pt>
                <c:pt idx="912">
                  <c:v>1.8260000000000001</c:v>
                </c:pt>
                <c:pt idx="913">
                  <c:v>1.8280000000000001</c:v>
                </c:pt>
                <c:pt idx="914">
                  <c:v>1.83</c:v>
                </c:pt>
                <c:pt idx="915">
                  <c:v>1.8320000000000001</c:v>
                </c:pt>
                <c:pt idx="916">
                  <c:v>1.8340000000000001</c:v>
                </c:pt>
                <c:pt idx="917">
                  <c:v>1.8360000000000001</c:v>
                </c:pt>
                <c:pt idx="918">
                  <c:v>1.8380000000000001</c:v>
                </c:pt>
                <c:pt idx="919">
                  <c:v>1.84</c:v>
                </c:pt>
                <c:pt idx="920">
                  <c:v>1.8420000000000001</c:v>
                </c:pt>
                <c:pt idx="921">
                  <c:v>1.8440000000000001</c:v>
                </c:pt>
                <c:pt idx="922">
                  <c:v>1.8460000000000001</c:v>
                </c:pt>
                <c:pt idx="923">
                  <c:v>1.8480000000000001</c:v>
                </c:pt>
                <c:pt idx="924">
                  <c:v>1.85</c:v>
                </c:pt>
                <c:pt idx="925">
                  <c:v>1.8520000000000001</c:v>
                </c:pt>
                <c:pt idx="926">
                  <c:v>1.8540000000000001</c:v>
                </c:pt>
                <c:pt idx="927">
                  <c:v>1.8560000000000001</c:v>
                </c:pt>
                <c:pt idx="928">
                  <c:v>1.8580000000000001</c:v>
                </c:pt>
                <c:pt idx="929">
                  <c:v>1.86</c:v>
                </c:pt>
                <c:pt idx="930">
                  <c:v>1.8620000000000001</c:v>
                </c:pt>
                <c:pt idx="931">
                  <c:v>1.8640000000000001</c:v>
                </c:pt>
                <c:pt idx="932">
                  <c:v>1.8660000000000001</c:v>
                </c:pt>
                <c:pt idx="933">
                  <c:v>1.8680000000000001</c:v>
                </c:pt>
                <c:pt idx="934">
                  <c:v>1.87</c:v>
                </c:pt>
                <c:pt idx="935">
                  <c:v>1.8720000000000001</c:v>
                </c:pt>
                <c:pt idx="936">
                  <c:v>1.8740000000000001</c:v>
                </c:pt>
                <c:pt idx="937">
                  <c:v>1.8759999999999999</c:v>
                </c:pt>
                <c:pt idx="938">
                  <c:v>1.8779999999999999</c:v>
                </c:pt>
                <c:pt idx="939">
                  <c:v>1.88</c:v>
                </c:pt>
                <c:pt idx="940">
                  <c:v>1.8819999999999999</c:v>
                </c:pt>
                <c:pt idx="941">
                  <c:v>1.8839999999999999</c:v>
                </c:pt>
                <c:pt idx="942">
                  <c:v>1.8859999999999999</c:v>
                </c:pt>
                <c:pt idx="943">
                  <c:v>1.8879999999999999</c:v>
                </c:pt>
                <c:pt idx="944">
                  <c:v>1.89</c:v>
                </c:pt>
                <c:pt idx="945">
                  <c:v>1.8919999999999999</c:v>
                </c:pt>
                <c:pt idx="946">
                  <c:v>1.8939999999999999</c:v>
                </c:pt>
                <c:pt idx="947">
                  <c:v>1.8959999999999999</c:v>
                </c:pt>
                <c:pt idx="948">
                  <c:v>1.8979999999999999</c:v>
                </c:pt>
                <c:pt idx="949">
                  <c:v>1.9</c:v>
                </c:pt>
                <c:pt idx="950">
                  <c:v>1.9019999999999999</c:v>
                </c:pt>
                <c:pt idx="951">
                  <c:v>1.9039999999999999</c:v>
                </c:pt>
                <c:pt idx="952">
                  <c:v>1.9059999999999999</c:v>
                </c:pt>
                <c:pt idx="953">
                  <c:v>1.9079999999999999</c:v>
                </c:pt>
                <c:pt idx="954">
                  <c:v>1.91</c:v>
                </c:pt>
                <c:pt idx="955">
                  <c:v>1.9119999999999999</c:v>
                </c:pt>
                <c:pt idx="956">
                  <c:v>1.9139999999999999</c:v>
                </c:pt>
                <c:pt idx="957">
                  <c:v>1.9159999999999999</c:v>
                </c:pt>
                <c:pt idx="958">
                  <c:v>1.9179999999999999</c:v>
                </c:pt>
                <c:pt idx="959">
                  <c:v>1.92</c:v>
                </c:pt>
                <c:pt idx="960">
                  <c:v>1.9219999999999999</c:v>
                </c:pt>
                <c:pt idx="961">
                  <c:v>1.9239999999999999</c:v>
                </c:pt>
                <c:pt idx="962">
                  <c:v>1.9259999999999999</c:v>
                </c:pt>
                <c:pt idx="963">
                  <c:v>1.9279999999999999</c:v>
                </c:pt>
                <c:pt idx="964">
                  <c:v>1.93</c:v>
                </c:pt>
                <c:pt idx="965">
                  <c:v>1.9319999999999999</c:v>
                </c:pt>
                <c:pt idx="966">
                  <c:v>1.9339999999999999</c:v>
                </c:pt>
                <c:pt idx="967">
                  <c:v>1.9359999999999999</c:v>
                </c:pt>
                <c:pt idx="968">
                  <c:v>1.9379999999999999</c:v>
                </c:pt>
                <c:pt idx="969">
                  <c:v>1.94</c:v>
                </c:pt>
                <c:pt idx="970">
                  <c:v>1.9419999999999999</c:v>
                </c:pt>
                <c:pt idx="971">
                  <c:v>1.944</c:v>
                </c:pt>
                <c:pt idx="972">
                  <c:v>1.946</c:v>
                </c:pt>
                <c:pt idx="973">
                  <c:v>1.948</c:v>
                </c:pt>
                <c:pt idx="974">
                  <c:v>1.95</c:v>
                </c:pt>
                <c:pt idx="975">
                  <c:v>1.952</c:v>
                </c:pt>
                <c:pt idx="976">
                  <c:v>1.954</c:v>
                </c:pt>
                <c:pt idx="977">
                  <c:v>1.956</c:v>
                </c:pt>
                <c:pt idx="978">
                  <c:v>1.958</c:v>
                </c:pt>
                <c:pt idx="979">
                  <c:v>1.96</c:v>
                </c:pt>
                <c:pt idx="980">
                  <c:v>1.962</c:v>
                </c:pt>
                <c:pt idx="981">
                  <c:v>1.964</c:v>
                </c:pt>
                <c:pt idx="982">
                  <c:v>1.966</c:v>
                </c:pt>
                <c:pt idx="983">
                  <c:v>1.968</c:v>
                </c:pt>
                <c:pt idx="984">
                  <c:v>1.97</c:v>
                </c:pt>
                <c:pt idx="985">
                  <c:v>1.972</c:v>
                </c:pt>
                <c:pt idx="986">
                  <c:v>1.974</c:v>
                </c:pt>
                <c:pt idx="987">
                  <c:v>1.976</c:v>
                </c:pt>
                <c:pt idx="988">
                  <c:v>1.978</c:v>
                </c:pt>
                <c:pt idx="989">
                  <c:v>1.98</c:v>
                </c:pt>
                <c:pt idx="990">
                  <c:v>1.982</c:v>
                </c:pt>
                <c:pt idx="991">
                  <c:v>1.984</c:v>
                </c:pt>
                <c:pt idx="992">
                  <c:v>1.986</c:v>
                </c:pt>
                <c:pt idx="993">
                  <c:v>1.988</c:v>
                </c:pt>
                <c:pt idx="994">
                  <c:v>1.99</c:v>
                </c:pt>
                <c:pt idx="995">
                  <c:v>1.992</c:v>
                </c:pt>
                <c:pt idx="996">
                  <c:v>1.994</c:v>
                </c:pt>
                <c:pt idx="997">
                  <c:v>1.996</c:v>
                </c:pt>
                <c:pt idx="998">
                  <c:v>1.998</c:v>
                </c:pt>
                <c:pt idx="999">
                  <c:v>2</c:v>
                </c:pt>
                <c:pt idx="1000">
                  <c:v>2.0019999999999998</c:v>
                </c:pt>
                <c:pt idx="1001">
                  <c:v>2.004</c:v>
                </c:pt>
                <c:pt idx="1002">
                  <c:v>2.0059999999999998</c:v>
                </c:pt>
                <c:pt idx="1003">
                  <c:v>2.008</c:v>
                </c:pt>
                <c:pt idx="1004">
                  <c:v>2.0099999999999998</c:v>
                </c:pt>
                <c:pt idx="1005">
                  <c:v>2.012</c:v>
                </c:pt>
                <c:pt idx="1006">
                  <c:v>2.0139999999999998</c:v>
                </c:pt>
                <c:pt idx="1007">
                  <c:v>2.016</c:v>
                </c:pt>
                <c:pt idx="1008">
                  <c:v>2.0179999999999998</c:v>
                </c:pt>
                <c:pt idx="1009">
                  <c:v>2.02</c:v>
                </c:pt>
                <c:pt idx="1010">
                  <c:v>2.0219999999999998</c:v>
                </c:pt>
                <c:pt idx="1011">
                  <c:v>2.024</c:v>
                </c:pt>
                <c:pt idx="1012">
                  <c:v>2.0259999999999998</c:v>
                </c:pt>
                <c:pt idx="1013">
                  <c:v>2.028</c:v>
                </c:pt>
                <c:pt idx="1014">
                  <c:v>2.0299999999999998</c:v>
                </c:pt>
                <c:pt idx="1015">
                  <c:v>2.032</c:v>
                </c:pt>
                <c:pt idx="1016">
                  <c:v>2.0339999999999998</c:v>
                </c:pt>
                <c:pt idx="1017">
                  <c:v>2.036</c:v>
                </c:pt>
                <c:pt idx="1018">
                  <c:v>2.0379999999999998</c:v>
                </c:pt>
                <c:pt idx="1019">
                  <c:v>2.04</c:v>
                </c:pt>
                <c:pt idx="1020">
                  <c:v>2.0419999999999998</c:v>
                </c:pt>
                <c:pt idx="1021">
                  <c:v>2.044</c:v>
                </c:pt>
                <c:pt idx="1022">
                  <c:v>2.0459999999999998</c:v>
                </c:pt>
                <c:pt idx="1023">
                  <c:v>2.048</c:v>
                </c:pt>
                <c:pt idx="1024">
                  <c:v>2.0499999999999998</c:v>
                </c:pt>
                <c:pt idx="1025">
                  <c:v>2.052</c:v>
                </c:pt>
                <c:pt idx="1026">
                  <c:v>2.0539999999999998</c:v>
                </c:pt>
                <c:pt idx="1027">
                  <c:v>2.056</c:v>
                </c:pt>
                <c:pt idx="1028">
                  <c:v>2.0579999999999998</c:v>
                </c:pt>
                <c:pt idx="1029">
                  <c:v>2.06</c:v>
                </c:pt>
                <c:pt idx="1030">
                  <c:v>2.0619999999999998</c:v>
                </c:pt>
                <c:pt idx="1031">
                  <c:v>2.0640000000000001</c:v>
                </c:pt>
                <c:pt idx="1032">
                  <c:v>2.0659999999999998</c:v>
                </c:pt>
                <c:pt idx="1033">
                  <c:v>2.0680000000000001</c:v>
                </c:pt>
                <c:pt idx="1034">
                  <c:v>2.0699999999999998</c:v>
                </c:pt>
                <c:pt idx="1035">
                  <c:v>2.0720000000000001</c:v>
                </c:pt>
                <c:pt idx="1036">
                  <c:v>2.0739999999999998</c:v>
                </c:pt>
                <c:pt idx="1037">
                  <c:v>2.0760000000000001</c:v>
                </c:pt>
                <c:pt idx="1038">
                  <c:v>2.0779999999999998</c:v>
                </c:pt>
                <c:pt idx="1039">
                  <c:v>2.08</c:v>
                </c:pt>
                <c:pt idx="1040">
                  <c:v>2.0819999999999999</c:v>
                </c:pt>
                <c:pt idx="1041">
                  <c:v>2.0840000000000001</c:v>
                </c:pt>
                <c:pt idx="1042">
                  <c:v>2.0859999999999999</c:v>
                </c:pt>
                <c:pt idx="1043">
                  <c:v>2.0880000000000001</c:v>
                </c:pt>
                <c:pt idx="1044">
                  <c:v>2.09</c:v>
                </c:pt>
                <c:pt idx="1045">
                  <c:v>2.0920000000000001</c:v>
                </c:pt>
                <c:pt idx="1046">
                  <c:v>2.0939999999999999</c:v>
                </c:pt>
                <c:pt idx="1047">
                  <c:v>2.0960000000000001</c:v>
                </c:pt>
                <c:pt idx="1048">
                  <c:v>2.0979999999999999</c:v>
                </c:pt>
                <c:pt idx="1049">
                  <c:v>2.1</c:v>
                </c:pt>
                <c:pt idx="1050">
                  <c:v>2.1019999999999999</c:v>
                </c:pt>
                <c:pt idx="1051">
                  <c:v>2.1040000000000001</c:v>
                </c:pt>
                <c:pt idx="1052">
                  <c:v>2.1059999999999999</c:v>
                </c:pt>
                <c:pt idx="1053">
                  <c:v>2.1080000000000001</c:v>
                </c:pt>
                <c:pt idx="1054">
                  <c:v>2.11</c:v>
                </c:pt>
                <c:pt idx="1055">
                  <c:v>2.1120000000000001</c:v>
                </c:pt>
                <c:pt idx="1056">
                  <c:v>2.1139999999999999</c:v>
                </c:pt>
                <c:pt idx="1057">
                  <c:v>2.1160000000000001</c:v>
                </c:pt>
                <c:pt idx="1058">
                  <c:v>2.1179999999999999</c:v>
                </c:pt>
                <c:pt idx="1059">
                  <c:v>2.12</c:v>
                </c:pt>
                <c:pt idx="1060">
                  <c:v>2.1219999999999999</c:v>
                </c:pt>
                <c:pt idx="1061">
                  <c:v>2.1240000000000001</c:v>
                </c:pt>
                <c:pt idx="1062">
                  <c:v>2.1259999999999999</c:v>
                </c:pt>
                <c:pt idx="1063">
                  <c:v>2.1280000000000001</c:v>
                </c:pt>
                <c:pt idx="1064">
                  <c:v>2.13</c:v>
                </c:pt>
                <c:pt idx="1065">
                  <c:v>2.1320000000000001</c:v>
                </c:pt>
                <c:pt idx="1066">
                  <c:v>2.1339999999999999</c:v>
                </c:pt>
                <c:pt idx="1067">
                  <c:v>2.1360000000000001</c:v>
                </c:pt>
                <c:pt idx="1068">
                  <c:v>2.1379999999999999</c:v>
                </c:pt>
                <c:pt idx="1069">
                  <c:v>2.14</c:v>
                </c:pt>
                <c:pt idx="1070">
                  <c:v>2.1419999999999999</c:v>
                </c:pt>
                <c:pt idx="1071">
                  <c:v>2.1440000000000001</c:v>
                </c:pt>
                <c:pt idx="1072">
                  <c:v>2.1459999999999999</c:v>
                </c:pt>
                <c:pt idx="1073">
                  <c:v>2.1480000000000001</c:v>
                </c:pt>
                <c:pt idx="1074">
                  <c:v>2.15</c:v>
                </c:pt>
                <c:pt idx="1075">
                  <c:v>2.1520000000000001</c:v>
                </c:pt>
                <c:pt idx="1076">
                  <c:v>2.1539999999999999</c:v>
                </c:pt>
                <c:pt idx="1077">
                  <c:v>2.1560000000000001</c:v>
                </c:pt>
                <c:pt idx="1078">
                  <c:v>2.1579999999999999</c:v>
                </c:pt>
                <c:pt idx="1079">
                  <c:v>2.16</c:v>
                </c:pt>
                <c:pt idx="1080">
                  <c:v>2.1619999999999999</c:v>
                </c:pt>
                <c:pt idx="1081">
                  <c:v>2.1640000000000001</c:v>
                </c:pt>
                <c:pt idx="1082">
                  <c:v>2.1659999999999999</c:v>
                </c:pt>
                <c:pt idx="1083">
                  <c:v>2.1680000000000001</c:v>
                </c:pt>
                <c:pt idx="1084">
                  <c:v>2.17</c:v>
                </c:pt>
                <c:pt idx="1085">
                  <c:v>2.1720000000000002</c:v>
                </c:pt>
                <c:pt idx="1086">
                  <c:v>2.1739999999999999</c:v>
                </c:pt>
                <c:pt idx="1087">
                  <c:v>2.1760000000000002</c:v>
                </c:pt>
                <c:pt idx="1088">
                  <c:v>2.1779999999999999</c:v>
                </c:pt>
                <c:pt idx="1089">
                  <c:v>2.1800000000000002</c:v>
                </c:pt>
                <c:pt idx="1090">
                  <c:v>2.1819999999999999</c:v>
                </c:pt>
                <c:pt idx="1091">
                  <c:v>2.1840000000000002</c:v>
                </c:pt>
                <c:pt idx="1092">
                  <c:v>2.1859999999999999</c:v>
                </c:pt>
                <c:pt idx="1093">
                  <c:v>2.1880000000000002</c:v>
                </c:pt>
                <c:pt idx="1094">
                  <c:v>2.19</c:v>
                </c:pt>
                <c:pt idx="1095">
                  <c:v>2.1920000000000002</c:v>
                </c:pt>
                <c:pt idx="1096">
                  <c:v>2.194</c:v>
                </c:pt>
                <c:pt idx="1097">
                  <c:v>2.1960000000000002</c:v>
                </c:pt>
                <c:pt idx="1098">
                  <c:v>2.198</c:v>
                </c:pt>
                <c:pt idx="1099">
                  <c:v>2.2000000000000002</c:v>
                </c:pt>
                <c:pt idx="1100">
                  <c:v>2.202</c:v>
                </c:pt>
                <c:pt idx="1101">
                  <c:v>2.2040000000000002</c:v>
                </c:pt>
                <c:pt idx="1102">
                  <c:v>2.206</c:v>
                </c:pt>
                <c:pt idx="1103">
                  <c:v>2.2080000000000002</c:v>
                </c:pt>
                <c:pt idx="1104">
                  <c:v>2.21</c:v>
                </c:pt>
                <c:pt idx="1105">
                  <c:v>2.2120000000000002</c:v>
                </c:pt>
                <c:pt idx="1106">
                  <c:v>2.214</c:v>
                </c:pt>
                <c:pt idx="1107">
                  <c:v>2.2160000000000002</c:v>
                </c:pt>
                <c:pt idx="1108">
                  <c:v>2.218</c:v>
                </c:pt>
                <c:pt idx="1109">
                  <c:v>2.2200000000000002</c:v>
                </c:pt>
                <c:pt idx="1110">
                  <c:v>2.222</c:v>
                </c:pt>
                <c:pt idx="1111">
                  <c:v>2.2240000000000002</c:v>
                </c:pt>
                <c:pt idx="1112">
                  <c:v>2.226</c:v>
                </c:pt>
                <c:pt idx="1113">
                  <c:v>2.2280000000000002</c:v>
                </c:pt>
                <c:pt idx="1114">
                  <c:v>2.23</c:v>
                </c:pt>
                <c:pt idx="1115">
                  <c:v>2.2320000000000002</c:v>
                </c:pt>
                <c:pt idx="1116">
                  <c:v>2.234</c:v>
                </c:pt>
                <c:pt idx="1117">
                  <c:v>2.2360000000000002</c:v>
                </c:pt>
                <c:pt idx="1118">
                  <c:v>2.238</c:v>
                </c:pt>
                <c:pt idx="1119">
                  <c:v>2.2400000000000002</c:v>
                </c:pt>
                <c:pt idx="1120">
                  <c:v>2.242</c:v>
                </c:pt>
                <c:pt idx="1121">
                  <c:v>2.2440000000000002</c:v>
                </c:pt>
                <c:pt idx="1122">
                  <c:v>2.246</c:v>
                </c:pt>
                <c:pt idx="1123">
                  <c:v>2.2480000000000002</c:v>
                </c:pt>
                <c:pt idx="1124">
                  <c:v>2.25</c:v>
                </c:pt>
                <c:pt idx="1125">
                  <c:v>2.2519999999999998</c:v>
                </c:pt>
                <c:pt idx="1126">
                  <c:v>2.254</c:v>
                </c:pt>
                <c:pt idx="1127">
                  <c:v>2.2559999999999998</c:v>
                </c:pt>
                <c:pt idx="1128">
                  <c:v>2.258</c:v>
                </c:pt>
                <c:pt idx="1129">
                  <c:v>2.2599999999999998</c:v>
                </c:pt>
                <c:pt idx="1130">
                  <c:v>2.262</c:v>
                </c:pt>
                <c:pt idx="1131">
                  <c:v>2.2639999999999998</c:v>
                </c:pt>
                <c:pt idx="1132">
                  <c:v>2.266</c:v>
                </c:pt>
                <c:pt idx="1133">
                  <c:v>2.2679999999999998</c:v>
                </c:pt>
                <c:pt idx="1134">
                  <c:v>2.27</c:v>
                </c:pt>
                <c:pt idx="1135">
                  <c:v>2.2719999999999998</c:v>
                </c:pt>
                <c:pt idx="1136">
                  <c:v>2.274</c:v>
                </c:pt>
                <c:pt idx="1137">
                  <c:v>2.2759999999999998</c:v>
                </c:pt>
                <c:pt idx="1138">
                  <c:v>2.278</c:v>
                </c:pt>
                <c:pt idx="1139">
                  <c:v>2.2799999999999998</c:v>
                </c:pt>
                <c:pt idx="1140">
                  <c:v>2.282</c:v>
                </c:pt>
                <c:pt idx="1141">
                  <c:v>2.2839999999999998</c:v>
                </c:pt>
                <c:pt idx="1142">
                  <c:v>2.286</c:v>
                </c:pt>
                <c:pt idx="1143">
                  <c:v>2.2879999999999998</c:v>
                </c:pt>
                <c:pt idx="1144">
                  <c:v>2.29</c:v>
                </c:pt>
                <c:pt idx="1145">
                  <c:v>2.2919999999999998</c:v>
                </c:pt>
                <c:pt idx="1146">
                  <c:v>2.294</c:v>
                </c:pt>
                <c:pt idx="1147">
                  <c:v>2.2959999999999998</c:v>
                </c:pt>
                <c:pt idx="1148">
                  <c:v>2.298</c:v>
                </c:pt>
                <c:pt idx="1149">
                  <c:v>2.2999999999999998</c:v>
                </c:pt>
                <c:pt idx="1150">
                  <c:v>2.302</c:v>
                </c:pt>
                <c:pt idx="1151">
                  <c:v>2.3039999999999998</c:v>
                </c:pt>
                <c:pt idx="1152">
                  <c:v>2.306</c:v>
                </c:pt>
                <c:pt idx="1153">
                  <c:v>2.3079999999999998</c:v>
                </c:pt>
                <c:pt idx="1154">
                  <c:v>2.31</c:v>
                </c:pt>
                <c:pt idx="1155">
                  <c:v>2.3119999999999998</c:v>
                </c:pt>
                <c:pt idx="1156">
                  <c:v>2.3140000000000001</c:v>
                </c:pt>
                <c:pt idx="1157">
                  <c:v>2.3159999999999998</c:v>
                </c:pt>
                <c:pt idx="1158">
                  <c:v>2.3180000000000001</c:v>
                </c:pt>
                <c:pt idx="1159">
                  <c:v>2.3199999999999998</c:v>
                </c:pt>
                <c:pt idx="1160">
                  <c:v>2.3220000000000001</c:v>
                </c:pt>
                <c:pt idx="1161">
                  <c:v>2.3239999999999998</c:v>
                </c:pt>
                <c:pt idx="1162">
                  <c:v>2.3260000000000001</c:v>
                </c:pt>
                <c:pt idx="1163">
                  <c:v>2.3279999999999998</c:v>
                </c:pt>
                <c:pt idx="1164">
                  <c:v>2.33</c:v>
                </c:pt>
                <c:pt idx="1165">
                  <c:v>2.3319999999999999</c:v>
                </c:pt>
                <c:pt idx="1166">
                  <c:v>2.3340000000000001</c:v>
                </c:pt>
                <c:pt idx="1167">
                  <c:v>2.3359999999999999</c:v>
                </c:pt>
                <c:pt idx="1168">
                  <c:v>2.3380000000000001</c:v>
                </c:pt>
                <c:pt idx="1169">
                  <c:v>2.34</c:v>
                </c:pt>
                <c:pt idx="1170">
                  <c:v>2.3420000000000001</c:v>
                </c:pt>
                <c:pt idx="1171">
                  <c:v>2.3439999999999999</c:v>
                </c:pt>
                <c:pt idx="1172">
                  <c:v>2.3460000000000001</c:v>
                </c:pt>
                <c:pt idx="1173">
                  <c:v>2.3479999999999999</c:v>
                </c:pt>
                <c:pt idx="1174">
                  <c:v>2.35</c:v>
                </c:pt>
                <c:pt idx="1175">
                  <c:v>2.3519999999999999</c:v>
                </c:pt>
                <c:pt idx="1176">
                  <c:v>2.3540000000000001</c:v>
                </c:pt>
                <c:pt idx="1177">
                  <c:v>2.3559999999999999</c:v>
                </c:pt>
                <c:pt idx="1178">
                  <c:v>2.3580000000000001</c:v>
                </c:pt>
                <c:pt idx="1179">
                  <c:v>2.36</c:v>
                </c:pt>
                <c:pt idx="1180">
                  <c:v>2.3620000000000001</c:v>
                </c:pt>
                <c:pt idx="1181">
                  <c:v>2.3639999999999999</c:v>
                </c:pt>
                <c:pt idx="1182">
                  <c:v>2.3660000000000001</c:v>
                </c:pt>
                <c:pt idx="1183">
                  <c:v>2.3679999999999999</c:v>
                </c:pt>
                <c:pt idx="1184">
                  <c:v>2.37</c:v>
                </c:pt>
                <c:pt idx="1185">
                  <c:v>2.3719999999999999</c:v>
                </c:pt>
                <c:pt idx="1186">
                  <c:v>2.3740000000000001</c:v>
                </c:pt>
                <c:pt idx="1187">
                  <c:v>2.3759999999999999</c:v>
                </c:pt>
                <c:pt idx="1188">
                  <c:v>2.3780000000000001</c:v>
                </c:pt>
                <c:pt idx="1189">
                  <c:v>2.38</c:v>
                </c:pt>
                <c:pt idx="1190">
                  <c:v>2.3820000000000001</c:v>
                </c:pt>
                <c:pt idx="1191">
                  <c:v>2.3839999999999999</c:v>
                </c:pt>
                <c:pt idx="1192">
                  <c:v>2.3860000000000001</c:v>
                </c:pt>
                <c:pt idx="1193">
                  <c:v>2.3879999999999999</c:v>
                </c:pt>
                <c:pt idx="1194">
                  <c:v>2.39</c:v>
                </c:pt>
                <c:pt idx="1195">
                  <c:v>2.3919999999999999</c:v>
                </c:pt>
                <c:pt idx="1196">
                  <c:v>2.3940000000000001</c:v>
                </c:pt>
                <c:pt idx="1197">
                  <c:v>2.3959999999999999</c:v>
                </c:pt>
                <c:pt idx="1198">
                  <c:v>2.3980000000000001</c:v>
                </c:pt>
                <c:pt idx="1199">
                  <c:v>2.4</c:v>
                </c:pt>
                <c:pt idx="1200">
                  <c:v>2.4020000000000001</c:v>
                </c:pt>
                <c:pt idx="1201">
                  <c:v>2.4039999999999999</c:v>
                </c:pt>
                <c:pt idx="1202">
                  <c:v>2.4060000000000001</c:v>
                </c:pt>
                <c:pt idx="1203">
                  <c:v>2.4079999999999999</c:v>
                </c:pt>
                <c:pt idx="1204">
                  <c:v>2.41</c:v>
                </c:pt>
                <c:pt idx="1205">
                  <c:v>2.4119999999999999</c:v>
                </c:pt>
                <c:pt idx="1206">
                  <c:v>2.4140000000000001</c:v>
                </c:pt>
                <c:pt idx="1207">
                  <c:v>2.4159999999999999</c:v>
                </c:pt>
                <c:pt idx="1208">
                  <c:v>2.4180000000000001</c:v>
                </c:pt>
                <c:pt idx="1209">
                  <c:v>2.42</c:v>
                </c:pt>
                <c:pt idx="1210">
                  <c:v>2.4220000000000002</c:v>
                </c:pt>
                <c:pt idx="1211">
                  <c:v>2.4239999999999999</c:v>
                </c:pt>
                <c:pt idx="1212">
                  <c:v>2.4260000000000002</c:v>
                </c:pt>
                <c:pt idx="1213">
                  <c:v>2.4279999999999999</c:v>
                </c:pt>
                <c:pt idx="1214">
                  <c:v>2.4300000000000002</c:v>
                </c:pt>
                <c:pt idx="1215">
                  <c:v>2.4319999999999999</c:v>
                </c:pt>
                <c:pt idx="1216">
                  <c:v>2.4340000000000002</c:v>
                </c:pt>
                <c:pt idx="1217">
                  <c:v>2.4359999999999999</c:v>
                </c:pt>
                <c:pt idx="1218">
                  <c:v>2.4380000000000002</c:v>
                </c:pt>
                <c:pt idx="1219">
                  <c:v>2.44</c:v>
                </c:pt>
                <c:pt idx="1220">
                  <c:v>2.4420000000000002</c:v>
                </c:pt>
                <c:pt idx="1221">
                  <c:v>2.444</c:v>
                </c:pt>
                <c:pt idx="1222">
                  <c:v>2.4460000000000002</c:v>
                </c:pt>
                <c:pt idx="1223">
                  <c:v>2.448</c:v>
                </c:pt>
                <c:pt idx="1224">
                  <c:v>2.4500000000000002</c:v>
                </c:pt>
                <c:pt idx="1225">
                  <c:v>2.452</c:v>
                </c:pt>
                <c:pt idx="1226">
                  <c:v>2.4540000000000002</c:v>
                </c:pt>
                <c:pt idx="1227">
                  <c:v>2.456</c:v>
                </c:pt>
                <c:pt idx="1228">
                  <c:v>2.4580000000000002</c:v>
                </c:pt>
                <c:pt idx="1229">
                  <c:v>2.46</c:v>
                </c:pt>
                <c:pt idx="1230">
                  <c:v>2.4620000000000002</c:v>
                </c:pt>
                <c:pt idx="1231">
                  <c:v>2.464</c:v>
                </c:pt>
                <c:pt idx="1232">
                  <c:v>2.4660000000000002</c:v>
                </c:pt>
                <c:pt idx="1233">
                  <c:v>2.468</c:v>
                </c:pt>
                <c:pt idx="1234">
                  <c:v>2.4700000000000002</c:v>
                </c:pt>
                <c:pt idx="1235">
                  <c:v>2.472</c:v>
                </c:pt>
                <c:pt idx="1236">
                  <c:v>2.4740000000000002</c:v>
                </c:pt>
                <c:pt idx="1237">
                  <c:v>2.476</c:v>
                </c:pt>
                <c:pt idx="1238">
                  <c:v>2.4780000000000002</c:v>
                </c:pt>
                <c:pt idx="1239">
                  <c:v>2.48</c:v>
                </c:pt>
                <c:pt idx="1240">
                  <c:v>2.4820000000000002</c:v>
                </c:pt>
                <c:pt idx="1241">
                  <c:v>2.484</c:v>
                </c:pt>
                <c:pt idx="1242">
                  <c:v>2.4860000000000002</c:v>
                </c:pt>
                <c:pt idx="1243">
                  <c:v>2.488</c:v>
                </c:pt>
                <c:pt idx="1244">
                  <c:v>2.4900000000000002</c:v>
                </c:pt>
                <c:pt idx="1245">
                  <c:v>2.492</c:v>
                </c:pt>
                <c:pt idx="1246">
                  <c:v>2.4940000000000002</c:v>
                </c:pt>
                <c:pt idx="1247">
                  <c:v>2.496</c:v>
                </c:pt>
                <c:pt idx="1248">
                  <c:v>2.4980000000000002</c:v>
                </c:pt>
                <c:pt idx="1249">
                  <c:v>2.5</c:v>
                </c:pt>
                <c:pt idx="1250">
                  <c:v>2.5019999999999998</c:v>
                </c:pt>
                <c:pt idx="1251">
                  <c:v>2.504</c:v>
                </c:pt>
                <c:pt idx="1252">
                  <c:v>2.5059999999999998</c:v>
                </c:pt>
                <c:pt idx="1253">
                  <c:v>2.508</c:v>
                </c:pt>
                <c:pt idx="1254">
                  <c:v>2.5099999999999998</c:v>
                </c:pt>
                <c:pt idx="1255">
                  <c:v>2.512</c:v>
                </c:pt>
                <c:pt idx="1256">
                  <c:v>2.5139999999999998</c:v>
                </c:pt>
                <c:pt idx="1257">
                  <c:v>2.516</c:v>
                </c:pt>
                <c:pt idx="1258">
                  <c:v>2.5179999999999998</c:v>
                </c:pt>
                <c:pt idx="1259">
                  <c:v>2.52</c:v>
                </c:pt>
                <c:pt idx="1260">
                  <c:v>2.5219999999999998</c:v>
                </c:pt>
                <c:pt idx="1261">
                  <c:v>2.524</c:v>
                </c:pt>
                <c:pt idx="1262">
                  <c:v>2.5259999999999998</c:v>
                </c:pt>
                <c:pt idx="1263">
                  <c:v>2.528</c:v>
                </c:pt>
                <c:pt idx="1264">
                  <c:v>2.5299999999999998</c:v>
                </c:pt>
                <c:pt idx="1265">
                  <c:v>2.532</c:v>
                </c:pt>
                <c:pt idx="1266">
                  <c:v>2.5339999999999998</c:v>
                </c:pt>
                <c:pt idx="1267">
                  <c:v>2.536</c:v>
                </c:pt>
                <c:pt idx="1268">
                  <c:v>2.5379999999999998</c:v>
                </c:pt>
                <c:pt idx="1269">
                  <c:v>2.54</c:v>
                </c:pt>
                <c:pt idx="1270">
                  <c:v>2.5419999999999998</c:v>
                </c:pt>
                <c:pt idx="1271">
                  <c:v>2.544</c:v>
                </c:pt>
                <c:pt idx="1272">
                  <c:v>2.5459999999999998</c:v>
                </c:pt>
                <c:pt idx="1273">
                  <c:v>2.548</c:v>
                </c:pt>
                <c:pt idx="1274">
                  <c:v>2.5499999999999998</c:v>
                </c:pt>
                <c:pt idx="1275">
                  <c:v>2.552</c:v>
                </c:pt>
                <c:pt idx="1276">
                  <c:v>2.5539999999999998</c:v>
                </c:pt>
                <c:pt idx="1277">
                  <c:v>2.556</c:v>
                </c:pt>
                <c:pt idx="1278">
                  <c:v>2.5579999999999998</c:v>
                </c:pt>
                <c:pt idx="1279">
                  <c:v>2.56</c:v>
                </c:pt>
                <c:pt idx="1280">
                  <c:v>2.5619999999999998</c:v>
                </c:pt>
                <c:pt idx="1281">
                  <c:v>2.5640000000000001</c:v>
                </c:pt>
                <c:pt idx="1282">
                  <c:v>2.5659999999999998</c:v>
                </c:pt>
                <c:pt idx="1283">
                  <c:v>2.5680000000000001</c:v>
                </c:pt>
                <c:pt idx="1284">
                  <c:v>2.57</c:v>
                </c:pt>
                <c:pt idx="1285">
                  <c:v>2.5720000000000001</c:v>
                </c:pt>
                <c:pt idx="1286">
                  <c:v>2.5739999999999998</c:v>
                </c:pt>
                <c:pt idx="1287">
                  <c:v>2.5760000000000001</c:v>
                </c:pt>
                <c:pt idx="1288">
                  <c:v>2.5779999999999998</c:v>
                </c:pt>
                <c:pt idx="1289">
                  <c:v>2.58</c:v>
                </c:pt>
                <c:pt idx="1290">
                  <c:v>2.5819999999999999</c:v>
                </c:pt>
                <c:pt idx="1291">
                  <c:v>2.5840000000000001</c:v>
                </c:pt>
                <c:pt idx="1292">
                  <c:v>2.5859999999999999</c:v>
                </c:pt>
                <c:pt idx="1293">
                  <c:v>2.5880000000000001</c:v>
                </c:pt>
                <c:pt idx="1294">
                  <c:v>2.59</c:v>
                </c:pt>
                <c:pt idx="1295">
                  <c:v>2.5920000000000001</c:v>
                </c:pt>
                <c:pt idx="1296">
                  <c:v>2.5939999999999999</c:v>
                </c:pt>
                <c:pt idx="1297">
                  <c:v>2.5960000000000001</c:v>
                </c:pt>
                <c:pt idx="1298">
                  <c:v>2.5979999999999999</c:v>
                </c:pt>
                <c:pt idx="1299">
                  <c:v>2.6</c:v>
                </c:pt>
                <c:pt idx="1300">
                  <c:v>2.6019999999999999</c:v>
                </c:pt>
                <c:pt idx="1301">
                  <c:v>2.6040000000000001</c:v>
                </c:pt>
                <c:pt idx="1302">
                  <c:v>2.6059999999999999</c:v>
                </c:pt>
                <c:pt idx="1303">
                  <c:v>2.6080000000000001</c:v>
                </c:pt>
                <c:pt idx="1304">
                  <c:v>2.61</c:v>
                </c:pt>
                <c:pt idx="1305">
                  <c:v>2.6120000000000001</c:v>
                </c:pt>
                <c:pt idx="1306">
                  <c:v>2.6139999999999999</c:v>
                </c:pt>
                <c:pt idx="1307">
                  <c:v>2.6160000000000001</c:v>
                </c:pt>
              </c:numCache>
            </c:numRef>
          </c:xVal>
          <c:yVal>
            <c:numRef>
              <c:f>Sheet3!$O$2:$O$1309</c:f>
              <c:numCache>
                <c:formatCode>General</c:formatCode>
                <c:ptCount val="1308"/>
                <c:pt idx="0">
                  <c:v>4.0544585954635625E-3</c:v>
                </c:pt>
                <c:pt idx="1">
                  <c:v>4.095003181418198E-3</c:v>
                </c:pt>
                <c:pt idx="2">
                  <c:v>4.1282497709119528E-3</c:v>
                </c:pt>
                <c:pt idx="3">
                  <c:v>4.178159887605992E-3</c:v>
                </c:pt>
                <c:pt idx="4">
                  <c:v>4.2190985163914592E-3</c:v>
                </c:pt>
                <c:pt idx="5">
                  <c:v>4.2410561526659771E-3</c:v>
                </c:pt>
                <c:pt idx="6">
                  <c:v>4.2706986412765716E-3</c:v>
                </c:pt>
                <c:pt idx="7">
                  <c:v>4.2480333062799268E-3</c:v>
                </c:pt>
                <c:pt idx="8">
                  <c:v>4.2072201688504408E-3</c:v>
                </c:pt>
                <c:pt idx="9">
                  <c:v>4.1578244391394263E-3</c:v>
                </c:pt>
                <c:pt idx="10">
                  <c:v>4.095003181418198E-3</c:v>
                </c:pt>
                <c:pt idx="11">
                  <c:v>4.095003181418198E-3</c:v>
                </c:pt>
                <c:pt idx="12">
                  <c:v>4.095003181418198E-3</c:v>
                </c:pt>
                <c:pt idx="13">
                  <c:v>4.095003181418198E-3</c:v>
                </c:pt>
                <c:pt idx="14">
                  <c:v>4.118723287845156E-3</c:v>
                </c:pt>
                <c:pt idx="15">
                  <c:v>4.1615815529439113E-3</c:v>
                </c:pt>
                <c:pt idx="16">
                  <c:v>4.2121616826413816E-3</c:v>
                </c:pt>
                <c:pt idx="17">
                  <c:v>4.2594945674464422E-3</c:v>
                </c:pt>
                <c:pt idx="18">
                  <c:v>4.2930320940615359E-3</c:v>
                </c:pt>
                <c:pt idx="19">
                  <c:v>4.3317465801394096E-3</c:v>
                </c:pt>
                <c:pt idx="20">
                  <c:v>4.3290653725421907E-3</c:v>
                </c:pt>
                <c:pt idx="21">
                  <c:v>4.3035370079989891E-3</c:v>
                </c:pt>
                <c:pt idx="22">
                  <c:v>4.2607944825295884E-3</c:v>
                </c:pt>
                <c:pt idx="23">
                  <c:v>4.2101020100113185E-3</c:v>
                </c:pt>
                <c:pt idx="24">
                  <c:v>4.1621768476835484E-3</c:v>
                </c:pt>
                <c:pt idx="25">
                  <c:v>4.1634198141823238E-3</c:v>
                </c:pt>
                <c:pt idx="26">
                  <c:v>4.1371138024384139E-3</c:v>
                </c:pt>
                <c:pt idx="27">
                  <c:v>4.132650305287997E-3</c:v>
                </c:pt>
                <c:pt idx="28">
                  <c:v>4.1508800894780691E-3</c:v>
                </c:pt>
                <c:pt idx="29">
                  <c:v>4.1883153450948448E-3</c:v>
                </c:pt>
                <c:pt idx="30">
                  <c:v>4.2376846459361329E-3</c:v>
                </c:pt>
                <c:pt idx="31">
                  <c:v>4.2891730615744247E-3</c:v>
                </c:pt>
                <c:pt idx="32">
                  <c:v>4.3342489145844869E-3</c:v>
                </c:pt>
                <c:pt idx="33">
                  <c:v>4.3720187724137632E-3</c:v>
                </c:pt>
                <c:pt idx="34">
                  <c:v>4.3897537176515932E-3</c:v>
                </c:pt>
                <c:pt idx="35">
                  <c:v>4.3837957327619399E-3</c:v>
                </c:pt>
                <c:pt idx="36">
                  <c:v>4.3553772328195342E-3</c:v>
                </c:pt>
                <c:pt idx="37">
                  <c:v>4.3103276565191377E-3</c:v>
                </c:pt>
                <c:pt idx="38">
                  <c:v>4.2577226058460836E-3</c:v>
                </c:pt>
                <c:pt idx="39">
                  <c:v>4.2642228263090462E-3</c:v>
                </c:pt>
                <c:pt idx="40">
                  <c:v>4.2162411467547662E-3</c:v>
                </c:pt>
                <c:pt idx="41">
                  <c:v>4.1828240219135325E-3</c:v>
                </c:pt>
                <c:pt idx="42">
                  <c:v>4.1699831827657786E-3</c:v>
                </c:pt>
                <c:pt idx="43">
                  <c:v>4.180001538458808E-3</c:v>
                </c:pt>
                <c:pt idx="44">
                  <c:v>4.2110992659144635E-3</c:v>
                </c:pt>
                <c:pt idx="45">
                  <c:v>4.2382934863215305E-3</c:v>
                </c:pt>
                <c:pt idx="46">
                  <c:v>4.2884873849694336E-3</c:v>
                </c:pt>
                <c:pt idx="47">
                  <c:v>4.3439192923997215E-3</c:v>
                </c:pt>
                <c:pt idx="48">
                  <c:v>4.3944893120632768E-3</c:v>
                </c:pt>
                <c:pt idx="49">
                  <c:v>4.43075024091567E-3</c:v>
                </c:pt>
                <c:pt idx="50">
                  <c:v>4.445790316838563E-3</c:v>
                </c:pt>
                <c:pt idx="51">
                  <c:v>4.4367088479612691E-3</c:v>
                </c:pt>
                <c:pt idx="52">
                  <c:v>4.4601145242930485E-3</c:v>
                </c:pt>
                <c:pt idx="53">
                  <c:v>4.42667094686714E-3</c:v>
                </c:pt>
                <c:pt idx="54">
                  <c:v>4.3774538286063787E-3</c:v>
                </c:pt>
                <c:pt idx="55">
                  <c:v>4.3213868788521325E-3</c:v>
                </c:pt>
                <c:pt idx="56">
                  <c:v>4.2683949270243314E-3</c:v>
                </c:pt>
                <c:pt idx="57">
                  <c:v>4.2276241011792517E-3</c:v>
                </c:pt>
                <c:pt idx="58">
                  <c:v>4.2059570974306727E-3</c:v>
                </c:pt>
                <c:pt idx="59">
                  <c:v>4.2211507650707211E-3</c:v>
                </c:pt>
                <c:pt idx="60">
                  <c:v>4.2216349192582339E-3</c:v>
                </c:pt>
                <c:pt idx="61">
                  <c:v>4.2449701867911076E-3</c:v>
                </c:pt>
                <c:pt idx="62">
                  <c:v>4.2874055733211182E-3</c:v>
                </c:pt>
                <c:pt idx="63">
                  <c:v>4.3420148135956786E-3</c:v>
                </c:pt>
                <c:pt idx="64">
                  <c:v>4.3996842410779311E-3</c:v>
                </c:pt>
                <c:pt idx="65">
                  <c:v>4.4505431838936082E-3</c:v>
                </c:pt>
                <c:pt idx="66">
                  <c:v>4.4856754058303907E-3</c:v>
                </c:pt>
                <c:pt idx="67">
                  <c:v>4.5004490409645539E-3</c:v>
                </c:pt>
                <c:pt idx="68">
                  <c:v>4.5004490409645539E-3</c:v>
                </c:pt>
                <c:pt idx="69">
                  <c:v>4.5004490409645539E-3</c:v>
                </c:pt>
                <c:pt idx="70">
                  <c:v>4.4891879606649334E-3</c:v>
                </c:pt>
                <c:pt idx="71">
                  <c:v>4.4400087012385426E-3</c:v>
                </c:pt>
                <c:pt idx="72">
                  <c:v>4.3810175125491612E-3</c:v>
                </c:pt>
                <c:pt idx="73">
                  <c:v>4.3220558091401819E-3</c:v>
                </c:pt>
                <c:pt idx="74">
                  <c:v>4.3564130853890933E-3</c:v>
                </c:pt>
                <c:pt idx="75">
                  <c:v>4.3028153892831862E-3</c:v>
                </c:pt>
                <c:pt idx="76">
                  <c:v>4.2645499780384127E-3</c:v>
                </c:pt>
                <c:pt idx="77">
                  <c:v>4.2474110912644816E-3</c:v>
                </c:pt>
                <c:pt idx="78">
                  <c:v>4.2539625584915169E-3</c:v>
                </c:pt>
                <c:pt idx="79">
                  <c:v>4.2832266249004606E-3</c:v>
                </c:pt>
                <c:pt idx="80">
                  <c:v>4.3308012604313974E-3</c:v>
                </c:pt>
                <c:pt idx="81">
                  <c:v>4.3282474814915284E-3</c:v>
                </c:pt>
                <c:pt idx="82">
                  <c:v>4.3843286146656784E-3</c:v>
                </c:pt>
                <c:pt idx="83">
                  <c:v>4.4459021326579418E-3</c:v>
                </c:pt>
                <c:pt idx="84">
                  <c:v>4.5004490409645539E-3</c:v>
                </c:pt>
                <c:pt idx="85">
                  <c:v>4.5245877698776998E-3</c:v>
                </c:pt>
                <c:pt idx="86">
                  <c:v>4.5476836487504998E-3</c:v>
                </c:pt>
                <c:pt idx="87">
                  <c:v>4.5478515816191872E-3</c:v>
                </c:pt>
                <c:pt idx="88">
                  <c:v>4.5250640613347078E-3</c:v>
                </c:pt>
                <c:pt idx="89">
                  <c:v>4.5595496999288618E-3</c:v>
                </c:pt>
                <c:pt idx="90">
                  <c:v>4.5257056137796865E-3</c:v>
                </c:pt>
                <c:pt idx="91">
                  <c:v>4.4966991018850263E-3</c:v>
                </c:pt>
                <c:pt idx="92">
                  <c:v>4.4353900350255181E-3</c:v>
                </c:pt>
                <c:pt idx="93">
                  <c:v>4.3745594202252141E-3</c:v>
                </c:pt>
                <c:pt idx="94">
                  <c:v>4.3231574230517371E-3</c:v>
                </c:pt>
                <c:pt idx="95">
                  <c:v>4.2885773893477147E-3</c:v>
                </c:pt>
                <c:pt idx="96">
                  <c:v>4.2757061610705863E-3</c:v>
                </c:pt>
                <c:pt idx="97">
                  <c:v>4.2890754681140057E-3</c:v>
                </c:pt>
                <c:pt idx="98">
                  <c:v>4.2859062077309669E-3</c:v>
                </c:pt>
                <c:pt idx="99">
                  <c:v>4.3067623863824629E-3</c:v>
                </c:pt>
                <c:pt idx="100">
                  <c:v>4.3488176076456877E-3</c:v>
                </c:pt>
                <c:pt idx="101">
                  <c:v>4.4063000725632039E-3</c:v>
                </c:pt>
                <c:pt idx="102">
                  <c:v>4.4711631548678922E-3</c:v>
                </c:pt>
                <c:pt idx="103">
                  <c:v>4.5004490409645539E-3</c:v>
                </c:pt>
                <c:pt idx="104">
                  <c:v>4.5604490202108836E-3</c:v>
                </c:pt>
                <c:pt idx="105">
                  <c:v>4.5447521147304795E-3</c:v>
                </c:pt>
                <c:pt idx="106">
                  <c:v>4.5902248682068332E-3</c:v>
                </c:pt>
                <c:pt idx="107">
                  <c:v>4.6164053116503328E-3</c:v>
                </c:pt>
                <c:pt idx="108">
                  <c:v>4.6194167817061775E-3</c:v>
                </c:pt>
                <c:pt idx="109">
                  <c:v>4.5988108714392012E-3</c:v>
                </c:pt>
                <c:pt idx="110">
                  <c:v>4.5576455464117387E-3</c:v>
                </c:pt>
                <c:pt idx="111">
                  <c:v>4.5004490409645539E-3</c:v>
                </c:pt>
                <c:pt idx="112">
                  <c:v>4.4586342033844928E-3</c:v>
                </c:pt>
                <c:pt idx="113">
                  <c:v>4.5004490409645539E-3</c:v>
                </c:pt>
                <c:pt idx="114">
                  <c:v>4.464636193765012E-3</c:v>
                </c:pt>
                <c:pt idx="115">
                  <c:v>4.4020178600288409E-3</c:v>
                </c:pt>
                <c:pt idx="116">
                  <c:v>4.3514502812520041E-3</c:v>
                </c:pt>
                <c:pt idx="117">
                  <c:v>4.3194943834996124E-3</c:v>
                </c:pt>
                <c:pt idx="118">
                  <c:v>4.31023227497706E-3</c:v>
                </c:pt>
                <c:pt idx="119">
                  <c:v>4.324837874243914E-3</c:v>
                </c:pt>
                <c:pt idx="120">
                  <c:v>4.3614581187950124E-3</c:v>
                </c:pt>
                <c:pt idx="121">
                  <c:v>4.3379890226761418E-3</c:v>
                </c:pt>
                <c:pt idx="122">
                  <c:v>4.3768483251653261E-3</c:v>
                </c:pt>
                <c:pt idx="123">
                  <c:v>4.4326918887339422E-3</c:v>
                </c:pt>
                <c:pt idx="124">
                  <c:v>4.498460418760424E-3</c:v>
                </c:pt>
                <c:pt idx="125">
                  <c:v>4.541248129372513E-3</c:v>
                </c:pt>
                <c:pt idx="126">
                  <c:v>4.597897896334838E-3</c:v>
                </c:pt>
                <c:pt idx="127">
                  <c:v>4.6398108731222371E-3</c:v>
                </c:pt>
                <c:pt idx="128">
                  <c:v>4.6612142726870478E-3</c:v>
                </c:pt>
                <c:pt idx="129">
                  <c:v>4.6643159466115431E-3</c:v>
                </c:pt>
                <c:pt idx="130">
                  <c:v>4.6875167120621541E-3</c:v>
                </c:pt>
                <c:pt idx="131">
                  <c:v>4.6866689686513247E-3</c:v>
                </c:pt>
                <c:pt idx="132">
                  <c:v>4.6618878099207936E-3</c:v>
                </c:pt>
                <c:pt idx="133">
                  <c:v>4.6165226483027488E-3</c:v>
                </c:pt>
                <c:pt idx="134">
                  <c:v>4.5566300802913151E-3</c:v>
                </c:pt>
                <c:pt idx="135">
                  <c:v>4.5004490409645539E-3</c:v>
                </c:pt>
                <c:pt idx="136">
                  <c:v>4.4434249659326061E-3</c:v>
                </c:pt>
                <c:pt idx="137">
                  <c:v>4.3856503995379189E-3</c:v>
                </c:pt>
                <c:pt idx="138">
                  <c:v>4.4716461314709324E-3</c:v>
                </c:pt>
                <c:pt idx="139">
                  <c:v>4.412621173644121E-3</c:v>
                </c:pt>
                <c:pt idx="140">
                  <c:v>4.3690731938061701E-3</c:v>
                </c:pt>
                <c:pt idx="141">
                  <c:v>4.346102613158806E-3</c:v>
                </c:pt>
                <c:pt idx="142">
                  <c:v>4.3463688535607748E-3</c:v>
                </c:pt>
                <c:pt idx="143">
                  <c:v>4.3698412131247515E-3</c:v>
                </c:pt>
                <c:pt idx="144">
                  <c:v>4.4138016857211094E-3</c:v>
                </c:pt>
                <c:pt idx="145">
                  <c:v>4.4730998011756123E-3</c:v>
                </c:pt>
                <c:pt idx="146">
                  <c:v>4.4118765055926167E-3</c:v>
                </c:pt>
                <c:pt idx="147">
                  <c:v>4.4706864249339116E-3</c:v>
                </c:pt>
                <c:pt idx="148">
                  <c:v>4.5004490409645539E-3</c:v>
                </c:pt>
                <c:pt idx="149">
                  <c:v>4.5841227905062971E-3</c:v>
                </c:pt>
                <c:pt idx="150">
                  <c:v>4.6454840441651005E-3</c:v>
                </c:pt>
                <c:pt idx="151">
                  <c:v>4.6931863799555378E-3</c:v>
                </c:pt>
                <c:pt idx="152">
                  <c:v>4.7212546589721887E-3</c:v>
                </c:pt>
                <c:pt idx="153">
                  <c:v>4.7261285926239426E-3</c:v>
                </c:pt>
                <c:pt idx="154">
                  <c:v>4.7071865853366155E-3</c:v>
                </c:pt>
                <c:pt idx="155">
                  <c:v>4.744989087413643E-3</c:v>
                </c:pt>
                <c:pt idx="156">
                  <c:v>4.7350647975514535E-3</c:v>
                </c:pt>
                <c:pt idx="157">
                  <c:v>4.7026607308734364E-3</c:v>
                </c:pt>
                <c:pt idx="158">
                  <c:v>4.6517548605119492E-3</c:v>
                </c:pt>
                <c:pt idx="159">
                  <c:v>4.5885128440274212E-3</c:v>
                </c:pt>
                <c:pt idx="160">
                  <c:v>4.5004490409645539E-3</c:v>
                </c:pt>
                <c:pt idx="161">
                  <c:v>4.4752323806801836E-3</c:v>
                </c:pt>
                <c:pt idx="162">
                  <c:v>4.4177811299684665E-3</c:v>
                </c:pt>
                <c:pt idx="163">
                  <c:v>4.377789902699292E-3</c:v>
                </c:pt>
                <c:pt idx="164">
                  <c:v>4.4519412498163742E-3</c:v>
                </c:pt>
                <c:pt idx="165">
                  <c:v>4.4011373408433408E-3</c:v>
                </c:pt>
                <c:pt idx="166">
                  <c:v>4.3707720307783592E-3</c:v>
                </c:pt>
                <c:pt idx="167">
                  <c:v>4.364054815475386E-3</c:v>
                </c:pt>
                <c:pt idx="168">
                  <c:v>4.3816914484318473E-3</c:v>
                </c:pt>
                <c:pt idx="169">
                  <c:v>4.4218256438399647E-3</c:v>
                </c:pt>
                <c:pt idx="170">
                  <c:v>4.4801937966428024E-3</c:v>
                </c:pt>
                <c:pt idx="171">
                  <c:v>4.526858097468639E-3</c:v>
                </c:pt>
                <c:pt idx="172">
                  <c:v>4.5975019856458873E-3</c:v>
                </c:pt>
                <c:pt idx="173">
                  <c:v>4.5004490409645539E-3</c:v>
                </c:pt>
                <c:pt idx="174">
                  <c:v>4.5652815094387794E-3</c:v>
                </c:pt>
                <c:pt idx="175">
                  <c:v>4.6372159256395746E-3</c:v>
                </c:pt>
                <c:pt idx="176">
                  <c:v>4.7024911828046139E-3</c:v>
                </c:pt>
                <c:pt idx="177">
                  <c:v>4.7537635082448024E-3</c:v>
                </c:pt>
                <c:pt idx="178">
                  <c:v>4.7851598859188545E-3</c:v>
                </c:pt>
                <c:pt idx="179">
                  <c:v>4.793038354711128E-3</c:v>
                </c:pt>
                <c:pt idx="180">
                  <c:v>4.7764795608391261E-3</c:v>
                </c:pt>
                <c:pt idx="181">
                  <c:v>4.7374132458760905E-3</c:v>
                </c:pt>
                <c:pt idx="182">
                  <c:v>4.7923201686359777E-3</c:v>
                </c:pt>
                <c:pt idx="183">
                  <c:v>4.794378351273729E-3</c:v>
                </c:pt>
                <c:pt idx="184">
                  <c:v>4.7498080274727683E-3</c:v>
                </c:pt>
                <c:pt idx="185">
                  <c:v>4.6880671849699176E-3</c:v>
                </c:pt>
                <c:pt idx="186">
                  <c:v>4.615959208630247E-3</c:v>
                </c:pt>
                <c:pt idx="187">
                  <c:v>4.5412708599968004E-3</c:v>
                </c:pt>
                <c:pt idx="188">
                  <c:v>4.4925286507124153E-3</c:v>
                </c:pt>
                <c:pt idx="189">
                  <c:v>4.4325037291082746E-3</c:v>
                </c:pt>
                <c:pt idx="190">
                  <c:v>4.3917018184469964E-3</c:v>
                </c:pt>
                <c:pt idx="191">
                  <c:v>4.4978867135374283E-3</c:v>
                </c:pt>
                <c:pt idx="192">
                  <c:v>4.4368666082813179E-3</c:v>
                </c:pt>
                <c:pt idx="193">
                  <c:v>4.395594790960391E-3</c:v>
                </c:pt>
                <c:pt idx="194">
                  <c:v>4.3780555243443011E-3</c:v>
                </c:pt>
                <c:pt idx="195">
                  <c:v>4.3859273018659337E-3</c:v>
                </c:pt>
                <c:pt idx="196">
                  <c:v>4.4184578836256273E-3</c:v>
                </c:pt>
                <c:pt idx="197">
                  <c:v>4.4725198822534711E-3</c:v>
                </c:pt>
                <c:pt idx="198">
                  <c:v>4.5004490409645539E-3</c:v>
                </c:pt>
                <c:pt idx="199">
                  <c:v>4.5951024966652664E-3</c:v>
                </c:pt>
                <c:pt idx="200">
                  <c:v>4.671770523109125E-3</c:v>
                </c:pt>
                <c:pt idx="201">
                  <c:v>4.5004490409645539E-3</c:v>
                </c:pt>
                <c:pt idx="202">
                  <c:v>4.5984275080154747E-3</c:v>
                </c:pt>
                <c:pt idx="203">
                  <c:v>4.6776927686593521E-3</c:v>
                </c:pt>
                <c:pt idx="204">
                  <c:v>4.7512685247251777E-3</c:v>
                </c:pt>
                <c:pt idx="205">
                  <c:v>4.7877007290051043E-3</c:v>
                </c:pt>
                <c:pt idx="206">
                  <c:v>4.8239786418783357E-3</c:v>
                </c:pt>
                <c:pt idx="207">
                  <c:v>4.8389731656471001E-3</c:v>
                </c:pt>
                <c:pt idx="208">
                  <c:v>4.831312348110497E-3</c:v>
                </c:pt>
                <c:pt idx="209">
                  <c:v>4.8016961569203251E-3</c:v>
                </c:pt>
                <c:pt idx="210">
                  <c:v>4.8666812663339066E-3</c:v>
                </c:pt>
                <c:pt idx="211">
                  <c:v>4.865391689898268E-3</c:v>
                </c:pt>
                <c:pt idx="212">
                  <c:v>4.8410249325450665E-3</c:v>
                </c:pt>
                <c:pt idx="213">
                  <c:v>4.7957306816341647E-3</c:v>
                </c:pt>
                <c:pt idx="214">
                  <c:v>4.7513468905838099E-3</c:v>
                </c:pt>
                <c:pt idx="215">
                  <c:v>4.670888336730291E-3</c:v>
                </c:pt>
                <c:pt idx="216">
                  <c:v>4.5871934134710983E-3</c:v>
                </c:pt>
                <c:pt idx="217">
                  <c:v>4.5004490409645539E-3</c:v>
                </c:pt>
                <c:pt idx="218">
                  <c:v>4.4607304651036166E-3</c:v>
                </c:pt>
                <c:pt idx="219">
                  <c:v>4.4099052511086499E-3</c:v>
                </c:pt>
                <c:pt idx="220">
                  <c:v>4.5596371272865104E-3</c:v>
                </c:pt>
                <c:pt idx="221">
                  <c:v>4.5004490409645539E-3</c:v>
                </c:pt>
                <c:pt idx="222">
                  <c:v>4.4354550124653998E-3</c:v>
                </c:pt>
                <c:pt idx="223">
                  <c:v>4.3917887441517417E-3</c:v>
                </c:pt>
                <c:pt idx="224">
                  <c:v>4.3746441833936896E-3</c:v>
                </c:pt>
                <c:pt idx="225">
                  <c:v>4.3855020402321027E-3</c:v>
                </c:pt>
                <c:pt idx="226">
                  <c:v>4.4234253716078607E-3</c:v>
                </c:pt>
                <c:pt idx="227">
                  <c:v>4.485119780308953E-3</c:v>
                </c:pt>
                <c:pt idx="228">
                  <c:v>4.5407458386080256E-3</c:v>
                </c:pt>
                <c:pt idx="229">
                  <c:v>4.6272128876110267E-3</c:v>
                </c:pt>
                <c:pt idx="230">
                  <c:v>4.4321143255642449E-3</c:v>
                </c:pt>
                <c:pt idx="231">
                  <c:v>4.4826812182764885E-3</c:v>
                </c:pt>
                <c:pt idx="232">
                  <c:v>4.5406885103238988E-3</c:v>
                </c:pt>
                <c:pt idx="233">
                  <c:v>4.6306464148197857E-3</c:v>
                </c:pt>
                <c:pt idx="234">
                  <c:v>4.7244973536196711E-3</c:v>
                </c:pt>
                <c:pt idx="235">
                  <c:v>4.7895918064256252E-3</c:v>
                </c:pt>
                <c:pt idx="236">
                  <c:v>4.8571756397345405E-3</c:v>
                </c:pt>
                <c:pt idx="237">
                  <c:v>4.9062802267288881E-3</c:v>
                </c:pt>
                <c:pt idx="238">
                  <c:v>4.9328738838045208E-3</c:v>
                </c:pt>
                <c:pt idx="239">
                  <c:v>4.9348073071793725E-3</c:v>
                </c:pt>
                <c:pt idx="240">
                  <c:v>4.8778377290856498E-3</c:v>
                </c:pt>
                <c:pt idx="241">
                  <c:v>4.931531435030884E-3</c:v>
                </c:pt>
                <c:pt idx="242">
                  <c:v>4.962596505963225E-3</c:v>
                </c:pt>
                <c:pt idx="243">
                  <c:v>4.9686272734852507E-3</c:v>
                </c:pt>
                <c:pt idx="244">
                  <c:v>4.9491604397630378E-3</c:v>
                </c:pt>
                <c:pt idx="245">
                  <c:v>4.9056958383091442E-3</c:v>
                </c:pt>
                <c:pt idx="246">
                  <c:v>4.8416279058302964E-3</c:v>
                </c:pt>
                <c:pt idx="247">
                  <c:v>4.7830074768450944E-3</c:v>
                </c:pt>
                <c:pt idx="248">
                  <c:v>4.6854893008166382E-3</c:v>
                </c:pt>
                <c:pt idx="249">
                  <c:v>4.5885152187532408E-3</c:v>
                </c:pt>
                <c:pt idx="250">
                  <c:v>4.8964776619257301E-3</c:v>
                </c:pt>
                <c:pt idx="251">
                  <c:v>4.8188954489469873E-3</c:v>
                </c:pt>
                <c:pt idx="252">
                  <c:v>4.7465996841481086E-3</c:v>
                </c:pt>
                <c:pt idx="253">
                  <c:v>4.6433923106160811E-3</c:v>
                </c:pt>
                <c:pt idx="254">
                  <c:v>4.545778027186983E-3</c:v>
                </c:pt>
                <c:pt idx="255">
                  <c:v>4.4818462970496803E-3</c:v>
                </c:pt>
                <c:pt idx="256">
                  <c:v>4.4146573266583018E-3</c:v>
                </c:pt>
                <c:pt idx="257">
                  <c:v>4.374174516314739E-3</c:v>
                </c:pt>
                <c:pt idx="258">
                  <c:v>4.3635361023714294E-3</c:v>
                </c:pt>
                <c:pt idx="259">
                  <c:v>4.3835615233729121E-3</c:v>
                </c:pt>
                <c:pt idx="260">
                  <c:v>4.4327064790334681E-3</c:v>
                </c:pt>
                <c:pt idx="261">
                  <c:v>4.3999011906966142E-3</c:v>
                </c:pt>
                <c:pt idx="262">
                  <c:v>4.3676279957472683E-3</c:v>
                </c:pt>
                <c:pt idx="263">
                  <c:v>4.3659741779942989E-3</c:v>
                </c:pt>
                <c:pt idx="264">
                  <c:v>4.3950624503355561E-3</c:v>
                </c:pt>
                <c:pt idx="265">
                  <c:v>4.4527272828319368E-3</c:v>
                </c:pt>
                <c:pt idx="266">
                  <c:v>4.5004490409645539E-3</c:v>
                </c:pt>
                <c:pt idx="267">
                  <c:v>4.6065030180017898E-3</c:v>
                </c:pt>
                <c:pt idx="268">
                  <c:v>4.7108482572384321E-3</c:v>
                </c:pt>
                <c:pt idx="269">
                  <c:v>4.792020738243986E-3</c:v>
                </c:pt>
                <c:pt idx="270">
                  <c:v>4.8786938939334081E-3</c:v>
                </c:pt>
                <c:pt idx="271">
                  <c:v>4.528639095219506E-3</c:v>
                </c:pt>
                <c:pt idx="272">
                  <c:v>4.6297133393242108E-3</c:v>
                </c:pt>
                <c:pt idx="273">
                  <c:v>4.7397860748881948E-3</c:v>
                </c:pt>
                <c:pt idx="274">
                  <c:v>4.8220844238542563E-3</c:v>
                </c:pt>
                <c:pt idx="275">
                  <c:v>4.9115949352002922E-3</c:v>
                </c:pt>
                <c:pt idx="276">
                  <c:v>4.9850817572966765E-3</c:v>
                </c:pt>
                <c:pt idx="277">
                  <c:v>5.0373769265856117E-3</c:v>
                </c:pt>
                <c:pt idx="278">
                  <c:v>5.0649093287307096E-3</c:v>
                </c:pt>
                <c:pt idx="279">
                  <c:v>5.0658339713754719E-3</c:v>
                </c:pt>
                <c:pt idx="280">
                  <c:v>5.0400893101968354E-3</c:v>
                </c:pt>
                <c:pt idx="281">
                  <c:v>4.9893990497289651E-3</c:v>
                </c:pt>
                <c:pt idx="282">
                  <c:v>5.0686296674542601E-3</c:v>
                </c:pt>
                <c:pt idx="283">
                  <c:v>5.1025389652858359E-3</c:v>
                </c:pt>
                <c:pt idx="284">
                  <c:v>5.109329393709049E-3</c:v>
                </c:pt>
                <c:pt idx="285">
                  <c:v>5.0885723255642626E-3</c:v>
                </c:pt>
                <c:pt idx="286">
                  <c:v>5.0415824990491954E-3</c:v>
                </c:pt>
                <c:pt idx="287">
                  <c:v>4.9713859642754338E-3</c:v>
                </c:pt>
                <c:pt idx="288">
                  <c:v>4.8826333582757536E-3</c:v>
                </c:pt>
                <c:pt idx="289">
                  <c:v>4.8046244781149491E-3</c:v>
                </c:pt>
                <c:pt idx="290">
                  <c:v>4.6870909268453718E-3</c:v>
                </c:pt>
                <c:pt idx="291">
                  <c:v>4.5755167143188497E-3</c:v>
                </c:pt>
                <c:pt idx="292">
                  <c:v>4.4990786030221488E-3</c:v>
                </c:pt>
                <c:pt idx="293">
                  <c:v>5.002859794954212E-3</c:v>
                </c:pt>
                <c:pt idx="294">
                  <c:v>4.8914643132266095E-3</c:v>
                </c:pt>
                <c:pt idx="295">
                  <c:v>4.7906041305939822E-3</c:v>
                </c:pt>
                <c:pt idx="296">
                  <c:v>4.653004904572761E-3</c:v>
                </c:pt>
                <c:pt idx="297">
                  <c:v>4.5004490409645539E-3</c:v>
                </c:pt>
                <c:pt idx="298">
                  <c:v>4.4375548487000371E-3</c:v>
                </c:pt>
                <c:pt idx="299">
                  <c:v>4.3535776902391557E-3</c:v>
                </c:pt>
                <c:pt idx="300">
                  <c:v>4.3037260832234992E-3</c:v>
                </c:pt>
                <c:pt idx="301">
                  <c:v>4.2912576694627731E-3</c:v>
                </c:pt>
                <c:pt idx="302">
                  <c:v>4.3169816097250093E-3</c:v>
                </c:pt>
                <c:pt idx="303">
                  <c:v>4.3792260414933426E-3</c:v>
                </c:pt>
                <c:pt idx="304">
                  <c:v>4.4739059808052957E-3</c:v>
                </c:pt>
                <c:pt idx="305">
                  <c:v>4.362511274593063E-3</c:v>
                </c:pt>
                <c:pt idx="306">
                  <c:v>4.2755989572168052E-3</c:v>
                </c:pt>
                <c:pt idx="307">
                  <c:v>4.22961962181657E-3</c:v>
                </c:pt>
                <c:pt idx="308">
                  <c:v>4.2273863529670372E-3</c:v>
                </c:pt>
                <c:pt idx="309">
                  <c:v>4.2690350763544922E-3</c:v>
                </c:pt>
                <c:pt idx="310">
                  <c:v>4.3520200749809796E-3</c:v>
                </c:pt>
                <c:pt idx="311">
                  <c:v>4.4712007388659578E-3</c:v>
                </c:pt>
                <c:pt idx="312">
                  <c:v>4.5918268083908632E-3</c:v>
                </c:pt>
                <c:pt idx="313">
                  <c:v>4.7500451518022726E-3</c:v>
                </c:pt>
                <c:pt idx="314">
                  <c:v>4.8795051378991835E-3</c:v>
                </c:pt>
                <c:pt idx="315">
                  <c:v>5.0181291963137861E-3</c:v>
                </c:pt>
                <c:pt idx="316">
                  <c:v>5.1393454988540779E-3</c:v>
                </c:pt>
                <c:pt idx="317">
                  <c:v>5.2381926020727771E-3</c:v>
                </c:pt>
                <c:pt idx="318">
                  <c:v>5.3113407600572666E-3</c:v>
                </c:pt>
                <c:pt idx="319">
                  <c:v>4.4430607018521402E-3</c:v>
                </c:pt>
                <c:pt idx="320">
                  <c:v>4.5812893369754741E-3</c:v>
                </c:pt>
                <c:pt idx="321">
                  <c:v>4.7585388533716855E-3</c:v>
                </c:pt>
                <c:pt idx="322">
                  <c:v>4.9054346437990759E-3</c:v>
                </c:pt>
                <c:pt idx="323">
                  <c:v>5.0622857962032003E-3</c:v>
                </c:pt>
                <c:pt idx="324">
                  <c:v>5.2010849929436023E-3</c:v>
                </c:pt>
                <c:pt idx="325">
                  <c:v>5.3113407600572666E-3</c:v>
                </c:pt>
                <c:pt idx="326">
                  <c:v>5.4165861082965663E-3</c:v>
                </c:pt>
                <c:pt idx="327">
                  <c:v>5.4687634912360672E-3</c:v>
                </c:pt>
                <c:pt idx="328">
                  <c:v>4.4130392307857183E-3</c:v>
                </c:pt>
                <c:pt idx="329">
                  <c:v>4.5654321880763847E-3</c:v>
                </c:pt>
                <c:pt idx="330">
                  <c:v>4.7579947646908052E-3</c:v>
                </c:pt>
                <c:pt idx="331">
                  <c:v>4.9203694772543046E-3</c:v>
                </c:pt>
                <c:pt idx="332">
                  <c:v>5.0931918218662673E-3</c:v>
                </c:pt>
                <c:pt idx="333">
                  <c:v>5.2516505217693847E-3</c:v>
                </c:pt>
                <c:pt idx="334">
                  <c:v>5.3958235512727489E-3</c:v>
                </c:pt>
                <c:pt idx="335">
                  <c:v>5.5070895038517916E-3</c:v>
                </c:pt>
                <c:pt idx="336">
                  <c:v>5.5513268697455079E-3</c:v>
                </c:pt>
                <c:pt idx="337">
                  <c:v>5.5729893192520861E-3</c:v>
                </c:pt>
                <c:pt idx="338">
                  <c:v>5.5528762803193528E-3</c:v>
                </c:pt>
                <c:pt idx="339">
                  <c:v>5.5104861630419985E-3</c:v>
                </c:pt>
                <c:pt idx="340">
                  <c:v>5.4006124133161365E-3</c:v>
                </c:pt>
                <c:pt idx="341">
                  <c:v>4.9568326594394427E-3</c:v>
                </c:pt>
                <c:pt idx="342">
                  <c:v>5.1412735328014644E-3</c:v>
                </c:pt>
                <c:pt idx="343">
                  <c:v>5.3113407600572666E-3</c:v>
                </c:pt>
                <c:pt idx="344">
                  <c:v>5.4751786963651815E-3</c:v>
                </c:pt>
                <c:pt idx="345">
                  <c:v>5.5709355265548006E-3</c:v>
                </c:pt>
                <c:pt idx="346">
                  <c:v>5.6431257987802569E-3</c:v>
                </c:pt>
                <c:pt idx="347">
                  <c:v>5.6738055189539203E-3</c:v>
                </c:pt>
                <c:pt idx="348">
                  <c:v>5.6616594450321937E-3</c:v>
                </c:pt>
                <c:pt idx="349">
                  <c:v>5.6072061565547119E-3</c:v>
                </c:pt>
                <c:pt idx="350">
                  <c:v>5.533979273035344E-3</c:v>
                </c:pt>
                <c:pt idx="351">
                  <c:v>5.3891310918237423E-3</c:v>
                </c:pt>
                <c:pt idx="352">
                  <c:v>5.216498396149901E-3</c:v>
                </c:pt>
                <c:pt idx="353">
                  <c:v>5.2434949829868694E-3</c:v>
                </c:pt>
                <c:pt idx="354">
                  <c:v>5.4321087895448554E-3</c:v>
                </c:pt>
                <c:pt idx="355">
                  <c:v>5.56620164092378E-3</c:v>
                </c:pt>
                <c:pt idx="356">
                  <c:v>5.675652300018195E-3</c:v>
                </c:pt>
                <c:pt idx="357">
                  <c:v>5.7455200547359636E-3</c:v>
                </c:pt>
                <c:pt idx="358">
                  <c:v>5.7730598291050785E-3</c:v>
                </c:pt>
                <c:pt idx="359">
                  <c:v>5.7572140351879212E-3</c:v>
                </c:pt>
                <c:pt idx="360">
                  <c:v>5.6985895103971876E-3</c:v>
                </c:pt>
                <c:pt idx="361">
                  <c:v>5.599471016857112E-3</c:v>
                </c:pt>
                <c:pt idx="362">
                  <c:v>5.4790528014703162E-3</c:v>
                </c:pt>
                <c:pt idx="363">
                  <c:v>5.3113407600572666E-3</c:v>
                </c:pt>
                <c:pt idx="364">
                  <c:v>5.1038700689269292E-3</c:v>
                </c:pt>
                <c:pt idx="365">
                  <c:v>4.9039019906717734E-3</c:v>
                </c:pt>
                <c:pt idx="366">
                  <c:v>5.598998139301186E-3</c:v>
                </c:pt>
                <c:pt idx="367">
                  <c:v>5.7298894831492491E-3</c:v>
                </c:pt>
                <c:pt idx="368">
                  <c:v>5.8221920022804201E-3</c:v>
                </c:pt>
                <c:pt idx="369">
                  <c:v>5.8726119514279944E-3</c:v>
                </c:pt>
                <c:pt idx="370">
                  <c:v>5.879413159889677E-3</c:v>
                </c:pt>
                <c:pt idx="371">
                  <c:v>5.8423647968627737E-3</c:v>
                </c:pt>
                <c:pt idx="372">
                  <c:v>5.76273393858467E-3</c:v>
                </c:pt>
                <c:pt idx="373">
                  <c:v>5.643324958233162E-3</c:v>
                </c:pt>
                <c:pt idx="374">
                  <c:v>5.5067023775453704E-3</c:v>
                </c:pt>
                <c:pt idx="375">
                  <c:v>5.3113407600572666E-3</c:v>
                </c:pt>
                <c:pt idx="376">
                  <c:v>5.0950537415391864E-3</c:v>
                </c:pt>
                <c:pt idx="377">
                  <c:v>4.8811530751967109E-3</c:v>
                </c:pt>
                <c:pt idx="378">
                  <c:v>4.6753905613529413E-3</c:v>
                </c:pt>
                <c:pt idx="379">
                  <c:v>4.4745394986537654E-3</c:v>
                </c:pt>
                <c:pt idx="380">
                  <c:v>5.9013139436798747E-3</c:v>
                </c:pt>
                <c:pt idx="381">
                  <c:v>5.9603049839092427E-3</c:v>
                </c:pt>
                <c:pt idx="382">
                  <c:v>5.9761314760830757E-3</c:v>
                </c:pt>
                <c:pt idx="383">
                  <c:v>5.9483165485429371E-3</c:v>
                </c:pt>
                <c:pt idx="384">
                  <c:v>5.8777010369477131E-3</c:v>
                </c:pt>
                <c:pt idx="385">
                  <c:v>5.7664771252517698E-3</c:v>
                </c:pt>
                <c:pt idx="386">
                  <c:v>5.6182680848983904E-3</c:v>
                </c:pt>
                <c:pt idx="387">
                  <c:v>5.4505091249136767E-3</c:v>
                </c:pt>
                <c:pt idx="388">
                  <c:v>5.227387551068826E-3</c:v>
                </c:pt>
                <c:pt idx="389">
                  <c:v>5.0091004310651955E-3</c:v>
                </c:pt>
                <c:pt idx="390">
                  <c:v>4.807040337919493E-3</c:v>
                </c:pt>
                <c:pt idx="391">
                  <c:v>4.5638949325885938E-3</c:v>
                </c:pt>
                <c:pt idx="392">
                  <c:v>4.3621748726892151E-3</c:v>
                </c:pt>
                <c:pt idx="393">
                  <c:v>4.1738747749621909E-3</c:v>
                </c:pt>
                <c:pt idx="394">
                  <c:v>6.1199282119684725E-3</c:v>
                </c:pt>
                <c:pt idx="395">
                  <c:v>6.1228484259602603E-3</c:v>
                </c:pt>
                <c:pt idx="396">
                  <c:v>6.0810827595409915E-3</c:v>
                </c:pt>
                <c:pt idx="397">
                  <c:v>5.9957186788080338E-3</c:v>
                </c:pt>
                <c:pt idx="398">
                  <c:v>5.8690634327051979E-3</c:v>
                </c:pt>
                <c:pt idx="399">
                  <c:v>5.7047545458548737E-3</c:v>
                </c:pt>
                <c:pt idx="400">
                  <c:v>5.5284793091973216E-3</c:v>
                </c:pt>
                <c:pt idx="401">
                  <c:v>5.2831658175808696E-3</c:v>
                </c:pt>
                <c:pt idx="402">
                  <c:v>5.0421834567910204E-3</c:v>
                </c:pt>
                <c:pt idx="403">
                  <c:v>4.8232021092088594E-3</c:v>
                </c:pt>
                <c:pt idx="404">
                  <c:v>4.5583571225930649E-3</c:v>
                </c:pt>
                <c:pt idx="405">
                  <c:v>4.3351509527358757E-3</c:v>
                </c:pt>
                <c:pt idx="406">
                  <c:v>4.1275598168523404E-3</c:v>
                </c:pt>
                <c:pt idx="407">
                  <c:v>3.9683750478798708E-3</c:v>
                </c:pt>
                <c:pt idx="408">
                  <c:v>6.2716718490047818E-3</c:v>
                </c:pt>
                <c:pt idx="409">
                  <c:v>6.2694942135378328E-3</c:v>
                </c:pt>
                <c:pt idx="410">
                  <c:v>6.2221963025486486E-3</c:v>
                </c:pt>
                <c:pt idx="411">
                  <c:v>6.1308194371105127E-3</c:v>
                </c:pt>
                <c:pt idx="412">
                  <c:v>5.9974677223576149E-3</c:v>
                </c:pt>
                <c:pt idx="413">
                  <c:v>5.8254359066440128E-3</c:v>
                </c:pt>
                <c:pt idx="414">
                  <c:v>5.6193811626538102E-3</c:v>
                </c:pt>
                <c:pt idx="415">
                  <c:v>5.3922475147408465E-3</c:v>
                </c:pt>
                <c:pt idx="416">
                  <c:v>5.1269745807987063E-3</c:v>
                </c:pt>
                <c:pt idx="417">
                  <c:v>4.8671419014658223E-3</c:v>
                </c:pt>
                <c:pt idx="418">
                  <c:v>4.6115398090245726E-3</c:v>
                </c:pt>
                <c:pt idx="419">
                  <c:v>4.3636045028173174E-3</c:v>
                </c:pt>
                <c:pt idx="420">
                  <c:v>4.1277078697567688E-3</c:v>
                </c:pt>
                <c:pt idx="421">
                  <c:v>3.9397852897134992E-3</c:v>
                </c:pt>
                <c:pt idx="422">
                  <c:v>3.807566464428249E-3</c:v>
                </c:pt>
                <c:pt idx="423">
                  <c:v>6.3981232831847893E-3</c:v>
                </c:pt>
                <c:pt idx="424">
                  <c:v>6.3960455731271555E-3</c:v>
                </c:pt>
                <c:pt idx="425">
                  <c:v>6.3494132127703924E-3</c:v>
                </c:pt>
                <c:pt idx="426">
                  <c:v>6.2590887129287563E-3</c:v>
                </c:pt>
                <c:pt idx="427">
                  <c:v>6.1268267483645346E-3</c:v>
                </c:pt>
                <c:pt idx="428">
                  <c:v>5.9554020615080576E-3</c:v>
                </c:pt>
                <c:pt idx="429">
                  <c:v>5.7487873987264121E-3</c:v>
                </c:pt>
                <c:pt idx="430">
                  <c:v>5.5335121160798462E-3</c:v>
                </c:pt>
                <c:pt idx="431">
                  <c:v>5.2486574792005433E-3</c:v>
                </c:pt>
                <c:pt idx="432">
                  <c:v>4.9777487585695003E-3</c:v>
                </c:pt>
                <c:pt idx="433">
                  <c:v>4.7177966248879459E-3</c:v>
                </c:pt>
                <c:pt idx="434">
                  <c:v>4.4490763643274481E-3</c:v>
                </c:pt>
                <c:pt idx="435">
                  <c:v>4.1833597233963127E-3</c:v>
                </c:pt>
                <c:pt idx="436">
                  <c:v>3.9631528044496095E-3</c:v>
                </c:pt>
                <c:pt idx="437">
                  <c:v>3.7960645571204084E-3</c:v>
                </c:pt>
                <c:pt idx="438">
                  <c:v>3.6889321274412544E-3</c:v>
                </c:pt>
                <c:pt idx="439">
                  <c:v>6.5020086326868475E-3</c:v>
                </c:pt>
                <c:pt idx="440">
                  <c:v>6.4906485090201168E-3</c:v>
                </c:pt>
                <c:pt idx="441">
                  <c:v>6.4143532076939239E-3</c:v>
                </c:pt>
                <c:pt idx="442">
                  <c:v>6.3192334967070657E-3</c:v>
                </c:pt>
                <c:pt idx="443">
                  <c:v>6.1840049990408499E-3</c:v>
                </c:pt>
                <c:pt idx="444">
                  <c:v>6.0111671786716309E-3</c:v>
                </c:pt>
                <c:pt idx="445">
                  <c:v>5.8042785667810929E-3</c:v>
                </c:pt>
                <c:pt idx="446">
                  <c:v>5.5681587470131494E-3</c:v>
                </c:pt>
                <c:pt idx="447">
                  <c:v>5.3113407600572666E-3</c:v>
                </c:pt>
                <c:pt idx="448">
                  <c:v>5.0320978033015738E-3</c:v>
                </c:pt>
                <c:pt idx="449">
                  <c:v>4.7757925649895751E-3</c:v>
                </c:pt>
                <c:pt idx="450">
                  <c:v>4.5004490409645539E-3</c:v>
                </c:pt>
                <c:pt idx="451">
                  <c:v>4.2239130847774118E-3</c:v>
                </c:pt>
                <c:pt idx="452">
                  <c:v>4.013914009508927E-3</c:v>
                </c:pt>
                <c:pt idx="453">
                  <c:v>3.8045519735691547E-3</c:v>
                </c:pt>
                <c:pt idx="454">
                  <c:v>3.6769706935906202E-3</c:v>
                </c:pt>
                <c:pt idx="455">
                  <c:v>6.5272241741534485E-3</c:v>
                </c:pt>
                <c:pt idx="456">
                  <c:v>6.5120866326576236E-3</c:v>
                </c:pt>
                <c:pt idx="457">
                  <c:v>6.4340298180855784E-3</c:v>
                </c:pt>
                <c:pt idx="458">
                  <c:v>6.3409763356030036E-3</c:v>
                </c:pt>
                <c:pt idx="459">
                  <c:v>6.210404911225955E-3</c:v>
                </c:pt>
                <c:pt idx="460">
                  <c:v>6.0444936376870938E-3</c:v>
                </c:pt>
                <c:pt idx="461">
                  <c:v>5.8463291986917514E-3</c:v>
                </c:pt>
                <c:pt idx="462">
                  <c:v>5.6200853757637573E-3</c:v>
                </c:pt>
                <c:pt idx="463">
                  <c:v>5.3765484096974132E-3</c:v>
                </c:pt>
                <c:pt idx="464">
                  <c:v>5.1023199113584541E-3</c:v>
                </c:pt>
                <c:pt idx="465">
                  <c:v>4.834177579089936E-3</c:v>
                </c:pt>
                <c:pt idx="466">
                  <c:v>4.5685624324375753E-3</c:v>
                </c:pt>
                <c:pt idx="467">
                  <c:v>4.3125091236931277E-3</c:v>
                </c:pt>
                <c:pt idx="468">
                  <c:v>4.0544585954635625E-3</c:v>
                </c:pt>
                <c:pt idx="469">
                  <c:v>3.8694333299216883E-3</c:v>
                </c:pt>
                <c:pt idx="470">
                  <c:v>3.7219237141231818E-3</c:v>
                </c:pt>
                <c:pt idx="471">
                  <c:v>6.5431401503114805E-3</c:v>
                </c:pt>
                <c:pt idx="472">
                  <c:v>6.5023967300578463E-3</c:v>
                </c:pt>
                <c:pt idx="473">
                  <c:v>6.4032954635297023E-3</c:v>
                </c:pt>
                <c:pt idx="474">
                  <c:v>6.2918276096182195E-3</c:v>
                </c:pt>
                <c:pt idx="475">
                  <c:v>6.1461259388926048E-3</c:v>
                </c:pt>
                <c:pt idx="476">
                  <c:v>5.9685393128495927E-3</c:v>
                </c:pt>
                <c:pt idx="477">
                  <c:v>5.7622923131337061E-3</c:v>
                </c:pt>
                <c:pt idx="478">
                  <c:v>5.5553266015868959E-3</c:v>
                </c:pt>
                <c:pt idx="479">
                  <c:v>5.2797437998117064E-3</c:v>
                </c:pt>
                <c:pt idx="480">
                  <c:v>5.017703242036208E-3</c:v>
                </c:pt>
                <c:pt idx="481">
                  <c:v>4.7748632564347214E-3</c:v>
                </c:pt>
                <c:pt idx="482">
                  <c:v>4.5004490409645539E-3</c:v>
                </c:pt>
                <c:pt idx="483">
                  <c:v>4.2492096116684861E-3</c:v>
                </c:pt>
                <c:pt idx="484">
                  <c:v>4.013914009508927E-3</c:v>
                </c:pt>
                <c:pt idx="485">
                  <c:v>3.8362327697364484E-3</c:v>
                </c:pt>
                <c:pt idx="486">
                  <c:v>3.7017701640970489E-3</c:v>
                </c:pt>
                <c:pt idx="487">
                  <c:v>3.621360344043719E-3</c:v>
                </c:pt>
                <c:pt idx="488">
                  <c:v>6.4111431778774474E-3</c:v>
                </c:pt>
                <c:pt idx="489">
                  <c:v>6.2999242759480666E-3</c:v>
                </c:pt>
                <c:pt idx="490">
                  <c:v>6.1565210179175666E-3</c:v>
                </c:pt>
                <c:pt idx="491">
                  <c:v>5.9830705622725853E-3</c:v>
                </c:pt>
                <c:pt idx="492">
                  <c:v>5.7824884123780255E-3</c:v>
                </c:pt>
                <c:pt idx="493">
                  <c:v>5.5586153700332534E-3</c:v>
                </c:pt>
                <c:pt idx="494">
                  <c:v>5.3113407600572666E-3</c:v>
                </c:pt>
                <c:pt idx="495">
                  <c:v>5.0584480739203118E-3</c:v>
                </c:pt>
                <c:pt idx="496">
                  <c:v>4.8279260828097883E-3</c:v>
                </c:pt>
                <c:pt idx="497">
                  <c:v>4.5487039124230081E-3</c:v>
                </c:pt>
                <c:pt idx="498">
                  <c:v>4.3065830085095699E-3</c:v>
                </c:pt>
                <c:pt idx="499">
                  <c:v>4.0544585954635625E-3</c:v>
                </c:pt>
                <c:pt idx="500">
                  <c:v>3.8819589437294631E-3</c:v>
                </c:pt>
                <c:pt idx="501">
                  <c:v>3.7358639615521719E-3</c:v>
                </c:pt>
                <c:pt idx="502">
                  <c:v>3.6402559970284609E-3</c:v>
                </c:pt>
                <c:pt idx="503">
                  <c:v>3.5732130826476804E-3</c:v>
                </c:pt>
                <c:pt idx="504">
                  <c:v>3.6089596556175322E-3</c:v>
                </c:pt>
                <c:pt idx="505">
                  <c:v>3.6740703929164622E-3</c:v>
                </c:pt>
                <c:pt idx="506">
                  <c:v>5.8926616869565693E-3</c:v>
                </c:pt>
                <c:pt idx="507">
                  <c:v>5.6846820704048321E-3</c:v>
                </c:pt>
                <c:pt idx="508">
                  <c:v>5.4710855116643052E-3</c:v>
                </c:pt>
                <c:pt idx="509">
                  <c:v>5.2070544452005128E-3</c:v>
                </c:pt>
                <c:pt idx="510">
                  <c:v>4.9601755795746398E-3</c:v>
                </c:pt>
                <c:pt idx="511">
                  <c:v>4.7239868825674595E-3</c:v>
                </c:pt>
                <c:pt idx="512">
                  <c:v>4.4791203658742316E-3</c:v>
                </c:pt>
                <c:pt idx="513">
                  <c:v>4.2286402039047417E-3</c:v>
                </c:pt>
                <c:pt idx="514">
                  <c:v>4.013914009508927E-3</c:v>
                </c:pt>
                <c:pt idx="515">
                  <c:v>3.8369724696313838E-3</c:v>
                </c:pt>
                <c:pt idx="516">
                  <c:v>3.7064828665663418E-3</c:v>
                </c:pt>
                <c:pt idx="517">
                  <c:v>3.624823112256129E-3</c:v>
                </c:pt>
                <c:pt idx="518">
                  <c:v>3.5693983191999968E-3</c:v>
                </c:pt>
                <c:pt idx="519">
                  <c:v>3.614720446637991E-3</c:v>
                </c:pt>
                <c:pt idx="520">
                  <c:v>3.6865230384955888E-3</c:v>
                </c:pt>
                <c:pt idx="521">
                  <c:v>3.8076439889449054E-3</c:v>
                </c:pt>
                <c:pt idx="522">
                  <c:v>3.9751049972739363E-3</c:v>
                </c:pt>
                <c:pt idx="523">
                  <c:v>4.1834363619065356E-3</c:v>
                </c:pt>
                <c:pt idx="524">
                  <c:v>5.0135706014529996E-3</c:v>
                </c:pt>
                <c:pt idx="525">
                  <c:v>4.7894651410052055E-3</c:v>
                </c:pt>
                <c:pt idx="526">
                  <c:v>4.5004490409645539E-3</c:v>
                </c:pt>
                <c:pt idx="527">
                  <c:v>4.295047656093307E-3</c:v>
                </c:pt>
                <c:pt idx="528">
                  <c:v>4.0544585954635625E-3</c:v>
                </c:pt>
                <c:pt idx="529">
                  <c:v>3.8886010548012172E-3</c:v>
                </c:pt>
                <c:pt idx="530">
                  <c:v>3.745456135387406E-3</c:v>
                </c:pt>
                <c:pt idx="531">
                  <c:v>3.6480269053483019E-3</c:v>
                </c:pt>
                <c:pt idx="532">
                  <c:v>3.6084681499625707E-3</c:v>
                </c:pt>
                <c:pt idx="533">
                  <c:v>3.6084681499625707E-3</c:v>
                </c:pt>
                <c:pt idx="534">
                  <c:v>3.6471300776500593E-3</c:v>
                </c:pt>
                <c:pt idx="535">
                  <c:v>3.7439845968147475E-3</c:v>
                </c:pt>
                <c:pt idx="536">
                  <c:v>3.8865893078793953E-3</c:v>
                </c:pt>
                <c:pt idx="537">
                  <c:v>4.0544585954635625E-3</c:v>
                </c:pt>
                <c:pt idx="538">
                  <c:v>4.292140635011263E-3</c:v>
                </c:pt>
                <c:pt idx="539">
                  <c:v>4.5004490409645539E-3</c:v>
                </c:pt>
                <c:pt idx="540">
                  <c:v>4.7861110313970924E-3</c:v>
                </c:pt>
                <c:pt idx="541">
                  <c:v>5.010590611474579E-3</c:v>
                </c:pt>
                <c:pt idx="542">
                  <c:v>5.2544508970179165E-3</c:v>
                </c:pt>
                <c:pt idx="543">
                  <c:v>3.8826592842592382E-3</c:v>
                </c:pt>
                <c:pt idx="544">
                  <c:v>3.7433326837228932E-3</c:v>
                </c:pt>
                <c:pt idx="545">
                  <c:v>3.6477926728339205E-3</c:v>
                </c:pt>
                <c:pt idx="546">
                  <c:v>3.6084681499625707E-3</c:v>
                </c:pt>
                <c:pt idx="547">
                  <c:v>3.5710781853521725E-3</c:v>
                </c:pt>
                <c:pt idx="548">
                  <c:v>3.640045913386012E-3</c:v>
                </c:pt>
                <c:pt idx="549">
                  <c:v>3.7306127687737837E-3</c:v>
                </c:pt>
                <c:pt idx="550">
                  <c:v>3.8652510735699402E-3</c:v>
                </c:pt>
                <c:pt idx="551">
                  <c:v>4.0544585954635625E-3</c:v>
                </c:pt>
                <c:pt idx="552">
                  <c:v>4.2516633763121543E-3</c:v>
                </c:pt>
                <c:pt idx="553">
                  <c:v>4.4940527218176041E-3</c:v>
                </c:pt>
                <c:pt idx="554">
                  <c:v>4.7278725577846641E-3</c:v>
                </c:pt>
                <c:pt idx="555">
                  <c:v>4.9532644956509116E-3</c:v>
                </c:pt>
                <c:pt idx="556">
                  <c:v>5.1904017866820345E-3</c:v>
                </c:pt>
                <c:pt idx="557">
                  <c:v>5.442429625540624E-3</c:v>
                </c:pt>
                <c:pt idx="558">
                  <c:v>5.6523629571181237E-3</c:v>
                </c:pt>
                <c:pt idx="559">
                  <c:v>5.8564609604198799E-3</c:v>
                </c:pt>
                <c:pt idx="560">
                  <c:v>6.0396548850692377E-3</c:v>
                </c:pt>
                <c:pt idx="561">
                  <c:v>6.1991272942511473E-3</c:v>
                </c:pt>
                <c:pt idx="562">
                  <c:v>3.6561719129796608E-3</c:v>
                </c:pt>
                <c:pt idx="563">
                  <c:v>3.7548834774950883E-3</c:v>
                </c:pt>
                <c:pt idx="564">
                  <c:v>3.8953132333925523E-3</c:v>
                </c:pt>
                <c:pt idx="565">
                  <c:v>4.0544585954635625E-3</c:v>
                </c:pt>
                <c:pt idx="566">
                  <c:v>4.2859863523682937E-3</c:v>
                </c:pt>
                <c:pt idx="567">
                  <c:v>4.5004490409645539E-3</c:v>
                </c:pt>
                <c:pt idx="568">
                  <c:v>4.7569803427458621E-3</c:v>
                </c:pt>
                <c:pt idx="569">
                  <c:v>4.974761260408805E-3</c:v>
                </c:pt>
                <c:pt idx="570">
                  <c:v>5.2066869274278102E-3</c:v>
                </c:pt>
                <c:pt idx="571">
                  <c:v>5.4553155954770874E-3</c:v>
                </c:pt>
                <c:pt idx="572">
                  <c:v>5.6592664799574675E-3</c:v>
                </c:pt>
                <c:pt idx="573">
                  <c:v>5.8593999421495653E-3</c:v>
                </c:pt>
                <c:pt idx="574">
                  <c:v>6.0396154126493911E-3</c:v>
                </c:pt>
                <c:pt idx="575">
                  <c:v>6.1972851522999143E-3</c:v>
                </c:pt>
                <c:pt idx="576">
                  <c:v>6.3303896814114E-3</c:v>
                </c:pt>
                <c:pt idx="577">
                  <c:v>6.4374201622070196E-3</c:v>
                </c:pt>
                <c:pt idx="578">
                  <c:v>6.5428177192083069E-3</c:v>
                </c:pt>
                <c:pt idx="579">
                  <c:v>6.5976498972198528E-3</c:v>
                </c:pt>
                <c:pt idx="580">
                  <c:v>6.6226332027630053E-3</c:v>
                </c:pt>
                <c:pt idx="581">
                  <c:v>6.6174155544756292E-3</c:v>
                </c:pt>
                <c:pt idx="582">
                  <c:v>4.8617264379912034E-3</c:v>
                </c:pt>
                <c:pt idx="583">
                  <c:v>5.0628675061337993E-3</c:v>
                </c:pt>
                <c:pt idx="584">
                  <c:v>5.3113407600572675E-3</c:v>
                </c:pt>
                <c:pt idx="585">
                  <c:v>5.539521734799345E-3</c:v>
                </c:pt>
                <c:pt idx="586">
                  <c:v>5.7256075099480679E-3</c:v>
                </c:pt>
                <c:pt idx="587">
                  <c:v>5.9166363697250035E-3</c:v>
                </c:pt>
                <c:pt idx="588">
                  <c:v>6.087854643895556E-3</c:v>
                </c:pt>
                <c:pt idx="589">
                  <c:v>6.236979422550192E-3</c:v>
                </c:pt>
                <c:pt idx="590">
                  <c:v>6.362261174588108E-3</c:v>
                </c:pt>
                <c:pt idx="591">
                  <c:v>6.485110255685286E-3</c:v>
                </c:pt>
                <c:pt idx="592">
                  <c:v>6.563016652175538E-3</c:v>
                </c:pt>
                <c:pt idx="593">
                  <c:v>6.6130194800815001E-3</c:v>
                </c:pt>
                <c:pt idx="594">
                  <c:v>6.6344500447330298E-3</c:v>
                </c:pt>
                <c:pt idx="595">
                  <c:v>6.6270235481661931E-3</c:v>
                </c:pt>
                <c:pt idx="596">
                  <c:v>6.5908385628859548E-3</c:v>
                </c:pt>
                <c:pt idx="597">
                  <c:v>6.5263772134592701E-3</c:v>
                </c:pt>
                <c:pt idx="598">
                  <c:v>6.4141033778809774E-3</c:v>
                </c:pt>
                <c:pt idx="599">
                  <c:v>6.3008970233335466E-3</c:v>
                </c:pt>
                <c:pt idx="600">
                  <c:v>6.1631638759223287E-3</c:v>
                </c:pt>
                <c:pt idx="601">
                  <c:v>6.0024264264906648E-3</c:v>
                </c:pt>
                <c:pt idx="602">
                  <c:v>6.1740475242559201E-3</c:v>
                </c:pt>
                <c:pt idx="603">
                  <c:v>6.3088572528749443E-3</c:v>
                </c:pt>
                <c:pt idx="604">
                  <c:v>6.4201796290575038E-3</c:v>
                </c:pt>
                <c:pt idx="605">
                  <c:v>6.5319736146600155E-3</c:v>
                </c:pt>
                <c:pt idx="606">
                  <c:v>6.5968915469737906E-3</c:v>
                </c:pt>
                <c:pt idx="607">
                  <c:v>6.6347955249459779E-3</c:v>
                </c:pt>
                <c:pt idx="608">
                  <c:v>6.6452268794455066E-3</c:v>
                </c:pt>
                <c:pt idx="609">
                  <c:v>6.6279965638499317E-3</c:v>
                </c:pt>
                <c:pt idx="610">
                  <c:v>6.5833791392494786E-3</c:v>
                </c:pt>
                <c:pt idx="611">
                  <c:v>6.5119190062076964E-3</c:v>
                </c:pt>
                <c:pt idx="612">
                  <c:v>6.3949945318084863E-3</c:v>
                </c:pt>
                <c:pt idx="613">
                  <c:v>6.2777762306021742E-3</c:v>
                </c:pt>
                <c:pt idx="614">
                  <c:v>6.1373796223996597E-3</c:v>
                </c:pt>
                <c:pt idx="615">
                  <c:v>5.9753125344417218E-3</c:v>
                </c:pt>
                <c:pt idx="616">
                  <c:v>5.7935491423652449E-3</c:v>
                </c:pt>
                <c:pt idx="617">
                  <c:v>5.5946121338840095E-3</c:v>
                </c:pt>
                <c:pt idx="618">
                  <c:v>5.3880106975045805E-3</c:v>
                </c:pt>
                <c:pt idx="619">
                  <c:v>5.1531489897656954E-3</c:v>
                </c:pt>
                <c:pt idx="620">
                  <c:v>4.9284590604484089E-3</c:v>
                </c:pt>
                <c:pt idx="621">
                  <c:v>4.7155521642570034E-3</c:v>
                </c:pt>
                <c:pt idx="622">
                  <c:v>4.4966768407112574E-3</c:v>
                </c:pt>
                <c:pt idx="623">
                  <c:v>6.6147491282743847E-3</c:v>
                </c:pt>
                <c:pt idx="624">
                  <c:v>6.5560126212822721E-3</c:v>
                </c:pt>
                <c:pt idx="625">
                  <c:v>6.471980987060256E-3</c:v>
                </c:pt>
                <c:pt idx="626">
                  <c:v>6.3462608201095986E-3</c:v>
                </c:pt>
                <c:pt idx="627">
                  <c:v>6.2198444369138605E-3</c:v>
                </c:pt>
                <c:pt idx="628">
                  <c:v>6.0718330341918512E-3</c:v>
                </c:pt>
                <c:pt idx="629">
                  <c:v>5.9038251725433508E-3</c:v>
                </c:pt>
                <c:pt idx="630">
                  <c:v>5.7178831253222118E-3</c:v>
                </c:pt>
                <c:pt idx="631">
                  <c:v>5.5383179408247159E-3</c:v>
                </c:pt>
                <c:pt idx="632">
                  <c:v>5.3113407600572666E-3</c:v>
                </c:pt>
                <c:pt idx="633">
                  <c:v>5.0778162274729812E-3</c:v>
                </c:pt>
                <c:pt idx="634">
                  <c:v>4.8556799745265635E-3</c:v>
                </c:pt>
                <c:pt idx="635">
                  <c:v>4.6411008257361691E-3</c:v>
                </c:pt>
                <c:pt idx="636">
                  <c:v>4.4288384222739806E-3</c:v>
                </c:pt>
                <c:pt idx="637">
                  <c:v>4.2103069175712642E-3</c:v>
                </c:pt>
                <c:pt idx="638">
                  <c:v>4.013914009508927E-3</c:v>
                </c:pt>
                <c:pt idx="639">
                  <c:v>3.8588492176352841E-3</c:v>
                </c:pt>
                <c:pt idx="640">
                  <c:v>3.7334024504978637E-3</c:v>
                </c:pt>
                <c:pt idx="641">
                  <c:v>3.6454257801264373E-3</c:v>
                </c:pt>
                <c:pt idx="642">
                  <c:v>3.5721584780539313E-3</c:v>
                </c:pt>
                <c:pt idx="643">
                  <c:v>3.562864342364567E-3</c:v>
                </c:pt>
                <c:pt idx="644">
                  <c:v>5.5948792174654819E-3</c:v>
                </c:pt>
                <c:pt idx="645">
                  <c:v>5.3963650920818926E-3</c:v>
                </c:pt>
                <c:pt idx="646">
                  <c:v>5.1684371897844231E-3</c:v>
                </c:pt>
                <c:pt idx="647">
                  <c:v>4.9520266552452938E-3</c:v>
                </c:pt>
                <c:pt idx="648">
                  <c:v>4.7503375267456674E-3</c:v>
                </c:pt>
                <c:pt idx="649">
                  <c:v>4.5004490409645539E-3</c:v>
                </c:pt>
                <c:pt idx="650">
                  <c:v>4.3128921782011227E-3</c:v>
                </c:pt>
                <c:pt idx="651">
                  <c:v>4.095003181418198E-3</c:v>
                </c:pt>
                <c:pt idx="652">
                  <c:v>3.9378863374285589E-3</c:v>
                </c:pt>
                <c:pt idx="653">
                  <c:v>3.7959756638448567E-3</c:v>
                </c:pt>
                <c:pt idx="654">
                  <c:v>3.6890315421541416E-3</c:v>
                </c:pt>
                <c:pt idx="655">
                  <c:v>3.6190137758556578E-3</c:v>
                </c:pt>
                <c:pt idx="656">
                  <c:v>3.5622210567617164E-3</c:v>
                </c:pt>
                <c:pt idx="657">
                  <c:v>3.5695928866609815E-3</c:v>
                </c:pt>
                <c:pt idx="658">
                  <c:v>3.6397798966087825E-3</c:v>
                </c:pt>
                <c:pt idx="659">
                  <c:v>3.7232218704927609E-3</c:v>
                </c:pt>
                <c:pt idx="660">
                  <c:v>3.8429651279070641E-3</c:v>
                </c:pt>
                <c:pt idx="661">
                  <c:v>4.013914009508927E-3</c:v>
                </c:pt>
                <c:pt idx="662">
                  <c:v>4.1806347050752602E-3</c:v>
                </c:pt>
                <c:pt idx="663">
                  <c:v>4.3913902714300592E-3</c:v>
                </c:pt>
                <c:pt idx="664">
                  <c:v>4.5981109262475828E-3</c:v>
                </c:pt>
                <c:pt idx="665">
                  <c:v>4.8382241689333746E-3</c:v>
                </c:pt>
                <c:pt idx="666">
                  <c:v>3.8359234606065856E-3</c:v>
                </c:pt>
                <c:pt idx="667">
                  <c:v>3.7195183941829265E-3</c:v>
                </c:pt>
                <c:pt idx="668">
                  <c:v>3.6382073693807773E-3</c:v>
                </c:pt>
                <c:pt idx="669">
                  <c:v>3.5688098929161252E-3</c:v>
                </c:pt>
                <c:pt idx="670">
                  <c:v>3.5608978376682698E-3</c:v>
                </c:pt>
                <c:pt idx="671">
                  <c:v>3.6159146518069214E-3</c:v>
                </c:pt>
                <c:pt idx="672">
                  <c:v>3.6827986890831154E-3</c:v>
                </c:pt>
                <c:pt idx="673">
                  <c:v>3.7854241403816212E-3</c:v>
                </c:pt>
                <c:pt idx="674">
                  <c:v>3.9219779796249238E-3</c:v>
                </c:pt>
                <c:pt idx="675">
                  <c:v>4.095003181418198E-3</c:v>
                </c:pt>
                <c:pt idx="676">
                  <c:v>4.2842500675545963E-3</c:v>
                </c:pt>
                <c:pt idx="677">
                  <c:v>4.5004490409645539E-3</c:v>
                </c:pt>
                <c:pt idx="678">
                  <c:v>4.709698615995973E-3</c:v>
                </c:pt>
                <c:pt idx="679">
                  <c:v>4.9114235953539613E-3</c:v>
                </c:pt>
                <c:pt idx="680">
                  <c:v>5.1251283020396412E-3</c:v>
                </c:pt>
                <c:pt idx="681">
                  <c:v>5.3455563415726595E-3</c:v>
                </c:pt>
                <c:pt idx="682">
                  <c:v>5.5733780277178102E-3</c:v>
                </c:pt>
                <c:pt idx="683">
                  <c:v>5.7406211485015578E-3</c:v>
                </c:pt>
                <c:pt idx="684">
                  <c:v>5.9192697316973516E-3</c:v>
                </c:pt>
                <c:pt idx="685">
                  <c:v>6.0812305538462371E-3</c:v>
                </c:pt>
                <c:pt idx="686">
                  <c:v>6.2246976220728355E-3</c:v>
                </c:pt>
                <c:pt idx="687">
                  <c:v>6.3482617068615372E-3</c:v>
                </c:pt>
                <c:pt idx="688">
                  <c:v>4.0544585954635625E-3</c:v>
                </c:pt>
                <c:pt idx="689">
                  <c:v>4.2289636978692785E-3</c:v>
                </c:pt>
                <c:pt idx="690">
                  <c:v>4.438219152938897E-3</c:v>
                </c:pt>
                <c:pt idx="691">
                  <c:v>4.6388135076054103E-3</c:v>
                </c:pt>
                <c:pt idx="692">
                  <c:v>4.8423554663634509E-3</c:v>
                </c:pt>
                <c:pt idx="693">
                  <c:v>5.0537068306031364E-3</c:v>
                </c:pt>
                <c:pt idx="694">
                  <c:v>5.2651062078801882E-3</c:v>
                </c:pt>
                <c:pt idx="695">
                  <c:v>5.4895578790444925E-3</c:v>
                </c:pt>
                <c:pt idx="696">
                  <c:v>5.6679612242565656E-3</c:v>
                </c:pt>
                <c:pt idx="697">
                  <c:v>5.8497843371444385E-3</c:v>
                </c:pt>
                <c:pt idx="698">
                  <c:v>6.016375789788757E-3</c:v>
                </c:pt>
                <c:pt idx="699">
                  <c:v>6.165855696232376E-3</c:v>
                </c:pt>
                <c:pt idx="700">
                  <c:v>6.2967389093612882E-3</c:v>
                </c:pt>
                <c:pt idx="701">
                  <c:v>6.4078765582032951E-3</c:v>
                </c:pt>
                <c:pt idx="702">
                  <c:v>6.5229607320115993E-3</c:v>
                </c:pt>
                <c:pt idx="703">
                  <c:v>6.5960100661018673E-3</c:v>
                </c:pt>
                <c:pt idx="704">
                  <c:v>6.6464122118679043E-3</c:v>
                </c:pt>
                <c:pt idx="705">
                  <c:v>6.673754079796217E-3</c:v>
                </c:pt>
                <c:pt idx="706">
                  <c:v>6.6774743524032881E-3</c:v>
                </c:pt>
                <c:pt idx="707">
                  <c:v>6.6575363392455738E-3</c:v>
                </c:pt>
                <c:pt idx="708">
                  <c:v>6.6143105317105454E-3</c:v>
                </c:pt>
                <c:pt idx="709">
                  <c:v>6.5483142293101043E-3</c:v>
                </c:pt>
                <c:pt idx="710">
                  <c:v>5.8143227757327907E-3</c:v>
                </c:pt>
                <c:pt idx="711">
                  <c:v>5.9818585732973996E-3</c:v>
                </c:pt>
                <c:pt idx="712">
                  <c:v>6.1332762873944988E-3</c:v>
                </c:pt>
                <c:pt idx="713">
                  <c:v>6.2670889387458437E-3</c:v>
                </c:pt>
                <c:pt idx="714">
                  <c:v>6.3821361851655279E-3</c:v>
                </c:pt>
                <c:pt idx="715">
                  <c:v>6.5010239276091725E-3</c:v>
                </c:pt>
                <c:pt idx="716">
                  <c:v>6.5801066862064888E-3</c:v>
                </c:pt>
                <c:pt idx="717">
                  <c:v>6.6375554708139285E-3</c:v>
                </c:pt>
                <c:pt idx="718">
                  <c:v>6.6729841896242025E-3</c:v>
                </c:pt>
                <c:pt idx="719">
                  <c:v>6.6857445446258336E-3</c:v>
                </c:pt>
                <c:pt idx="720">
                  <c:v>6.6756888513083501E-3</c:v>
                </c:pt>
                <c:pt idx="721">
                  <c:v>6.642911844326407E-3</c:v>
                </c:pt>
                <c:pt idx="722">
                  <c:v>6.5880663303226209E-3</c:v>
                </c:pt>
                <c:pt idx="723">
                  <c:v>6.511512648578674E-3</c:v>
                </c:pt>
                <c:pt idx="724">
                  <c:v>6.3944954788583332E-3</c:v>
                </c:pt>
                <c:pt idx="725">
                  <c:v>6.2817380587993276E-3</c:v>
                </c:pt>
                <c:pt idx="726">
                  <c:v>6.1500967682648544E-3</c:v>
                </c:pt>
                <c:pt idx="727">
                  <c:v>6.0006967311312916E-3</c:v>
                </c:pt>
                <c:pt idx="728">
                  <c:v>5.8349833510521285E-3</c:v>
                </c:pt>
                <c:pt idx="729">
                  <c:v>5.6547764382714897E-3</c:v>
                </c:pt>
                <c:pt idx="730">
                  <c:v>5.4773543745430461E-3</c:v>
                </c:pt>
                <c:pt idx="731">
                  <c:v>5.2564114561540615E-3</c:v>
                </c:pt>
                <c:pt idx="732">
                  <c:v>5.0488866895301932E-3</c:v>
                </c:pt>
                <c:pt idx="733">
                  <c:v>6.6864519664154168E-3</c:v>
                </c:pt>
                <c:pt idx="734">
                  <c:v>6.6595260473026824E-3</c:v>
                </c:pt>
                <c:pt idx="735">
                  <c:v>6.611073190355133E-3</c:v>
                </c:pt>
                <c:pt idx="736">
                  <c:v>6.5416073284665149E-3</c:v>
                </c:pt>
                <c:pt idx="737">
                  <c:v>6.4305022268641918E-3</c:v>
                </c:pt>
                <c:pt idx="738">
                  <c:v>6.3256316747500605E-3</c:v>
                </c:pt>
                <c:pt idx="739">
                  <c:v>6.2022319679303625E-3</c:v>
                </c:pt>
                <c:pt idx="740">
                  <c:v>6.0612719366585389E-3</c:v>
                </c:pt>
                <c:pt idx="741">
                  <c:v>5.9040015108950995E-3</c:v>
                </c:pt>
                <c:pt idx="742">
                  <c:v>5.7320013318690639E-3</c:v>
                </c:pt>
                <c:pt idx="743">
                  <c:v>5.573016838978961E-3</c:v>
                </c:pt>
                <c:pt idx="744">
                  <c:v>5.355632889048223E-3</c:v>
                </c:pt>
                <c:pt idx="745">
                  <c:v>5.1442496219062106E-3</c:v>
                </c:pt>
                <c:pt idx="746">
                  <c:v>4.9410652587512458E-3</c:v>
                </c:pt>
                <c:pt idx="747">
                  <c:v>4.7535644064772538E-3</c:v>
                </c:pt>
                <c:pt idx="748">
                  <c:v>4.5335163251315012E-3</c:v>
                </c:pt>
                <c:pt idx="749">
                  <c:v>4.343218409255366E-3</c:v>
                </c:pt>
                <c:pt idx="750">
                  <c:v>4.1502661564346878E-3</c:v>
                </c:pt>
                <c:pt idx="751">
                  <c:v>4.013914009508927E-3</c:v>
                </c:pt>
                <c:pt idx="752">
                  <c:v>3.8384956356555359E-3</c:v>
                </c:pt>
                <c:pt idx="753">
                  <c:v>3.7257166390510144E-3</c:v>
                </c:pt>
                <c:pt idx="754">
                  <c:v>3.6445665748040677E-3</c:v>
                </c:pt>
                <c:pt idx="755">
                  <c:v>3.6084681499625707E-3</c:v>
                </c:pt>
                <c:pt idx="756">
                  <c:v>3.5565012531636243E-3</c:v>
                </c:pt>
                <c:pt idx="757">
                  <c:v>3.6084681499625707E-3</c:v>
                </c:pt>
                <c:pt idx="758">
                  <c:v>5.2009015792379839E-3</c:v>
                </c:pt>
                <c:pt idx="759">
                  <c:v>5.002143899179674E-3</c:v>
                </c:pt>
                <c:pt idx="760">
                  <c:v>4.8254919797414818E-3</c:v>
                </c:pt>
                <c:pt idx="761">
                  <c:v>4.6042076301507102E-3</c:v>
                </c:pt>
                <c:pt idx="762">
                  <c:v>4.414725844809347E-3</c:v>
                </c:pt>
                <c:pt idx="763">
                  <c:v>4.2169176066223606E-3</c:v>
                </c:pt>
                <c:pt idx="764">
                  <c:v>4.0544585954635625E-3</c:v>
                </c:pt>
                <c:pt idx="765">
                  <c:v>3.8905264298334965E-3</c:v>
                </c:pt>
                <c:pt idx="766">
                  <c:v>3.7674554021976999E-3</c:v>
                </c:pt>
                <c:pt idx="767">
                  <c:v>3.6743784862611263E-3</c:v>
                </c:pt>
                <c:pt idx="768">
                  <c:v>3.6127331388500798E-3</c:v>
                </c:pt>
                <c:pt idx="769">
                  <c:v>3.5582749398822386E-3</c:v>
                </c:pt>
                <c:pt idx="770">
                  <c:v>3.5620464636477419E-3</c:v>
                </c:pt>
                <c:pt idx="771">
                  <c:v>3.6233674603978758E-3</c:v>
                </c:pt>
                <c:pt idx="772">
                  <c:v>3.6919208165183959E-3</c:v>
                </c:pt>
                <c:pt idx="773">
                  <c:v>3.7916353694432713E-3</c:v>
                </c:pt>
                <c:pt idx="774">
                  <c:v>3.9209694320932204E-3</c:v>
                </c:pt>
                <c:pt idx="775">
                  <c:v>4.0544585954635625E-3</c:v>
                </c:pt>
                <c:pt idx="776">
                  <c:v>4.257954823154643E-3</c:v>
                </c:pt>
                <c:pt idx="777">
                  <c:v>4.4602782169398149E-3</c:v>
                </c:pt>
                <c:pt idx="778">
                  <c:v>4.6509843171967588E-3</c:v>
                </c:pt>
                <c:pt idx="779">
                  <c:v>4.8439216887648873E-3</c:v>
                </c:pt>
                <c:pt idx="780">
                  <c:v>3.6940634958113959E-3</c:v>
                </c:pt>
                <c:pt idx="781">
                  <c:v>3.6252574462652095E-3</c:v>
                </c:pt>
                <c:pt idx="782">
                  <c:v>3.562710865874453E-3</c:v>
                </c:pt>
                <c:pt idx="783">
                  <c:v>3.556535537459373E-3</c:v>
                </c:pt>
                <c:pt idx="784">
                  <c:v>3.6084681499625707E-3</c:v>
                </c:pt>
                <c:pt idx="785">
                  <c:v>3.6653268479749064E-3</c:v>
                </c:pt>
                <c:pt idx="786">
                  <c:v>3.7534199577009958E-3</c:v>
                </c:pt>
                <c:pt idx="787">
                  <c:v>3.8708038547676776E-3</c:v>
                </c:pt>
                <c:pt idx="788">
                  <c:v>4.013914009508927E-3</c:v>
                </c:pt>
                <c:pt idx="789">
                  <c:v>4.1846443212850554E-3</c:v>
                </c:pt>
                <c:pt idx="790">
                  <c:v>4.3756960690269986E-3</c:v>
                </c:pt>
                <c:pt idx="791">
                  <c:v>4.5608144459189518E-3</c:v>
                </c:pt>
                <c:pt idx="792">
                  <c:v>4.7759395661047671E-3</c:v>
                </c:pt>
                <c:pt idx="793">
                  <c:v>4.9550824724506797E-3</c:v>
                </c:pt>
                <c:pt idx="794">
                  <c:v>5.152030457556773E-3</c:v>
                </c:pt>
                <c:pt idx="795">
                  <c:v>5.3576843002134961E-3</c:v>
                </c:pt>
                <c:pt idx="796">
                  <c:v>5.5687915422170699E-3</c:v>
                </c:pt>
                <c:pt idx="797">
                  <c:v>5.7234321867135852E-3</c:v>
                </c:pt>
                <c:pt idx="798">
                  <c:v>5.8915399282874446E-3</c:v>
                </c:pt>
                <c:pt idx="799">
                  <c:v>6.046036930909179E-3</c:v>
                </c:pt>
                <c:pt idx="800">
                  <c:v>6.1854623692344669E-3</c:v>
                </c:pt>
                <c:pt idx="801">
                  <c:v>6.3086515241929089E-3</c:v>
                </c:pt>
                <c:pt idx="802">
                  <c:v>6.4146928342012806E-3</c:v>
                </c:pt>
                <c:pt idx="803">
                  <c:v>6.5276907761934681E-3</c:v>
                </c:pt>
                <c:pt idx="804">
                  <c:v>6.6013464739648579E-3</c:v>
                </c:pt>
                <c:pt idx="805">
                  <c:v>4.7173288348280927E-3</c:v>
                </c:pt>
                <c:pt idx="806">
                  <c:v>4.8991968095798951E-3</c:v>
                </c:pt>
                <c:pt idx="807">
                  <c:v>5.0943508343151899E-3</c:v>
                </c:pt>
                <c:pt idx="808">
                  <c:v>5.3113407600572666E-3</c:v>
                </c:pt>
                <c:pt idx="809">
                  <c:v>5.5006131496951769E-3</c:v>
                </c:pt>
                <c:pt idx="810">
                  <c:v>5.6639215492049616E-3</c:v>
                </c:pt>
                <c:pt idx="811">
                  <c:v>5.8339822822431721E-3</c:v>
                </c:pt>
                <c:pt idx="812">
                  <c:v>5.9914504904981332E-3</c:v>
                </c:pt>
                <c:pt idx="813">
                  <c:v>6.1348218935636306E-3</c:v>
                </c:pt>
                <c:pt idx="814">
                  <c:v>6.2628857948571768E-3</c:v>
                </c:pt>
                <c:pt idx="815">
                  <c:v>6.3746848409971602E-3</c:v>
                </c:pt>
                <c:pt idx="816">
                  <c:v>6.4925700107222751E-3</c:v>
                </c:pt>
                <c:pt idx="817">
                  <c:v>6.5738638354965384E-3</c:v>
                </c:pt>
                <c:pt idx="818">
                  <c:v>6.6365110285793042E-3</c:v>
                </c:pt>
                <c:pt idx="819">
                  <c:v>6.6802078980683988E-3</c:v>
                </c:pt>
                <c:pt idx="820">
                  <c:v>6.7042667060546656E-3</c:v>
                </c:pt>
                <c:pt idx="821">
                  <c:v>6.7084614414772582E-3</c:v>
                </c:pt>
                <c:pt idx="822">
                  <c:v>6.692758848002852E-3</c:v>
                </c:pt>
                <c:pt idx="823">
                  <c:v>6.6572838473930264E-3</c:v>
                </c:pt>
                <c:pt idx="824">
                  <c:v>6.6025703141378445E-3</c:v>
                </c:pt>
                <c:pt idx="825">
                  <c:v>6.5290578000778733E-3</c:v>
                </c:pt>
                <c:pt idx="826">
                  <c:v>6.4167380890331966E-3</c:v>
                </c:pt>
                <c:pt idx="827">
                  <c:v>6.3120263545124169E-3</c:v>
                </c:pt>
                <c:pt idx="828">
                  <c:v>6.1907127386971903E-3</c:v>
                </c:pt>
                <c:pt idx="829">
                  <c:v>6.4698744432710063E-3</c:v>
                </c:pt>
                <c:pt idx="830">
                  <c:v>6.5553724512970226E-3</c:v>
                </c:pt>
                <c:pt idx="831">
                  <c:v>6.6229949159446258E-3</c:v>
                </c:pt>
                <c:pt idx="832">
                  <c:v>6.6723675959989561E-3</c:v>
                </c:pt>
                <c:pt idx="833">
                  <c:v>6.7029002431171414E-3</c:v>
                </c:pt>
                <c:pt idx="834">
                  <c:v>6.7142387284283506E-3</c:v>
                </c:pt>
                <c:pt idx="835">
                  <c:v>6.7062964808560143E-3</c:v>
                </c:pt>
                <c:pt idx="836">
                  <c:v>6.6791340782796039E-3</c:v>
                </c:pt>
                <c:pt idx="837">
                  <c:v>6.6330162588435129E-3</c:v>
                </c:pt>
                <c:pt idx="838">
                  <c:v>6.5686068885336176E-3</c:v>
                </c:pt>
                <c:pt idx="839">
                  <c:v>6.4862119225034473E-3</c:v>
                </c:pt>
                <c:pt idx="840">
                  <c:v>6.3681551092358612E-3</c:v>
                </c:pt>
                <c:pt idx="841">
                  <c:v>6.2564724942251598E-3</c:v>
                </c:pt>
                <c:pt idx="842">
                  <c:v>6.1290919867787201E-3</c:v>
                </c:pt>
                <c:pt idx="843">
                  <c:v>5.986938791744857E-3</c:v>
                </c:pt>
                <c:pt idx="844">
                  <c:v>5.8311785189043095E-3</c:v>
                </c:pt>
                <c:pt idx="845">
                  <c:v>5.6632547045457936E-3</c:v>
                </c:pt>
                <c:pt idx="846">
                  <c:v>5.5026547897613987E-3</c:v>
                </c:pt>
                <c:pt idx="847">
                  <c:v>5.3113407600572666E-3</c:v>
                </c:pt>
                <c:pt idx="848">
                  <c:v>5.1016211645802658E-3</c:v>
                </c:pt>
                <c:pt idx="849">
                  <c:v>4.9093481815942622E-3</c:v>
                </c:pt>
                <c:pt idx="850">
                  <c:v>4.7315214902709946E-3</c:v>
                </c:pt>
                <c:pt idx="851">
                  <c:v>4.5004490409645539E-3</c:v>
                </c:pt>
                <c:pt idx="852">
                  <c:v>4.34676545017157E-3</c:v>
                </c:pt>
                <c:pt idx="853">
                  <c:v>4.1637923682540318E-3</c:v>
                </c:pt>
                <c:pt idx="854">
                  <c:v>6.2997891769659489E-3</c:v>
                </c:pt>
                <c:pt idx="855">
                  <c:v>6.17950591660956E-3</c:v>
                </c:pt>
                <c:pt idx="856">
                  <c:v>6.0445437414535855E-3</c:v>
                </c:pt>
                <c:pt idx="857">
                  <c:v>5.8959238192838109E-3</c:v>
                </c:pt>
                <c:pt idx="858">
                  <c:v>5.7349157730044592E-3</c:v>
                </c:pt>
                <c:pt idx="859">
                  <c:v>5.563072312765649E-3</c:v>
                </c:pt>
                <c:pt idx="860">
                  <c:v>5.3886810769253838E-3</c:v>
                </c:pt>
                <c:pt idx="861">
                  <c:v>5.1884758569115683E-3</c:v>
                </c:pt>
                <c:pt idx="862">
                  <c:v>5.0005938158381889E-3</c:v>
                </c:pt>
                <c:pt idx="863">
                  <c:v>4.8364814622142488E-3</c:v>
                </c:pt>
                <c:pt idx="864">
                  <c:v>4.6266227569585787E-3</c:v>
                </c:pt>
                <c:pt idx="865">
                  <c:v>4.4483234933047336E-3</c:v>
                </c:pt>
                <c:pt idx="866">
                  <c:v>4.2578277440288755E-3</c:v>
                </c:pt>
                <c:pt idx="867">
                  <c:v>4.0544585954635625E-3</c:v>
                </c:pt>
                <c:pt idx="868">
                  <c:v>3.9368205908134951E-3</c:v>
                </c:pt>
                <c:pt idx="869">
                  <c:v>3.8106837153094228E-3</c:v>
                </c:pt>
                <c:pt idx="870">
                  <c:v>3.7105760724302985E-3</c:v>
                </c:pt>
                <c:pt idx="871">
                  <c:v>3.6378716538807577E-3</c:v>
                </c:pt>
                <c:pt idx="872">
                  <c:v>3.5689642302345437E-3</c:v>
                </c:pt>
                <c:pt idx="873">
                  <c:v>3.5527621799481667E-3</c:v>
                </c:pt>
                <c:pt idx="874">
                  <c:v>3.5674790960337132E-3</c:v>
                </c:pt>
                <c:pt idx="875">
                  <c:v>3.6350847166867041E-3</c:v>
                </c:pt>
                <c:pt idx="876">
                  <c:v>3.7064432492753359E-3</c:v>
                </c:pt>
                <c:pt idx="877">
                  <c:v>3.8052615918065581E-3</c:v>
                </c:pt>
                <c:pt idx="878">
                  <c:v>3.9301837508894195E-3</c:v>
                </c:pt>
                <c:pt idx="879">
                  <c:v>4.0544585954635625E-3</c:v>
                </c:pt>
                <c:pt idx="880">
                  <c:v>4.151812356356018E-3</c:v>
                </c:pt>
                <c:pt idx="881">
                  <c:v>4.013914009508927E-3</c:v>
                </c:pt>
                <c:pt idx="882">
                  <c:v>3.8606554291185495E-3</c:v>
                </c:pt>
                <c:pt idx="883">
                  <c:v>3.7506429367255372E-3</c:v>
                </c:pt>
                <c:pt idx="884">
                  <c:v>3.6667416355507902E-3</c:v>
                </c:pt>
                <c:pt idx="885">
                  <c:v>3.6100684103568658E-3</c:v>
                </c:pt>
                <c:pt idx="886">
                  <c:v>3.556062135598924E-3</c:v>
                </c:pt>
                <c:pt idx="887">
                  <c:v>3.555709632104252E-3</c:v>
                </c:pt>
                <c:pt idx="888">
                  <c:v>3.6090737760696647E-3</c:v>
                </c:pt>
                <c:pt idx="889">
                  <c:v>3.6650985619372401E-3</c:v>
                </c:pt>
                <c:pt idx="890">
                  <c:v>3.748373253824374E-3</c:v>
                </c:pt>
                <c:pt idx="891">
                  <c:v>3.8577894065742508E-3</c:v>
                </c:pt>
                <c:pt idx="892">
                  <c:v>4.013914009508927E-3</c:v>
                </c:pt>
                <c:pt idx="893">
                  <c:v>4.147915815269106E-3</c:v>
                </c:pt>
                <c:pt idx="894">
                  <c:v>4.3238704059788005E-3</c:v>
                </c:pt>
                <c:pt idx="895">
                  <c:v>4.5004490409645539E-3</c:v>
                </c:pt>
                <c:pt idx="896">
                  <c:v>4.6947288663631917E-3</c:v>
                </c:pt>
                <c:pt idx="897">
                  <c:v>4.8704679162103123E-3</c:v>
                </c:pt>
                <c:pt idx="898">
                  <c:v>5.0581250428221175E-3</c:v>
                </c:pt>
                <c:pt idx="899">
                  <c:v>5.2450446494267328E-3</c:v>
                </c:pt>
                <c:pt idx="900">
                  <c:v>5.4448759127339232E-3</c:v>
                </c:pt>
                <c:pt idx="901">
                  <c:v>5.6093985925359004E-3</c:v>
                </c:pt>
                <c:pt idx="902">
                  <c:v>5.7764392244654007E-3</c:v>
                </c:pt>
                <c:pt idx="903">
                  <c:v>5.9325658863621841E-3</c:v>
                </c:pt>
                <c:pt idx="904">
                  <c:v>6.0763618064094164E-3</c:v>
                </c:pt>
                <c:pt idx="905">
                  <c:v>6.2066701910805057E-3</c:v>
                </c:pt>
                <c:pt idx="906">
                  <c:v>4.0544585954635625E-3</c:v>
                </c:pt>
                <c:pt idx="907">
                  <c:v>4.2425010878832442E-3</c:v>
                </c:pt>
                <c:pt idx="908">
                  <c:v>4.4262076121606934E-3</c:v>
                </c:pt>
                <c:pt idx="909">
                  <c:v>4.5986444848531739E-3</c:v>
                </c:pt>
                <c:pt idx="910">
                  <c:v>4.8011742348090976E-3</c:v>
                </c:pt>
                <c:pt idx="911">
                  <c:v>4.9642798159901923E-3</c:v>
                </c:pt>
                <c:pt idx="912">
                  <c:v>5.1480164545309095E-3</c:v>
                </c:pt>
                <c:pt idx="913">
                  <c:v>5.3113407600572666E-3</c:v>
                </c:pt>
                <c:pt idx="914">
                  <c:v>5.5366240549240544E-3</c:v>
                </c:pt>
                <c:pt idx="915">
                  <c:v>5.6852185956839281E-3</c:v>
                </c:pt>
                <c:pt idx="916">
                  <c:v>5.8456188783820931E-3</c:v>
                </c:pt>
                <c:pt idx="917">
                  <c:v>5.9947970568831012E-3</c:v>
                </c:pt>
                <c:pt idx="918">
                  <c:v>6.1315061193978181E-3</c:v>
                </c:pt>
                <c:pt idx="919">
                  <c:v>6.2547322155951648E-3</c:v>
                </c:pt>
                <c:pt idx="920">
                  <c:v>6.3636639837289077E-3</c:v>
                </c:pt>
                <c:pt idx="921">
                  <c:v>6.4801748312355049E-3</c:v>
                </c:pt>
                <c:pt idx="922">
                  <c:v>6.5628330072350916E-3</c:v>
                </c:pt>
                <c:pt idx="923">
                  <c:v>6.6291873358139061E-3</c:v>
                </c:pt>
                <c:pt idx="924">
                  <c:v>6.6789678097859901E-3</c:v>
                </c:pt>
                <c:pt idx="925">
                  <c:v>6.7115529424392464E-3</c:v>
                </c:pt>
                <c:pt idx="926">
                  <c:v>6.7266372107104913E-3</c:v>
                </c:pt>
                <c:pt idx="927">
                  <c:v>6.7241173662599251E-3</c:v>
                </c:pt>
                <c:pt idx="928">
                  <c:v>6.7040105892149102E-3</c:v>
                </c:pt>
                <c:pt idx="929">
                  <c:v>6.6664549383813809E-3</c:v>
                </c:pt>
                <c:pt idx="930">
                  <c:v>6.6119008837280694E-3</c:v>
                </c:pt>
                <c:pt idx="931">
                  <c:v>6.5408261440063446E-3</c:v>
                </c:pt>
                <c:pt idx="932">
                  <c:v>6.1994619662078176E-3</c:v>
                </c:pt>
                <c:pt idx="933">
                  <c:v>6.3139923020841034E-3</c:v>
                </c:pt>
                <c:pt idx="934">
                  <c:v>6.414297069796693E-3</c:v>
                </c:pt>
                <c:pt idx="935">
                  <c:v>6.5244917181424668E-3</c:v>
                </c:pt>
                <c:pt idx="936">
                  <c:v>6.5987076903960265E-3</c:v>
                </c:pt>
                <c:pt idx="937">
                  <c:v>6.6569367578951846E-3</c:v>
                </c:pt>
                <c:pt idx="938">
                  <c:v>6.6988285528520094E-3</c:v>
                </c:pt>
                <c:pt idx="939">
                  <c:v>6.7238263422709074E-3</c:v>
                </c:pt>
                <c:pt idx="940">
                  <c:v>6.7317636680621551E-3</c:v>
                </c:pt>
                <c:pt idx="941">
                  <c:v>6.7225882211323588E-3</c:v>
                </c:pt>
                <c:pt idx="942">
                  <c:v>6.6963604937709522E-3</c:v>
                </c:pt>
                <c:pt idx="943">
                  <c:v>6.6532553370181749E-3</c:v>
                </c:pt>
                <c:pt idx="944">
                  <c:v>6.593869271925532E-3</c:v>
                </c:pt>
                <c:pt idx="945">
                  <c:v>6.5185088006444467E-3</c:v>
                </c:pt>
                <c:pt idx="946">
                  <c:v>6.407525980263915E-3</c:v>
                </c:pt>
                <c:pt idx="947">
                  <c:v>6.3061717407079734E-3</c:v>
                </c:pt>
                <c:pt idx="948">
                  <c:v>6.1906363115625217E-3</c:v>
                </c:pt>
                <c:pt idx="949">
                  <c:v>6.0616182893405701E-3</c:v>
                </c:pt>
                <c:pt idx="950">
                  <c:v>5.9199948361344608E-3</c:v>
                </c:pt>
                <c:pt idx="951">
                  <c:v>5.7668502026862857E-3</c:v>
                </c:pt>
                <c:pt idx="952">
                  <c:v>5.603504304950776E-3</c:v>
                </c:pt>
                <c:pt idx="953">
                  <c:v>5.4430869340555618E-3</c:v>
                </c:pt>
                <c:pt idx="954">
                  <c:v>5.248361534329349E-3</c:v>
                </c:pt>
                <c:pt idx="955">
                  <c:v>5.0660287378189858E-3</c:v>
                </c:pt>
                <c:pt idx="956">
                  <c:v>4.8833578385325547E-3</c:v>
                </c:pt>
                <c:pt idx="957">
                  <c:v>4.7141374721948156E-3</c:v>
                </c:pt>
                <c:pt idx="958">
                  <c:v>4.5004490409645539E-3</c:v>
                </c:pt>
                <c:pt idx="959">
                  <c:v>6.4787431276320572E-3</c:v>
                </c:pt>
                <c:pt idx="960">
                  <c:v>6.3636563320891102E-3</c:v>
                </c:pt>
                <c:pt idx="961">
                  <c:v>6.2569268325276773E-3</c:v>
                </c:pt>
                <c:pt idx="962">
                  <c:v>6.1366954090462432E-3</c:v>
                </c:pt>
                <c:pt idx="963">
                  <c:v>6.0037042886136628E-3</c:v>
                </c:pt>
                <c:pt idx="964">
                  <c:v>5.8588766961269381E-3</c:v>
                </c:pt>
                <c:pt idx="965">
                  <c:v>5.7033438542977233E-3</c:v>
                </c:pt>
                <c:pt idx="966">
                  <c:v>5.5630687630210977E-3</c:v>
                </c:pt>
                <c:pt idx="967">
                  <c:v>5.3707204212455001E-3</c:v>
                </c:pt>
                <c:pt idx="968">
                  <c:v>5.181440706844103E-3</c:v>
                </c:pt>
                <c:pt idx="969">
                  <c:v>5.0030790879035053E-3</c:v>
                </c:pt>
                <c:pt idx="970">
                  <c:v>4.8503557208775198E-3</c:v>
                </c:pt>
                <c:pt idx="971">
                  <c:v>4.6502563458675501E-3</c:v>
                </c:pt>
                <c:pt idx="972">
                  <c:v>4.4818246651062987E-3</c:v>
                </c:pt>
                <c:pt idx="973">
                  <c:v>4.2977630482503313E-3</c:v>
                </c:pt>
                <c:pt idx="974">
                  <c:v>4.1307860095205423E-3</c:v>
                </c:pt>
                <c:pt idx="975">
                  <c:v>4.013914009508927E-3</c:v>
                </c:pt>
                <c:pt idx="976">
                  <c:v>3.8542157560538925E-3</c:v>
                </c:pt>
                <c:pt idx="977">
                  <c:v>3.7489798236185492E-3</c:v>
                </c:pt>
                <c:pt idx="978">
                  <c:v>3.6678585681662978E-3</c:v>
                </c:pt>
                <c:pt idx="979">
                  <c:v>3.6118482315164653E-3</c:v>
                </c:pt>
                <c:pt idx="980">
                  <c:v>3.5563375250802606E-3</c:v>
                </c:pt>
                <c:pt idx="981">
                  <c:v>3.552053309348564E-3</c:v>
                </c:pt>
                <c:pt idx="982">
                  <c:v>3.6084681499625707E-3</c:v>
                </c:pt>
                <c:pt idx="983">
                  <c:v>3.6478685567896772E-3</c:v>
                </c:pt>
                <c:pt idx="984">
                  <c:v>3.7213374038951781E-3</c:v>
                </c:pt>
                <c:pt idx="985">
                  <c:v>3.8192607775645016E-3</c:v>
                </c:pt>
                <c:pt idx="986">
                  <c:v>4.3948291459151604E-3</c:v>
                </c:pt>
                <c:pt idx="987">
                  <c:v>4.2204442681179986E-3</c:v>
                </c:pt>
                <c:pt idx="988">
                  <c:v>4.0544585954635625E-3</c:v>
                </c:pt>
                <c:pt idx="989">
                  <c:v>3.9251050249158228E-3</c:v>
                </c:pt>
                <c:pt idx="990">
                  <c:v>3.8078427708939512E-3</c:v>
                </c:pt>
                <c:pt idx="991">
                  <c:v>3.7133804815181757E-3</c:v>
                </c:pt>
                <c:pt idx="992">
                  <c:v>3.6428513025061064E-3</c:v>
                </c:pt>
                <c:pt idx="993">
                  <c:v>3.6084681499625707E-3</c:v>
                </c:pt>
                <c:pt idx="994">
                  <c:v>3.5510801052071115E-3</c:v>
                </c:pt>
                <c:pt idx="995">
                  <c:v>3.5565153460563872E-3</c:v>
                </c:pt>
                <c:pt idx="996">
                  <c:v>3.612441569600174E-3</c:v>
                </c:pt>
                <c:pt idx="997">
                  <c:v>3.6682198349953401E-3</c:v>
                </c:pt>
                <c:pt idx="998">
                  <c:v>3.7484714272142581E-3</c:v>
                </c:pt>
                <c:pt idx="999">
                  <c:v>3.8522356898352964E-3</c:v>
                </c:pt>
                <c:pt idx="1000">
                  <c:v>3.9782659045219685E-3</c:v>
                </c:pt>
                <c:pt idx="1001">
                  <c:v>4.095003181418198E-3</c:v>
                </c:pt>
                <c:pt idx="1002">
                  <c:v>4.2884274843767913E-3</c:v>
                </c:pt>
                <c:pt idx="1003">
                  <c:v>4.4692874281987462E-3</c:v>
                </c:pt>
                <c:pt idx="1004">
                  <c:v>4.6351324590959463E-3</c:v>
                </c:pt>
                <c:pt idx="1005">
                  <c:v>4.831897097583809E-3</c:v>
                </c:pt>
                <c:pt idx="1006">
                  <c:v>4.9846000885799728E-3</c:v>
                </c:pt>
                <c:pt idx="1007">
                  <c:v>5.1611723457336669E-3</c:v>
                </c:pt>
                <c:pt idx="1008">
                  <c:v>5.3462686103374641E-3</c:v>
                </c:pt>
                <c:pt idx="1009">
                  <c:v>5.5363623669192012E-3</c:v>
                </c:pt>
                <c:pt idx="1010">
                  <c:v>5.6789865584528894E-3</c:v>
                </c:pt>
                <c:pt idx="1011">
                  <c:v>5.8342353228221927E-3</c:v>
                </c:pt>
                <c:pt idx="1012">
                  <c:v>5.9792705727242639E-3</c:v>
                </c:pt>
                <c:pt idx="1013">
                  <c:v>3.9015159419696125E-3</c:v>
                </c:pt>
                <c:pt idx="1014">
                  <c:v>4.0544585954635625E-3</c:v>
                </c:pt>
                <c:pt idx="1015">
                  <c:v>4.1858925604316925E-3</c:v>
                </c:pt>
                <c:pt idx="1016">
                  <c:v>4.354587252120944E-3</c:v>
                </c:pt>
                <c:pt idx="1017">
                  <c:v>4.5004490409645539E-3</c:v>
                </c:pt>
                <c:pt idx="1018">
                  <c:v>4.7031806068529953E-3</c:v>
                </c:pt>
                <c:pt idx="1019">
                  <c:v>4.8666029319120209E-3</c:v>
                </c:pt>
                <c:pt idx="1020">
                  <c:v>5.0428335585847323E-3</c:v>
                </c:pt>
                <c:pt idx="1021">
                  <c:v>5.2165284273820054E-3</c:v>
                </c:pt>
                <c:pt idx="1022">
                  <c:v>5.4040195470804516E-3</c:v>
                </c:pt>
                <c:pt idx="1023">
                  <c:v>5.5635946334806081E-3</c:v>
                </c:pt>
                <c:pt idx="1024">
                  <c:v>5.7234325768662272E-3</c:v>
                </c:pt>
                <c:pt idx="1025">
                  <c:v>5.8742509897192017E-3</c:v>
                </c:pt>
                <c:pt idx="1026">
                  <c:v>6.0148134253277859E-3</c:v>
                </c:pt>
                <c:pt idx="1027">
                  <c:v>6.1440929220197872E-3</c:v>
                </c:pt>
                <c:pt idx="1028">
                  <c:v>6.2612485526626323E-3</c:v>
                </c:pt>
                <c:pt idx="1029">
                  <c:v>6.3656015355270292E-3</c:v>
                </c:pt>
                <c:pt idx="1030">
                  <c:v>6.4790758238850452E-3</c:v>
                </c:pt>
                <c:pt idx="1031">
                  <c:v>6.5603302902735791E-3</c:v>
                </c:pt>
                <c:pt idx="1032">
                  <c:v>6.627081485779493E-3</c:v>
                </c:pt>
                <c:pt idx="1033">
                  <c:v>6.6791151498144562E-3</c:v>
                </c:pt>
                <c:pt idx="1034">
                  <c:v>6.715859368111708E-3</c:v>
                </c:pt>
                <c:pt idx="1035">
                  <c:v>6.7369966613977286E-3</c:v>
                </c:pt>
                <c:pt idx="1036">
                  <c:v>6.7423998432326387E-3</c:v>
                </c:pt>
                <c:pt idx="1037">
                  <c:v>6.7320366793812078E-3</c:v>
                </c:pt>
                <c:pt idx="1038">
                  <c:v>6.7059690936803742E-3</c:v>
                </c:pt>
                <c:pt idx="1039">
                  <c:v>6.6643546894590401E-3</c:v>
                </c:pt>
                <c:pt idx="1040">
                  <c:v>6.6076653261599814E-3</c:v>
                </c:pt>
                <c:pt idx="1041">
                  <c:v>6.1871580398549708E-3</c:v>
                </c:pt>
                <c:pt idx="1042">
                  <c:v>6.2987889950665565E-3</c:v>
                </c:pt>
                <c:pt idx="1043">
                  <c:v>6.3977578843168389E-3</c:v>
                </c:pt>
                <c:pt idx="1044">
                  <c:v>6.5074025914342607E-3</c:v>
                </c:pt>
                <c:pt idx="1045">
                  <c:v>6.5835929906518176E-3</c:v>
                </c:pt>
                <c:pt idx="1046">
                  <c:v>6.645542617098813E-3</c:v>
                </c:pt>
                <c:pt idx="1047">
                  <c:v>6.6930979876054699E-3</c:v>
                </c:pt>
                <c:pt idx="1048">
                  <c:v>6.7256018299435309E-3</c:v>
                </c:pt>
                <c:pt idx="1049">
                  <c:v>6.7428620682481368E-3</c:v>
                </c:pt>
                <c:pt idx="1050">
                  <c:v>6.7447783336510719E-3</c:v>
                </c:pt>
                <c:pt idx="1051">
                  <c:v>6.7313395524385188E-3</c:v>
                </c:pt>
                <c:pt idx="1052">
                  <c:v>6.70262367713021E-3</c:v>
                </c:pt>
                <c:pt idx="1053">
                  <c:v>6.6587995675790445E-3</c:v>
                </c:pt>
                <c:pt idx="1054">
                  <c:v>6.6003920879871307E-3</c:v>
                </c:pt>
                <c:pt idx="1055">
                  <c:v>6.5277171964680785E-3</c:v>
                </c:pt>
                <c:pt idx="1056">
                  <c:v>6.4204128132248064E-3</c:v>
                </c:pt>
                <c:pt idx="1057">
                  <c:v>6.3246813803452175E-3</c:v>
                </c:pt>
                <c:pt idx="1058">
                  <c:v>6.216157484363701E-3</c:v>
                </c:pt>
                <c:pt idx="1059">
                  <c:v>6.0954121070525167E-3</c:v>
                </c:pt>
                <c:pt idx="1060">
                  <c:v>5.9631572058835821E-3</c:v>
                </c:pt>
                <c:pt idx="1061">
                  <c:v>5.8202678878912523E-3</c:v>
                </c:pt>
                <c:pt idx="1062">
                  <c:v>5.6678049251479836E-3</c:v>
                </c:pt>
                <c:pt idx="1063">
                  <c:v>5.5275207400051181E-3</c:v>
                </c:pt>
                <c:pt idx="1064">
                  <c:v>5.3418674738201326E-3</c:v>
                </c:pt>
                <c:pt idx="1065">
                  <c:v>5.1612535784717681E-3</c:v>
                </c:pt>
                <c:pt idx="1066">
                  <c:v>4.9889114748982652E-3</c:v>
                </c:pt>
                <c:pt idx="1067">
                  <c:v>4.8415930124290681E-3</c:v>
                </c:pt>
                <c:pt idx="1068">
                  <c:v>4.6489164847611283E-3</c:v>
                </c:pt>
                <c:pt idx="1069">
                  <c:v>6.5096276025389411E-3</c:v>
                </c:pt>
                <c:pt idx="1070">
                  <c:v>6.4009140382351249E-3</c:v>
                </c:pt>
                <c:pt idx="1071">
                  <c:v>6.303309995216117E-3</c:v>
                </c:pt>
                <c:pt idx="1072">
                  <c:v>6.1933471073145011E-3</c:v>
                </c:pt>
                <c:pt idx="1073">
                  <c:v>6.0716012280548209E-3</c:v>
                </c:pt>
                <c:pt idx="1074">
                  <c:v>5.9387866364909543E-3</c:v>
                </c:pt>
                <c:pt idx="1075">
                  <c:v>5.7957770991723962E-3</c:v>
                </c:pt>
                <c:pt idx="1076">
                  <c:v>5.6436270535057528E-3</c:v>
                </c:pt>
                <c:pt idx="1077">
                  <c:v>5.5011593375040501E-3</c:v>
                </c:pt>
                <c:pt idx="1078">
                  <c:v>5.3113407600572666E-3</c:v>
                </c:pt>
                <c:pt idx="1079">
                  <c:v>5.1409179013690099E-3</c:v>
                </c:pt>
                <c:pt idx="1080">
                  <c:v>4.970214263576727E-3</c:v>
                </c:pt>
                <c:pt idx="1081">
                  <c:v>4.8227229173827997E-3</c:v>
                </c:pt>
                <c:pt idx="1082">
                  <c:v>4.633159980095506E-3</c:v>
                </c:pt>
                <c:pt idx="1083">
                  <c:v>4.4739831953026429E-3</c:v>
                </c:pt>
                <c:pt idx="1084">
                  <c:v>4.2988248025997901E-3</c:v>
                </c:pt>
                <c:pt idx="1085">
                  <c:v>4.1391355149553574E-3</c:v>
                </c:pt>
                <c:pt idx="1086">
                  <c:v>4.013914009508927E-3</c:v>
                </c:pt>
                <c:pt idx="1087">
                  <c:v>3.8713756664733256E-3</c:v>
                </c:pt>
                <c:pt idx="1088">
                  <c:v>3.7670789416894366E-3</c:v>
                </c:pt>
                <c:pt idx="1089">
                  <c:v>3.6844189195087539E-3</c:v>
                </c:pt>
                <c:pt idx="1090">
                  <c:v>3.6243153516174508E-3</c:v>
                </c:pt>
                <c:pt idx="1091">
                  <c:v>3.5624782815899007E-3</c:v>
                </c:pt>
                <c:pt idx="1092">
                  <c:v>3.54845487318309E-3</c:v>
                </c:pt>
                <c:pt idx="1093">
                  <c:v>3.5596016097741135E-3</c:v>
                </c:pt>
                <c:pt idx="1094">
                  <c:v>3.6189101642713378E-3</c:v>
                </c:pt>
                <c:pt idx="1095">
                  <c:v>3.6763860907112677E-3</c:v>
                </c:pt>
                <c:pt idx="1096">
                  <c:v>3.756507701848366E-3</c:v>
                </c:pt>
                <c:pt idx="1097">
                  <c:v>3.8583837981857293E-3</c:v>
                </c:pt>
                <c:pt idx="1098">
                  <c:v>4.2702452601412998E-3</c:v>
                </c:pt>
                <c:pt idx="1099">
                  <c:v>4.095003181418198E-3</c:v>
                </c:pt>
                <c:pt idx="1100">
                  <c:v>3.9762860374320938E-3</c:v>
                </c:pt>
                <c:pt idx="1101">
                  <c:v>3.8557254774120846E-3</c:v>
                </c:pt>
                <c:pt idx="1102">
                  <c:v>3.7553305410813966E-3</c:v>
                </c:pt>
                <c:pt idx="1103">
                  <c:v>3.6761953504758967E-3</c:v>
                </c:pt>
                <c:pt idx="1104">
                  <c:v>3.6191795450022804E-3</c:v>
                </c:pt>
                <c:pt idx="1105">
                  <c:v>3.5597958618566665E-3</c:v>
                </c:pt>
                <c:pt idx="1106">
                  <c:v>3.5479716346303479E-3</c:v>
                </c:pt>
                <c:pt idx="1107">
                  <c:v>3.5607355585418809E-3</c:v>
                </c:pt>
                <c:pt idx="1108">
                  <c:v>3.620945438700585E-3</c:v>
                </c:pt>
                <c:pt idx="1109">
                  <c:v>3.6788202755160247E-3</c:v>
                </c:pt>
                <c:pt idx="1110">
                  <c:v>3.7587860225214657E-3</c:v>
                </c:pt>
                <c:pt idx="1111">
                  <c:v>3.8599739226005117E-3</c:v>
                </c:pt>
                <c:pt idx="1112">
                  <c:v>4.013914009508927E-3</c:v>
                </c:pt>
                <c:pt idx="1113">
                  <c:v>4.095003181418198E-3</c:v>
                </c:pt>
                <c:pt idx="1114">
                  <c:v>4.276498352724009E-3</c:v>
                </c:pt>
                <c:pt idx="1115">
                  <c:v>4.4476404819667635E-3</c:v>
                </c:pt>
                <c:pt idx="1116">
                  <c:v>4.6043601462335522E-3</c:v>
                </c:pt>
                <c:pt idx="1117">
                  <c:v>4.7901770991267802E-3</c:v>
                </c:pt>
                <c:pt idx="1118">
                  <c:v>4.9392750273526053E-3</c:v>
                </c:pt>
                <c:pt idx="1119">
                  <c:v>5.1085518668960959E-3</c:v>
                </c:pt>
                <c:pt idx="1120">
                  <c:v>5.2805470442220592E-3</c:v>
                </c:pt>
                <c:pt idx="1121">
                  <c:v>5.4619380550011629E-3</c:v>
                </c:pt>
                <c:pt idx="1122">
                  <c:v>5.6082644603552053E-3</c:v>
                </c:pt>
                <c:pt idx="1123">
                  <c:v>5.7606465418745031E-3</c:v>
                </c:pt>
                <c:pt idx="1124">
                  <c:v>5.9043867009455639E-3</c:v>
                </c:pt>
                <c:pt idx="1125">
                  <c:v>6.0384233761461188E-3</c:v>
                </c:pt>
                <c:pt idx="1126">
                  <c:v>6.161872237609005E-3</c:v>
                </c:pt>
                <c:pt idx="1127">
                  <c:v>4.1359027143366952E-3</c:v>
                </c:pt>
                <c:pt idx="1128">
                  <c:v>4.2914991131303461E-3</c:v>
                </c:pt>
                <c:pt idx="1129">
                  <c:v>4.4619407813859769E-3</c:v>
                </c:pt>
                <c:pt idx="1130">
                  <c:v>4.6168172267070399E-3</c:v>
                </c:pt>
                <c:pt idx="1131">
                  <c:v>4.8011531797292053E-3</c:v>
                </c:pt>
                <c:pt idx="1132">
                  <c:v>4.9471621930724206E-3</c:v>
                </c:pt>
                <c:pt idx="1133">
                  <c:v>5.1144375757247564E-3</c:v>
                </c:pt>
                <c:pt idx="1134">
                  <c:v>5.3113407600572666E-3</c:v>
                </c:pt>
                <c:pt idx="1135">
                  <c:v>5.4642630212000066E-3</c:v>
                </c:pt>
                <c:pt idx="1136">
                  <c:v>5.6085453889945557E-3</c:v>
                </c:pt>
                <c:pt idx="1137">
                  <c:v>5.7592989749440477E-3</c:v>
                </c:pt>
                <c:pt idx="1138">
                  <c:v>5.9016321335647638E-3</c:v>
                </c:pt>
                <c:pt idx="1139">
                  <c:v>6.0345181324195181E-3</c:v>
                </c:pt>
                <c:pt idx="1140">
                  <c:v>6.157099826485754E-3</c:v>
                </c:pt>
                <c:pt idx="1141">
                  <c:v>6.2686708923636548E-3</c:v>
                </c:pt>
                <c:pt idx="1142">
                  <c:v>6.3686568903835164E-3</c:v>
                </c:pt>
                <c:pt idx="1143">
                  <c:v>6.4790624318242411E-3</c:v>
                </c:pt>
                <c:pt idx="1144">
                  <c:v>6.5585078510589419E-3</c:v>
                </c:pt>
                <c:pt idx="1145">
                  <c:v>6.6249119672540735E-3</c:v>
                </c:pt>
                <c:pt idx="1146">
                  <c:v>6.6781030598448612E-3</c:v>
                </c:pt>
                <c:pt idx="1147">
                  <c:v>6.717565647023283E-3</c:v>
                </c:pt>
                <c:pt idx="1148">
                  <c:v>6.7429777278531231E-3</c:v>
                </c:pt>
                <c:pt idx="1149">
                  <c:v>6.7334299570437706E-3</c:v>
                </c:pt>
                <c:pt idx="1150">
                  <c:v>6.7301075273529564E-3</c:v>
                </c:pt>
                <c:pt idx="1151">
                  <c:v>6.733930646829105E-3</c:v>
                </c:pt>
                <c:pt idx="1152">
                  <c:v>6.7025407633547413E-3</c:v>
                </c:pt>
                <c:pt idx="1153">
                  <c:v>6.6571820378838898E-3</c:v>
                </c:pt>
                <c:pt idx="1154">
                  <c:v>6.5983798425577229E-3</c:v>
                </c:pt>
                <c:pt idx="1155">
                  <c:v>6.526394296682966E-3</c:v>
                </c:pt>
                <c:pt idx="1156">
                  <c:v>6.420811664206264E-3</c:v>
                </c:pt>
                <c:pt idx="1157">
                  <c:v>6.327715077030594E-3</c:v>
                </c:pt>
                <c:pt idx="1158">
                  <c:v>6.2227552175697521E-3</c:v>
                </c:pt>
                <c:pt idx="1159">
                  <c:v>6.1064389109468601E-3</c:v>
                </c:pt>
                <c:pt idx="1160">
                  <c:v>5.9793942229033649E-3</c:v>
                </c:pt>
                <c:pt idx="1161">
                  <c:v>5.8423890917496842E-3</c:v>
                </c:pt>
                <c:pt idx="1162">
                  <c:v>5.6963503128622519E-3</c:v>
                </c:pt>
                <c:pt idx="1163">
                  <c:v>5.5675076346353549E-3</c:v>
                </c:pt>
                <c:pt idx="1164">
                  <c:v>5.3881546538079783E-3</c:v>
                </c:pt>
                <c:pt idx="1165">
                  <c:v>5.2093068291553055E-3</c:v>
                </c:pt>
                <c:pt idx="1166">
                  <c:v>5.0438460139444214E-3</c:v>
                </c:pt>
                <c:pt idx="1167">
                  <c:v>4.875651233815859E-3</c:v>
                </c:pt>
                <c:pt idx="1168">
                  <c:v>4.7218604124894276E-3</c:v>
                </c:pt>
                <c:pt idx="1169">
                  <c:v>4.5417007152624578E-3</c:v>
                </c:pt>
                <c:pt idx="1170">
                  <c:v>4.3879855330482146E-3</c:v>
                </c:pt>
                <c:pt idx="1171">
                  <c:v>4.223620862509176E-3</c:v>
                </c:pt>
                <c:pt idx="1172">
                  <c:v>4.0544585954635625E-3</c:v>
                </c:pt>
                <c:pt idx="1173">
                  <c:v>3.9421156338791596E-3</c:v>
                </c:pt>
                <c:pt idx="1174">
                  <c:v>3.8279717606528978E-3</c:v>
                </c:pt>
                <c:pt idx="1175">
                  <c:v>3.7338276819932994E-3</c:v>
                </c:pt>
                <c:pt idx="1176">
                  <c:v>3.6606849201572702E-3</c:v>
                </c:pt>
                <c:pt idx="1177">
                  <c:v>3.6093192931823011E-3</c:v>
                </c:pt>
                <c:pt idx="1178">
                  <c:v>3.5548987493076627E-3</c:v>
                </c:pt>
                <c:pt idx="1179">
                  <c:v>3.5481060992710858E-3</c:v>
                </c:pt>
                <c:pt idx="1180">
                  <c:v>3.5653370904305958E-3</c:v>
                </c:pt>
                <c:pt idx="1181">
                  <c:v>3.6289376391349772E-3</c:v>
                </c:pt>
                <c:pt idx="1182">
                  <c:v>3.6898528296930837E-3</c:v>
                </c:pt>
                <c:pt idx="1183">
                  <c:v>3.772236013734092E-3</c:v>
                </c:pt>
                <c:pt idx="1184">
                  <c:v>3.8752123201235447E-3</c:v>
                </c:pt>
                <c:pt idx="1185">
                  <c:v>4.2770314181121791E-3</c:v>
                </c:pt>
                <c:pt idx="1186">
                  <c:v>4.095003181418198E-3</c:v>
                </c:pt>
                <c:pt idx="1187">
                  <c:v>4.013914009508927E-3</c:v>
                </c:pt>
                <c:pt idx="1188">
                  <c:v>3.8676580835875192E-3</c:v>
                </c:pt>
                <c:pt idx="1189">
                  <c:v>3.766993670355706E-3</c:v>
                </c:pt>
                <c:pt idx="1190">
                  <c:v>3.686513660613244E-3</c:v>
                </c:pt>
                <c:pt idx="1191">
                  <c:v>3.6270533341171904E-3</c:v>
                </c:pt>
                <c:pt idx="1192">
                  <c:v>3.564376761718674E-3</c:v>
                </c:pt>
                <c:pt idx="1193">
                  <c:v>3.5476535315891906E-3</c:v>
                </c:pt>
                <c:pt idx="1194">
                  <c:v>3.5544182588237291E-3</c:v>
                </c:pt>
                <c:pt idx="1195">
                  <c:v>3.6084681499625707E-3</c:v>
                </c:pt>
                <c:pt idx="1196">
                  <c:v>3.6586776672232271E-3</c:v>
                </c:pt>
                <c:pt idx="1197">
                  <c:v>3.7303287986581858E-3</c:v>
                </c:pt>
                <c:pt idx="1198">
                  <c:v>3.8225451545428439E-3</c:v>
                </c:pt>
                <c:pt idx="1199">
                  <c:v>3.9343680127677484E-3</c:v>
                </c:pt>
                <c:pt idx="1200">
                  <c:v>4.0544585954635625E-3</c:v>
                </c:pt>
                <c:pt idx="1201">
                  <c:v>4.2104012916568557E-3</c:v>
                </c:pt>
                <c:pt idx="1202">
                  <c:v>4.3716429867573479E-3</c:v>
                </c:pt>
                <c:pt idx="1203">
                  <c:v>4.5004490409645539E-3</c:v>
                </c:pt>
                <c:pt idx="1204">
                  <c:v>4.7001374779590734E-3</c:v>
                </c:pt>
                <c:pt idx="1205">
                  <c:v>4.8539049507850106E-3</c:v>
                </c:pt>
                <c:pt idx="1206">
                  <c:v>5.0204573940616105E-3</c:v>
                </c:pt>
                <c:pt idx="1207">
                  <c:v>5.1846101123365568E-3</c:v>
                </c:pt>
                <c:pt idx="1208">
                  <c:v>5.3591297935194713E-3</c:v>
                </c:pt>
                <c:pt idx="1209">
                  <c:v>5.5366114665525981E-3</c:v>
                </c:pt>
                <c:pt idx="1210">
                  <c:v>5.668671075055717E-3</c:v>
                </c:pt>
                <c:pt idx="1211">
                  <c:v>5.8147254549802971E-3</c:v>
                </c:pt>
                <c:pt idx="1212">
                  <c:v>5.9521578086725053E-3</c:v>
                </c:pt>
                <c:pt idx="1213">
                  <c:v>6.0800407263602836E-3</c:v>
                </c:pt>
                <c:pt idx="1214">
                  <c:v>6.1976022692701704E-3</c:v>
                </c:pt>
                <c:pt idx="1215">
                  <c:v>4.1373871314212716E-3</c:v>
                </c:pt>
                <c:pt idx="1216">
                  <c:v>4.2896029855079313E-3</c:v>
                </c:pt>
                <c:pt idx="1217">
                  <c:v>4.4560304480611313E-3</c:v>
                </c:pt>
                <c:pt idx="1218">
                  <c:v>4.6069262810330951E-3</c:v>
                </c:pt>
                <c:pt idx="1219">
                  <c:v>4.7866251369189884E-3</c:v>
                </c:pt>
                <c:pt idx="1220">
                  <c:v>4.9305017159549814E-3</c:v>
                </c:pt>
                <c:pt idx="1221">
                  <c:v>5.0944015696973016E-3</c:v>
                </c:pt>
                <c:pt idx="1222">
                  <c:v>5.2594065285071672E-3</c:v>
                </c:pt>
                <c:pt idx="1223">
                  <c:v>5.4348189419505446E-3</c:v>
                </c:pt>
                <c:pt idx="1224">
                  <c:v>5.5797518694361021E-3</c:v>
                </c:pt>
                <c:pt idx="1225">
                  <c:v>5.7287884326864217E-3</c:v>
                </c:pt>
                <c:pt idx="1226">
                  <c:v>5.8700244498222746E-3</c:v>
                </c:pt>
                <c:pt idx="1227">
                  <c:v>6.002466002239454E-3</c:v>
                </c:pt>
                <c:pt idx="1228">
                  <c:v>6.1252779063632693E-3</c:v>
                </c:pt>
                <c:pt idx="1229">
                  <c:v>6.2377670695153604E-3</c:v>
                </c:pt>
                <c:pt idx="1230">
                  <c:v>6.3393654761957127E-3</c:v>
                </c:pt>
                <c:pt idx="1231">
                  <c:v>6.4296135930837599E-3</c:v>
                </c:pt>
                <c:pt idx="1232">
                  <c:v>6.5332402626463205E-3</c:v>
                </c:pt>
                <c:pt idx="1233">
                  <c:v>6.6034366674123969E-3</c:v>
                </c:pt>
                <c:pt idx="1234">
                  <c:v>6.6610882830318643E-3</c:v>
                </c:pt>
                <c:pt idx="1235">
                  <c:v>6.7059078567277049E-3</c:v>
                </c:pt>
                <c:pt idx="1236">
                  <c:v>6.7374185531089365E-3</c:v>
                </c:pt>
                <c:pt idx="1237">
                  <c:v>6.7348112228077057E-3</c:v>
                </c:pt>
                <c:pt idx="1238">
                  <c:v>6.7397417809853255E-3</c:v>
                </c:pt>
                <c:pt idx="1239">
                  <c:v>6.7297254381605926E-3</c:v>
                </c:pt>
                <c:pt idx="1240">
                  <c:v>6.7281936273290693E-3</c:v>
                </c:pt>
                <c:pt idx="1241">
                  <c:v>6.6921289115984099E-3</c:v>
                </c:pt>
                <c:pt idx="1242">
                  <c:v>6.6428268912319425E-3</c:v>
                </c:pt>
                <c:pt idx="1243">
                  <c:v>6.5809351340418449E-3</c:v>
                </c:pt>
                <c:pt idx="1244">
                  <c:v>6.5065128902986212E-3</c:v>
                </c:pt>
                <c:pt idx="1245">
                  <c:v>6.4001789607776695E-3</c:v>
                </c:pt>
                <c:pt idx="1246">
                  <c:v>6.4900983711057231E-3</c:v>
                </c:pt>
                <c:pt idx="1247">
                  <c:v>6.5665386629121959E-3</c:v>
                </c:pt>
                <c:pt idx="1248">
                  <c:v>6.6308202474519721E-3</c:v>
                </c:pt>
                <c:pt idx="1249">
                  <c:v>6.6828411389328853E-3</c:v>
                </c:pt>
                <c:pt idx="1250">
                  <c:v>6.7220568894175749E-3</c:v>
                </c:pt>
                <c:pt idx="1251">
                  <c:v>6.726829295296455E-3</c:v>
                </c:pt>
                <c:pt idx="1252">
                  <c:v>6.7410676266950447E-3</c:v>
                </c:pt>
                <c:pt idx="1253">
                  <c:v>6.7407130595465367E-3</c:v>
                </c:pt>
                <c:pt idx="1254">
                  <c:v>6.7472362637944006E-3</c:v>
                </c:pt>
                <c:pt idx="1255">
                  <c:v>6.7204548967166001E-3</c:v>
                </c:pt>
                <c:pt idx="1256">
                  <c:v>6.6806094913602091E-3</c:v>
                </c:pt>
                <c:pt idx="1257">
                  <c:v>6.6279880866259612E-3</c:v>
                </c:pt>
                <c:pt idx="1258">
                  <c:v>6.5631080346334547E-3</c:v>
                </c:pt>
                <c:pt idx="1259">
                  <c:v>6.4860880875006032E-3</c:v>
                </c:pt>
                <c:pt idx="1260">
                  <c:v>6.3785271527875024E-3</c:v>
                </c:pt>
                <c:pt idx="1261">
                  <c:v>6.2825195337855655E-3</c:v>
                </c:pt>
                <c:pt idx="1262">
                  <c:v>6.1756718543917576E-3</c:v>
                </c:pt>
                <c:pt idx="1263">
                  <c:v>6.0584859123345245E-3</c:v>
                </c:pt>
                <c:pt idx="1264">
                  <c:v>5.9315761624696515E-3</c:v>
                </c:pt>
                <c:pt idx="1265">
                  <c:v>5.795685747943014E-3</c:v>
                </c:pt>
                <c:pt idx="1266">
                  <c:v>5.6517025404339612E-3</c:v>
                </c:pt>
                <c:pt idx="1267">
                  <c:v>5.5203546964399637E-3</c:v>
                </c:pt>
                <c:pt idx="1268">
                  <c:v>5.3466234408055613E-3</c:v>
                </c:pt>
                <c:pt idx="1269">
                  <c:v>5.1766318451272166E-3</c:v>
                </c:pt>
                <c:pt idx="1270">
                  <c:v>5.0158733313775527E-3</c:v>
                </c:pt>
                <c:pt idx="1271">
                  <c:v>4.8528758579046523E-3</c:v>
                </c:pt>
                <c:pt idx="1272">
                  <c:v>4.7029354755308422E-3</c:v>
                </c:pt>
                <c:pt idx="1273">
                  <c:v>4.5004490409645539E-3</c:v>
                </c:pt>
                <c:pt idx="1274">
                  <c:v>4.3814953248566832E-3</c:v>
                </c:pt>
                <c:pt idx="1275">
                  <c:v>4.222724779626273E-3</c:v>
                </c:pt>
                <c:pt idx="1276">
                  <c:v>4.0544585954635625E-3</c:v>
                </c:pt>
                <c:pt idx="1277">
                  <c:v>6.1357388676211043E-3</c:v>
                </c:pt>
                <c:pt idx="1278">
                  <c:v>6.0162818941717879E-3</c:v>
                </c:pt>
                <c:pt idx="1279">
                  <c:v>5.887555193413079E-3</c:v>
                </c:pt>
                <c:pt idx="1280">
                  <c:v>5.7503227306393316E-3</c:v>
                </c:pt>
                <c:pt idx="1281">
                  <c:v>5.6054920329122329E-3</c:v>
                </c:pt>
                <c:pt idx="1282">
                  <c:v>5.4682115284883275E-3</c:v>
                </c:pt>
                <c:pt idx="1283">
                  <c:v>5.3113407600572666E-3</c:v>
                </c:pt>
                <c:pt idx="1284">
                  <c:v>5.1320462747847795E-3</c:v>
                </c:pt>
                <c:pt idx="1285">
                  <c:v>4.9721916536394411E-3</c:v>
                </c:pt>
                <c:pt idx="1286">
                  <c:v>4.8374241473965575E-3</c:v>
                </c:pt>
                <c:pt idx="1287">
                  <c:v>4.6590477886378785E-3</c:v>
                </c:pt>
                <c:pt idx="1288">
                  <c:v>4.5004490409645539E-3</c:v>
                </c:pt>
                <c:pt idx="1289">
                  <c:v>4.3442908138426276E-3</c:v>
                </c:pt>
                <c:pt idx="1290">
                  <c:v>4.1902451261063749E-3</c:v>
                </c:pt>
                <c:pt idx="1291">
                  <c:v>4.0544585954635625E-3</c:v>
                </c:pt>
                <c:pt idx="1292">
                  <c:v>3.9260094131212467E-3</c:v>
                </c:pt>
                <c:pt idx="1293">
                  <c:v>3.818610149173886E-3</c:v>
                </c:pt>
                <c:pt idx="1294">
                  <c:v>3.7296001857312967E-3</c:v>
                </c:pt>
                <c:pt idx="1295">
                  <c:v>3.6598454041376744E-3</c:v>
                </c:pt>
                <c:pt idx="1296">
                  <c:v>3.6100226537467608E-3</c:v>
                </c:pt>
                <c:pt idx="1297">
                  <c:v>3.555259193383069E-3</c:v>
                </c:pt>
                <c:pt idx="1298">
                  <c:v>3.5460403476707224E-3</c:v>
                </c:pt>
                <c:pt idx="1299">
                  <c:v>3.5588208799051378E-3</c:v>
                </c:pt>
                <c:pt idx="1300">
                  <c:v>3.6167196937031704E-3</c:v>
                </c:pt>
                <c:pt idx="1301">
                  <c:v>3.6698098838703654E-3</c:v>
                </c:pt>
                <c:pt idx="1302">
                  <c:v>3.742735509662492E-3</c:v>
                </c:pt>
                <c:pt idx="1303">
                  <c:v>3.834788692753173E-3</c:v>
                </c:pt>
                <c:pt idx="1304">
                  <c:v>3.9450735285087562E-3</c:v>
                </c:pt>
                <c:pt idx="1305">
                  <c:v>4.0544585954635625E-3</c:v>
                </c:pt>
                <c:pt idx="1306">
                  <c:v>4.2142526080113816E-3</c:v>
                </c:pt>
                <c:pt idx="1307">
                  <c:v>4.3705223169866114E-3</c:v>
                </c:pt>
              </c:numCache>
            </c:numRef>
          </c:yVal>
          <c:smooth val="1"/>
        </c:ser>
        <c:ser>
          <c:idx val="14"/>
          <c:order val="1"/>
          <c:tx>
            <c:strRef>
              <c:f>Sheet3!$P$1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Sheet3!$A$2:$A$1309</c:f>
              <c:numCache>
                <c:formatCode>General</c:formatCode>
                <c:ptCount val="1308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1.7999999999999999E-2</c:v>
                </c:pt>
                <c:pt idx="9">
                  <c:v>0.02</c:v>
                </c:pt>
                <c:pt idx="10">
                  <c:v>2.1999999999999999E-2</c:v>
                </c:pt>
                <c:pt idx="11">
                  <c:v>2.4E-2</c:v>
                </c:pt>
                <c:pt idx="12">
                  <c:v>2.5999999999999999E-2</c:v>
                </c:pt>
                <c:pt idx="13">
                  <c:v>2.8000000000000001E-2</c:v>
                </c:pt>
                <c:pt idx="14">
                  <c:v>0.03</c:v>
                </c:pt>
                <c:pt idx="15">
                  <c:v>3.2000000000000001E-2</c:v>
                </c:pt>
                <c:pt idx="16">
                  <c:v>3.4000000000000002E-2</c:v>
                </c:pt>
                <c:pt idx="17">
                  <c:v>3.5999999999999997E-2</c:v>
                </c:pt>
                <c:pt idx="18">
                  <c:v>3.7999999999999999E-2</c:v>
                </c:pt>
                <c:pt idx="19">
                  <c:v>0.04</c:v>
                </c:pt>
                <c:pt idx="20">
                  <c:v>4.2000000000000003E-2</c:v>
                </c:pt>
                <c:pt idx="21">
                  <c:v>4.3999999999999997E-2</c:v>
                </c:pt>
                <c:pt idx="22">
                  <c:v>4.5999999999999999E-2</c:v>
                </c:pt>
                <c:pt idx="23">
                  <c:v>4.8000000000000001E-2</c:v>
                </c:pt>
                <c:pt idx="24">
                  <c:v>0.05</c:v>
                </c:pt>
                <c:pt idx="25">
                  <c:v>5.1999999999999998E-2</c:v>
                </c:pt>
                <c:pt idx="26">
                  <c:v>5.3999999999999999E-2</c:v>
                </c:pt>
                <c:pt idx="27">
                  <c:v>5.6000000000000001E-2</c:v>
                </c:pt>
                <c:pt idx="28">
                  <c:v>5.8000000000000003E-2</c:v>
                </c:pt>
                <c:pt idx="29">
                  <c:v>0.06</c:v>
                </c:pt>
                <c:pt idx="30">
                  <c:v>6.2E-2</c:v>
                </c:pt>
                <c:pt idx="31">
                  <c:v>6.4000000000000001E-2</c:v>
                </c:pt>
                <c:pt idx="32">
                  <c:v>6.6000000000000003E-2</c:v>
                </c:pt>
                <c:pt idx="33">
                  <c:v>6.8000000000000005E-2</c:v>
                </c:pt>
                <c:pt idx="34">
                  <c:v>7.0000000000000007E-2</c:v>
                </c:pt>
                <c:pt idx="35">
                  <c:v>7.1999999999999995E-2</c:v>
                </c:pt>
                <c:pt idx="36">
                  <c:v>7.3999999999999996E-2</c:v>
                </c:pt>
                <c:pt idx="37">
                  <c:v>7.5999999999999998E-2</c:v>
                </c:pt>
                <c:pt idx="38">
                  <c:v>7.8E-2</c:v>
                </c:pt>
                <c:pt idx="39">
                  <c:v>0.08</c:v>
                </c:pt>
                <c:pt idx="40">
                  <c:v>8.2000000000000003E-2</c:v>
                </c:pt>
                <c:pt idx="41">
                  <c:v>8.4000000000000005E-2</c:v>
                </c:pt>
                <c:pt idx="42">
                  <c:v>8.5999999999999993E-2</c:v>
                </c:pt>
                <c:pt idx="43">
                  <c:v>8.7999999999999995E-2</c:v>
                </c:pt>
                <c:pt idx="44">
                  <c:v>0.09</c:v>
                </c:pt>
                <c:pt idx="45">
                  <c:v>9.1999999999999998E-2</c:v>
                </c:pt>
                <c:pt idx="46">
                  <c:v>9.4E-2</c:v>
                </c:pt>
                <c:pt idx="47">
                  <c:v>9.6000000000000002E-2</c:v>
                </c:pt>
                <c:pt idx="48">
                  <c:v>9.8000000000000004E-2</c:v>
                </c:pt>
                <c:pt idx="49">
                  <c:v>0.1</c:v>
                </c:pt>
                <c:pt idx="50">
                  <c:v>0.10199999999999999</c:v>
                </c:pt>
                <c:pt idx="51">
                  <c:v>0.104</c:v>
                </c:pt>
                <c:pt idx="52">
                  <c:v>0.106</c:v>
                </c:pt>
                <c:pt idx="53">
                  <c:v>0.108</c:v>
                </c:pt>
                <c:pt idx="54">
                  <c:v>0.11</c:v>
                </c:pt>
                <c:pt idx="55">
                  <c:v>0.112</c:v>
                </c:pt>
                <c:pt idx="56">
                  <c:v>0.114</c:v>
                </c:pt>
                <c:pt idx="57">
                  <c:v>0.11600000000000001</c:v>
                </c:pt>
                <c:pt idx="58">
                  <c:v>0.11799999999999999</c:v>
                </c:pt>
                <c:pt idx="59">
                  <c:v>0.12</c:v>
                </c:pt>
                <c:pt idx="60">
                  <c:v>0.122</c:v>
                </c:pt>
                <c:pt idx="61">
                  <c:v>0.124</c:v>
                </c:pt>
                <c:pt idx="62">
                  <c:v>0.126</c:v>
                </c:pt>
                <c:pt idx="63">
                  <c:v>0.128</c:v>
                </c:pt>
                <c:pt idx="64">
                  <c:v>0.13</c:v>
                </c:pt>
                <c:pt idx="65">
                  <c:v>0.13200000000000001</c:v>
                </c:pt>
                <c:pt idx="66">
                  <c:v>0.13400000000000001</c:v>
                </c:pt>
                <c:pt idx="67">
                  <c:v>0.13600000000000001</c:v>
                </c:pt>
                <c:pt idx="68">
                  <c:v>0.13800000000000001</c:v>
                </c:pt>
                <c:pt idx="69">
                  <c:v>0.14000000000000001</c:v>
                </c:pt>
                <c:pt idx="70">
                  <c:v>0.14199999999999999</c:v>
                </c:pt>
                <c:pt idx="71">
                  <c:v>0.14399999999999999</c:v>
                </c:pt>
                <c:pt idx="72">
                  <c:v>0.14599999999999999</c:v>
                </c:pt>
                <c:pt idx="73">
                  <c:v>0.14799999999999999</c:v>
                </c:pt>
                <c:pt idx="74">
                  <c:v>0.15</c:v>
                </c:pt>
                <c:pt idx="75">
                  <c:v>0.152</c:v>
                </c:pt>
                <c:pt idx="76">
                  <c:v>0.154</c:v>
                </c:pt>
                <c:pt idx="77">
                  <c:v>0.156</c:v>
                </c:pt>
                <c:pt idx="78">
                  <c:v>0.158</c:v>
                </c:pt>
                <c:pt idx="79">
                  <c:v>0.16</c:v>
                </c:pt>
                <c:pt idx="80">
                  <c:v>0.16200000000000001</c:v>
                </c:pt>
                <c:pt idx="81">
                  <c:v>0.16400000000000001</c:v>
                </c:pt>
                <c:pt idx="82">
                  <c:v>0.16600000000000001</c:v>
                </c:pt>
                <c:pt idx="83">
                  <c:v>0.16800000000000001</c:v>
                </c:pt>
                <c:pt idx="84">
                  <c:v>0.17</c:v>
                </c:pt>
                <c:pt idx="85">
                  <c:v>0.17199999999999999</c:v>
                </c:pt>
                <c:pt idx="86">
                  <c:v>0.17399999999999999</c:v>
                </c:pt>
                <c:pt idx="87">
                  <c:v>0.17599999999999999</c:v>
                </c:pt>
                <c:pt idx="88">
                  <c:v>0.17799999999999999</c:v>
                </c:pt>
                <c:pt idx="89">
                  <c:v>0.18</c:v>
                </c:pt>
                <c:pt idx="90">
                  <c:v>0.182</c:v>
                </c:pt>
                <c:pt idx="91">
                  <c:v>0.184</c:v>
                </c:pt>
                <c:pt idx="92">
                  <c:v>0.186</c:v>
                </c:pt>
                <c:pt idx="93">
                  <c:v>0.188</c:v>
                </c:pt>
                <c:pt idx="94">
                  <c:v>0.19</c:v>
                </c:pt>
                <c:pt idx="95">
                  <c:v>0.192</c:v>
                </c:pt>
                <c:pt idx="96">
                  <c:v>0.19400000000000001</c:v>
                </c:pt>
                <c:pt idx="97">
                  <c:v>0.19600000000000001</c:v>
                </c:pt>
                <c:pt idx="98">
                  <c:v>0.19800000000000001</c:v>
                </c:pt>
                <c:pt idx="99">
                  <c:v>0.2</c:v>
                </c:pt>
                <c:pt idx="100">
                  <c:v>0.20200000000000001</c:v>
                </c:pt>
                <c:pt idx="101">
                  <c:v>0.20399999999999999</c:v>
                </c:pt>
                <c:pt idx="102">
                  <c:v>0.20599999999999999</c:v>
                </c:pt>
                <c:pt idx="103">
                  <c:v>0.20799999999999999</c:v>
                </c:pt>
                <c:pt idx="104">
                  <c:v>0.21</c:v>
                </c:pt>
                <c:pt idx="105">
                  <c:v>0.21199999999999999</c:v>
                </c:pt>
                <c:pt idx="106">
                  <c:v>0.214</c:v>
                </c:pt>
                <c:pt idx="107">
                  <c:v>0.216</c:v>
                </c:pt>
                <c:pt idx="108">
                  <c:v>0.218</c:v>
                </c:pt>
                <c:pt idx="109">
                  <c:v>0.22</c:v>
                </c:pt>
                <c:pt idx="110">
                  <c:v>0.222</c:v>
                </c:pt>
                <c:pt idx="111">
                  <c:v>0.224</c:v>
                </c:pt>
                <c:pt idx="112">
                  <c:v>0.22600000000000001</c:v>
                </c:pt>
                <c:pt idx="113">
                  <c:v>0.22800000000000001</c:v>
                </c:pt>
                <c:pt idx="114">
                  <c:v>0.23</c:v>
                </c:pt>
                <c:pt idx="115">
                  <c:v>0.23200000000000001</c:v>
                </c:pt>
                <c:pt idx="116">
                  <c:v>0.23400000000000001</c:v>
                </c:pt>
                <c:pt idx="117">
                  <c:v>0.23599999999999999</c:v>
                </c:pt>
                <c:pt idx="118">
                  <c:v>0.23799999999999999</c:v>
                </c:pt>
                <c:pt idx="119">
                  <c:v>0.24</c:v>
                </c:pt>
                <c:pt idx="120">
                  <c:v>0.24199999999999999</c:v>
                </c:pt>
                <c:pt idx="121">
                  <c:v>0.24399999999999999</c:v>
                </c:pt>
                <c:pt idx="122">
                  <c:v>0.246</c:v>
                </c:pt>
                <c:pt idx="123">
                  <c:v>0.248</c:v>
                </c:pt>
                <c:pt idx="124">
                  <c:v>0.25</c:v>
                </c:pt>
                <c:pt idx="125">
                  <c:v>0.252</c:v>
                </c:pt>
                <c:pt idx="126">
                  <c:v>0.254</c:v>
                </c:pt>
                <c:pt idx="127">
                  <c:v>0.25600000000000001</c:v>
                </c:pt>
                <c:pt idx="128">
                  <c:v>0.25800000000000001</c:v>
                </c:pt>
                <c:pt idx="129">
                  <c:v>0.26</c:v>
                </c:pt>
                <c:pt idx="130">
                  <c:v>0.26200000000000001</c:v>
                </c:pt>
                <c:pt idx="131">
                  <c:v>0.26400000000000001</c:v>
                </c:pt>
                <c:pt idx="132">
                  <c:v>0.26600000000000001</c:v>
                </c:pt>
                <c:pt idx="133">
                  <c:v>0.26800000000000002</c:v>
                </c:pt>
                <c:pt idx="134">
                  <c:v>0.27</c:v>
                </c:pt>
                <c:pt idx="135">
                  <c:v>0.27200000000000002</c:v>
                </c:pt>
                <c:pt idx="136">
                  <c:v>0.27400000000000002</c:v>
                </c:pt>
                <c:pt idx="137">
                  <c:v>0.27600000000000002</c:v>
                </c:pt>
                <c:pt idx="138">
                  <c:v>0.27800000000000002</c:v>
                </c:pt>
                <c:pt idx="139">
                  <c:v>0.28000000000000003</c:v>
                </c:pt>
                <c:pt idx="140">
                  <c:v>0.28199999999999997</c:v>
                </c:pt>
                <c:pt idx="141">
                  <c:v>0.28399999999999997</c:v>
                </c:pt>
                <c:pt idx="142">
                  <c:v>0.28599999999999998</c:v>
                </c:pt>
                <c:pt idx="143">
                  <c:v>0.28799999999999998</c:v>
                </c:pt>
                <c:pt idx="144">
                  <c:v>0.28999999999999998</c:v>
                </c:pt>
                <c:pt idx="145">
                  <c:v>0.29199999999999998</c:v>
                </c:pt>
                <c:pt idx="146">
                  <c:v>0.29399999999999998</c:v>
                </c:pt>
                <c:pt idx="147">
                  <c:v>0.29599999999999999</c:v>
                </c:pt>
                <c:pt idx="148">
                  <c:v>0.29799999999999999</c:v>
                </c:pt>
                <c:pt idx="149">
                  <c:v>0.3</c:v>
                </c:pt>
                <c:pt idx="150">
                  <c:v>0.30199999999999999</c:v>
                </c:pt>
                <c:pt idx="151">
                  <c:v>0.30399999999999999</c:v>
                </c:pt>
                <c:pt idx="152">
                  <c:v>0.30599999999999999</c:v>
                </c:pt>
                <c:pt idx="153">
                  <c:v>0.308</c:v>
                </c:pt>
                <c:pt idx="154">
                  <c:v>0.31</c:v>
                </c:pt>
                <c:pt idx="155">
                  <c:v>0.312</c:v>
                </c:pt>
                <c:pt idx="156">
                  <c:v>0.314</c:v>
                </c:pt>
                <c:pt idx="157">
                  <c:v>0.316</c:v>
                </c:pt>
                <c:pt idx="158">
                  <c:v>0.318</c:v>
                </c:pt>
                <c:pt idx="159">
                  <c:v>0.32</c:v>
                </c:pt>
                <c:pt idx="160">
                  <c:v>0.32200000000000001</c:v>
                </c:pt>
                <c:pt idx="161">
                  <c:v>0.32400000000000001</c:v>
                </c:pt>
                <c:pt idx="162">
                  <c:v>0.32600000000000001</c:v>
                </c:pt>
                <c:pt idx="163">
                  <c:v>0.32800000000000001</c:v>
                </c:pt>
                <c:pt idx="164">
                  <c:v>0.33</c:v>
                </c:pt>
                <c:pt idx="165">
                  <c:v>0.33200000000000002</c:v>
                </c:pt>
                <c:pt idx="166">
                  <c:v>0.33400000000000002</c:v>
                </c:pt>
                <c:pt idx="167">
                  <c:v>0.33600000000000002</c:v>
                </c:pt>
                <c:pt idx="168">
                  <c:v>0.33800000000000002</c:v>
                </c:pt>
                <c:pt idx="169">
                  <c:v>0.34</c:v>
                </c:pt>
                <c:pt idx="170">
                  <c:v>0.34200000000000003</c:v>
                </c:pt>
                <c:pt idx="171">
                  <c:v>0.34399999999999997</c:v>
                </c:pt>
                <c:pt idx="172">
                  <c:v>0.34599999999999997</c:v>
                </c:pt>
                <c:pt idx="173">
                  <c:v>0.34799999999999998</c:v>
                </c:pt>
                <c:pt idx="174">
                  <c:v>0.35</c:v>
                </c:pt>
                <c:pt idx="175">
                  <c:v>0.35199999999999998</c:v>
                </c:pt>
                <c:pt idx="176">
                  <c:v>0.35399999999999998</c:v>
                </c:pt>
                <c:pt idx="177">
                  <c:v>0.35599999999999998</c:v>
                </c:pt>
                <c:pt idx="178">
                  <c:v>0.35799999999999998</c:v>
                </c:pt>
                <c:pt idx="179">
                  <c:v>0.36</c:v>
                </c:pt>
                <c:pt idx="180">
                  <c:v>0.36199999999999999</c:v>
                </c:pt>
                <c:pt idx="181">
                  <c:v>0.36399999999999999</c:v>
                </c:pt>
                <c:pt idx="182">
                  <c:v>0.36599999999999999</c:v>
                </c:pt>
                <c:pt idx="183">
                  <c:v>0.36799999999999999</c:v>
                </c:pt>
                <c:pt idx="184">
                  <c:v>0.37</c:v>
                </c:pt>
                <c:pt idx="185">
                  <c:v>0.372</c:v>
                </c:pt>
                <c:pt idx="186">
                  <c:v>0.374</c:v>
                </c:pt>
                <c:pt idx="187">
                  <c:v>0.376</c:v>
                </c:pt>
                <c:pt idx="188">
                  <c:v>0.378</c:v>
                </c:pt>
                <c:pt idx="189">
                  <c:v>0.38</c:v>
                </c:pt>
                <c:pt idx="190">
                  <c:v>0.38200000000000001</c:v>
                </c:pt>
                <c:pt idx="191">
                  <c:v>0.38400000000000001</c:v>
                </c:pt>
                <c:pt idx="192">
                  <c:v>0.38600000000000001</c:v>
                </c:pt>
                <c:pt idx="193">
                  <c:v>0.38800000000000001</c:v>
                </c:pt>
                <c:pt idx="194">
                  <c:v>0.39</c:v>
                </c:pt>
                <c:pt idx="195">
                  <c:v>0.39200000000000002</c:v>
                </c:pt>
                <c:pt idx="196">
                  <c:v>0.39400000000000002</c:v>
                </c:pt>
                <c:pt idx="197">
                  <c:v>0.39600000000000002</c:v>
                </c:pt>
                <c:pt idx="198">
                  <c:v>0.39800000000000002</c:v>
                </c:pt>
                <c:pt idx="199">
                  <c:v>0.4</c:v>
                </c:pt>
                <c:pt idx="200">
                  <c:v>0.40200000000000002</c:v>
                </c:pt>
                <c:pt idx="201">
                  <c:v>0.40400000000000003</c:v>
                </c:pt>
                <c:pt idx="202">
                  <c:v>0.40600000000000003</c:v>
                </c:pt>
                <c:pt idx="203">
                  <c:v>0.40799999999999997</c:v>
                </c:pt>
                <c:pt idx="204">
                  <c:v>0.41</c:v>
                </c:pt>
                <c:pt idx="205">
                  <c:v>0.41199999999999998</c:v>
                </c:pt>
                <c:pt idx="206">
                  <c:v>0.41399999999999998</c:v>
                </c:pt>
                <c:pt idx="207">
                  <c:v>0.41599999999999998</c:v>
                </c:pt>
                <c:pt idx="208">
                  <c:v>0.41799999999999998</c:v>
                </c:pt>
                <c:pt idx="209">
                  <c:v>0.42</c:v>
                </c:pt>
                <c:pt idx="210">
                  <c:v>0.42199999999999999</c:v>
                </c:pt>
                <c:pt idx="211">
                  <c:v>0.42399999999999999</c:v>
                </c:pt>
                <c:pt idx="212">
                  <c:v>0.42599999999999999</c:v>
                </c:pt>
                <c:pt idx="213">
                  <c:v>0.42799999999999999</c:v>
                </c:pt>
                <c:pt idx="214">
                  <c:v>0.43</c:v>
                </c:pt>
                <c:pt idx="215">
                  <c:v>0.432</c:v>
                </c:pt>
                <c:pt idx="216">
                  <c:v>0.434</c:v>
                </c:pt>
                <c:pt idx="217">
                  <c:v>0.436</c:v>
                </c:pt>
                <c:pt idx="218">
                  <c:v>0.438</c:v>
                </c:pt>
                <c:pt idx="219">
                  <c:v>0.44</c:v>
                </c:pt>
                <c:pt idx="220">
                  <c:v>0.442</c:v>
                </c:pt>
                <c:pt idx="221">
                  <c:v>0.44400000000000001</c:v>
                </c:pt>
                <c:pt idx="222">
                  <c:v>0.44600000000000001</c:v>
                </c:pt>
                <c:pt idx="223">
                  <c:v>0.44800000000000001</c:v>
                </c:pt>
                <c:pt idx="224">
                  <c:v>0.45</c:v>
                </c:pt>
                <c:pt idx="225">
                  <c:v>0.45200000000000001</c:v>
                </c:pt>
                <c:pt idx="226">
                  <c:v>0.45400000000000001</c:v>
                </c:pt>
                <c:pt idx="227">
                  <c:v>0.45600000000000002</c:v>
                </c:pt>
                <c:pt idx="228">
                  <c:v>0.45800000000000002</c:v>
                </c:pt>
                <c:pt idx="229">
                  <c:v>0.46</c:v>
                </c:pt>
                <c:pt idx="230">
                  <c:v>0.46200000000000002</c:v>
                </c:pt>
                <c:pt idx="231">
                  <c:v>0.46400000000000002</c:v>
                </c:pt>
                <c:pt idx="232">
                  <c:v>0.46600000000000003</c:v>
                </c:pt>
                <c:pt idx="233">
                  <c:v>0.46800000000000003</c:v>
                </c:pt>
                <c:pt idx="234">
                  <c:v>0.47</c:v>
                </c:pt>
                <c:pt idx="235">
                  <c:v>0.47199999999999998</c:v>
                </c:pt>
                <c:pt idx="236">
                  <c:v>0.47399999999999998</c:v>
                </c:pt>
                <c:pt idx="237">
                  <c:v>0.47599999999999998</c:v>
                </c:pt>
                <c:pt idx="238">
                  <c:v>0.47799999999999998</c:v>
                </c:pt>
                <c:pt idx="239">
                  <c:v>0.48</c:v>
                </c:pt>
                <c:pt idx="240">
                  <c:v>0.48199999999999998</c:v>
                </c:pt>
                <c:pt idx="241">
                  <c:v>0.48399999999999999</c:v>
                </c:pt>
                <c:pt idx="242">
                  <c:v>0.48599999999999999</c:v>
                </c:pt>
                <c:pt idx="243">
                  <c:v>0.48799999999999999</c:v>
                </c:pt>
                <c:pt idx="244">
                  <c:v>0.49</c:v>
                </c:pt>
                <c:pt idx="245">
                  <c:v>0.49199999999999999</c:v>
                </c:pt>
                <c:pt idx="246">
                  <c:v>0.49399999999999999</c:v>
                </c:pt>
                <c:pt idx="247">
                  <c:v>0.496</c:v>
                </c:pt>
                <c:pt idx="248">
                  <c:v>0.498</c:v>
                </c:pt>
                <c:pt idx="249">
                  <c:v>0.5</c:v>
                </c:pt>
                <c:pt idx="250">
                  <c:v>0.502</c:v>
                </c:pt>
                <c:pt idx="251">
                  <c:v>0.504</c:v>
                </c:pt>
                <c:pt idx="252">
                  <c:v>0.50600000000000001</c:v>
                </c:pt>
                <c:pt idx="253">
                  <c:v>0.50800000000000001</c:v>
                </c:pt>
                <c:pt idx="254">
                  <c:v>0.51</c:v>
                </c:pt>
                <c:pt idx="255">
                  <c:v>0.51200000000000001</c:v>
                </c:pt>
                <c:pt idx="256">
                  <c:v>0.51400000000000001</c:v>
                </c:pt>
                <c:pt idx="257">
                  <c:v>0.51600000000000001</c:v>
                </c:pt>
                <c:pt idx="258">
                  <c:v>0.51800000000000002</c:v>
                </c:pt>
                <c:pt idx="259">
                  <c:v>0.52</c:v>
                </c:pt>
                <c:pt idx="260">
                  <c:v>0.52200000000000002</c:v>
                </c:pt>
                <c:pt idx="261">
                  <c:v>0.52400000000000002</c:v>
                </c:pt>
                <c:pt idx="262">
                  <c:v>0.52600000000000002</c:v>
                </c:pt>
                <c:pt idx="263">
                  <c:v>0.52800000000000002</c:v>
                </c:pt>
                <c:pt idx="264">
                  <c:v>0.53</c:v>
                </c:pt>
                <c:pt idx="265">
                  <c:v>0.53200000000000003</c:v>
                </c:pt>
                <c:pt idx="266">
                  <c:v>0.53400000000000003</c:v>
                </c:pt>
                <c:pt idx="267">
                  <c:v>0.53600000000000003</c:v>
                </c:pt>
                <c:pt idx="268">
                  <c:v>0.53800000000000003</c:v>
                </c:pt>
                <c:pt idx="269">
                  <c:v>0.54</c:v>
                </c:pt>
                <c:pt idx="270">
                  <c:v>0.54200000000000004</c:v>
                </c:pt>
                <c:pt idx="271">
                  <c:v>0.54400000000000004</c:v>
                </c:pt>
                <c:pt idx="272">
                  <c:v>0.54600000000000004</c:v>
                </c:pt>
                <c:pt idx="273">
                  <c:v>0.54800000000000004</c:v>
                </c:pt>
                <c:pt idx="274">
                  <c:v>0.55000000000000004</c:v>
                </c:pt>
                <c:pt idx="275">
                  <c:v>0.55200000000000005</c:v>
                </c:pt>
                <c:pt idx="276">
                  <c:v>0.55400000000000005</c:v>
                </c:pt>
                <c:pt idx="277">
                  <c:v>0.55600000000000005</c:v>
                </c:pt>
                <c:pt idx="278">
                  <c:v>0.55800000000000005</c:v>
                </c:pt>
                <c:pt idx="279">
                  <c:v>0.56000000000000005</c:v>
                </c:pt>
                <c:pt idx="280">
                  <c:v>0.56200000000000006</c:v>
                </c:pt>
                <c:pt idx="281">
                  <c:v>0.56399999999999995</c:v>
                </c:pt>
                <c:pt idx="282">
                  <c:v>0.56599999999999995</c:v>
                </c:pt>
                <c:pt idx="283">
                  <c:v>0.56799999999999995</c:v>
                </c:pt>
                <c:pt idx="284">
                  <c:v>0.56999999999999995</c:v>
                </c:pt>
                <c:pt idx="285">
                  <c:v>0.57199999999999995</c:v>
                </c:pt>
                <c:pt idx="286">
                  <c:v>0.57399999999999995</c:v>
                </c:pt>
                <c:pt idx="287">
                  <c:v>0.57599999999999996</c:v>
                </c:pt>
                <c:pt idx="288">
                  <c:v>0.57799999999999996</c:v>
                </c:pt>
                <c:pt idx="289">
                  <c:v>0.57999999999999996</c:v>
                </c:pt>
                <c:pt idx="290">
                  <c:v>0.58199999999999996</c:v>
                </c:pt>
                <c:pt idx="291">
                  <c:v>0.58399999999999996</c:v>
                </c:pt>
                <c:pt idx="292">
                  <c:v>0.58599999999999997</c:v>
                </c:pt>
                <c:pt idx="293">
                  <c:v>0.58799999999999997</c:v>
                </c:pt>
                <c:pt idx="294">
                  <c:v>0.59</c:v>
                </c:pt>
                <c:pt idx="295">
                  <c:v>0.59199999999999997</c:v>
                </c:pt>
                <c:pt idx="296">
                  <c:v>0.59399999999999997</c:v>
                </c:pt>
                <c:pt idx="297">
                  <c:v>0.59599999999999997</c:v>
                </c:pt>
                <c:pt idx="298">
                  <c:v>0.59799999999999998</c:v>
                </c:pt>
                <c:pt idx="299">
                  <c:v>0.6</c:v>
                </c:pt>
                <c:pt idx="300">
                  <c:v>0.60199999999999998</c:v>
                </c:pt>
                <c:pt idx="301">
                  <c:v>0.60399999999999998</c:v>
                </c:pt>
                <c:pt idx="302">
                  <c:v>0.60599999999999998</c:v>
                </c:pt>
                <c:pt idx="303">
                  <c:v>0.60799999999999998</c:v>
                </c:pt>
                <c:pt idx="304">
                  <c:v>0.61</c:v>
                </c:pt>
                <c:pt idx="305">
                  <c:v>0.61199999999999999</c:v>
                </c:pt>
                <c:pt idx="306">
                  <c:v>0.61399999999999999</c:v>
                </c:pt>
                <c:pt idx="307">
                  <c:v>0.61599999999999999</c:v>
                </c:pt>
                <c:pt idx="308">
                  <c:v>0.61799999999999999</c:v>
                </c:pt>
                <c:pt idx="309">
                  <c:v>0.62</c:v>
                </c:pt>
                <c:pt idx="310">
                  <c:v>0.622</c:v>
                </c:pt>
                <c:pt idx="311">
                  <c:v>0.624</c:v>
                </c:pt>
                <c:pt idx="312">
                  <c:v>0.626</c:v>
                </c:pt>
                <c:pt idx="313">
                  <c:v>0.628</c:v>
                </c:pt>
                <c:pt idx="314">
                  <c:v>0.63</c:v>
                </c:pt>
                <c:pt idx="315">
                  <c:v>0.63200000000000001</c:v>
                </c:pt>
                <c:pt idx="316">
                  <c:v>0.63400000000000001</c:v>
                </c:pt>
                <c:pt idx="317">
                  <c:v>0.63600000000000001</c:v>
                </c:pt>
                <c:pt idx="318">
                  <c:v>0.63800000000000001</c:v>
                </c:pt>
                <c:pt idx="319">
                  <c:v>0.64</c:v>
                </c:pt>
                <c:pt idx="320">
                  <c:v>0.64200000000000002</c:v>
                </c:pt>
                <c:pt idx="321">
                  <c:v>0.64400000000000002</c:v>
                </c:pt>
                <c:pt idx="322">
                  <c:v>0.64600000000000002</c:v>
                </c:pt>
                <c:pt idx="323">
                  <c:v>0.64800000000000002</c:v>
                </c:pt>
                <c:pt idx="324">
                  <c:v>0.65</c:v>
                </c:pt>
                <c:pt idx="325">
                  <c:v>0.65200000000000002</c:v>
                </c:pt>
                <c:pt idx="326">
                  <c:v>0.65400000000000003</c:v>
                </c:pt>
                <c:pt idx="327">
                  <c:v>0.65600000000000003</c:v>
                </c:pt>
                <c:pt idx="328">
                  <c:v>0.65800000000000003</c:v>
                </c:pt>
                <c:pt idx="329">
                  <c:v>0.66</c:v>
                </c:pt>
                <c:pt idx="330">
                  <c:v>0.66200000000000003</c:v>
                </c:pt>
                <c:pt idx="331">
                  <c:v>0.66400000000000003</c:v>
                </c:pt>
                <c:pt idx="332">
                  <c:v>0.66600000000000004</c:v>
                </c:pt>
                <c:pt idx="333">
                  <c:v>0.66800000000000004</c:v>
                </c:pt>
                <c:pt idx="334">
                  <c:v>0.67</c:v>
                </c:pt>
                <c:pt idx="335">
                  <c:v>0.67200000000000004</c:v>
                </c:pt>
                <c:pt idx="336">
                  <c:v>0.67400000000000004</c:v>
                </c:pt>
                <c:pt idx="337">
                  <c:v>0.67600000000000005</c:v>
                </c:pt>
                <c:pt idx="338">
                  <c:v>0.67800000000000005</c:v>
                </c:pt>
                <c:pt idx="339">
                  <c:v>0.68</c:v>
                </c:pt>
                <c:pt idx="340">
                  <c:v>0.68200000000000005</c:v>
                </c:pt>
                <c:pt idx="341">
                  <c:v>0.68400000000000005</c:v>
                </c:pt>
                <c:pt idx="342">
                  <c:v>0.68600000000000005</c:v>
                </c:pt>
                <c:pt idx="343">
                  <c:v>0.68799999999999994</c:v>
                </c:pt>
                <c:pt idx="344">
                  <c:v>0.69</c:v>
                </c:pt>
                <c:pt idx="345">
                  <c:v>0.69199999999999995</c:v>
                </c:pt>
                <c:pt idx="346">
                  <c:v>0.69399999999999995</c:v>
                </c:pt>
                <c:pt idx="347">
                  <c:v>0.69599999999999995</c:v>
                </c:pt>
                <c:pt idx="348">
                  <c:v>0.69799999999999995</c:v>
                </c:pt>
                <c:pt idx="349">
                  <c:v>0.7</c:v>
                </c:pt>
                <c:pt idx="350">
                  <c:v>0.70199999999999996</c:v>
                </c:pt>
                <c:pt idx="351">
                  <c:v>0.70399999999999996</c:v>
                </c:pt>
                <c:pt idx="352">
                  <c:v>0.70599999999999996</c:v>
                </c:pt>
                <c:pt idx="353">
                  <c:v>0.70799999999999996</c:v>
                </c:pt>
                <c:pt idx="354">
                  <c:v>0.71</c:v>
                </c:pt>
                <c:pt idx="355">
                  <c:v>0.71199999999999997</c:v>
                </c:pt>
                <c:pt idx="356">
                  <c:v>0.71399999999999997</c:v>
                </c:pt>
                <c:pt idx="357">
                  <c:v>0.71599999999999997</c:v>
                </c:pt>
                <c:pt idx="358">
                  <c:v>0.71799999999999997</c:v>
                </c:pt>
                <c:pt idx="359">
                  <c:v>0.72</c:v>
                </c:pt>
                <c:pt idx="360">
                  <c:v>0.72199999999999998</c:v>
                </c:pt>
                <c:pt idx="361">
                  <c:v>0.72399999999999998</c:v>
                </c:pt>
                <c:pt idx="362">
                  <c:v>0.72599999999999998</c:v>
                </c:pt>
                <c:pt idx="363">
                  <c:v>0.72799999999999998</c:v>
                </c:pt>
                <c:pt idx="364">
                  <c:v>0.73</c:v>
                </c:pt>
                <c:pt idx="365">
                  <c:v>0.73199999999999998</c:v>
                </c:pt>
                <c:pt idx="366">
                  <c:v>0.73399999999999999</c:v>
                </c:pt>
                <c:pt idx="367">
                  <c:v>0.73599999999999999</c:v>
                </c:pt>
                <c:pt idx="368">
                  <c:v>0.73799999999999999</c:v>
                </c:pt>
                <c:pt idx="369">
                  <c:v>0.74</c:v>
                </c:pt>
                <c:pt idx="370">
                  <c:v>0.74199999999999999</c:v>
                </c:pt>
                <c:pt idx="371">
                  <c:v>0.74399999999999999</c:v>
                </c:pt>
                <c:pt idx="372">
                  <c:v>0.746</c:v>
                </c:pt>
                <c:pt idx="373">
                  <c:v>0.748</c:v>
                </c:pt>
                <c:pt idx="374">
                  <c:v>0.75</c:v>
                </c:pt>
                <c:pt idx="375">
                  <c:v>0.752</c:v>
                </c:pt>
                <c:pt idx="376">
                  <c:v>0.754</c:v>
                </c:pt>
                <c:pt idx="377">
                  <c:v>0.75600000000000001</c:v>
                </c:pt>
                <c:pt idx="378">
                  <c:v>0.75800000000000001</c:v>
                </c:pt>
                <c:pt idx="379">
                  <c:v>0.76</c:v>
                </c:pt>
                <c:pt idx="380">
                  <c:v>0.76200000000000001</c:v>
                </c:pt>
                <c:pt idx="381">
                  <c:v>0.76400000000000001</c:v>
                </c:pt>
                <c:pt idx="382">
                  <c:v>0.76600000000000001</c:v>
                </c:pt>
                <c:pt idx="383">
                  <c:v>0.76800000000000002</c:v>
                </c:pt>
                <c:pt idx="384">
                  <c:v>0.77</c:v>
                </c:pt>
                <c:pt idx="385">
                  <c:v>0.77200000000000002</c:v>
                </c:pt>
                <c:pt idx="386">
                  <c:v>0.77400000000000002</c:v>
                </c:pt>
                <c:pt idx="387">
                  <c:v>0.77600000000000002</c:v>
                </c:pt>
                <c:pt idx="388">
                  <c:v>0.77800000000000002</c:v>
                </c:pt>
                <c:pt idx="389">
                  <c:v>0.78</c:v>
                </c:pt>
                <c:pt idx="390">
                  <c:v>0.78200000000000003</c:v>
                </c:pt>
                <c:pt idx="391">
                  <c:v>0.78400000000000003</c:v>
                </c:pt>
                <c:pt idx="392">
                  <c:v>0.78600000000000003</c:v>
                </c:pt>
                <c:pt idx="393">
                  <c:v>0.78800000000000003</c:v>
                </c:pt>
                <c:pt idx="394">
                  <c:v>0.79</c:v>
                </c:pt>
                <c:pt idx="395">
                  <c:v>0.79200000000000004</c:v>
                </c:pt>
                <c:pt idx="396">
                  <c:v>0.79400000000000004</c:v>
                </c:pt>
                <c:pt idx="397">
                  <c:v>0.79600000000000004</c:v>
                </c:pt>
                <c:pt idx="398">
                  <c:v>0.79800000000000004</c:v>
                </c:pt>
                <c:pt idx="399">
                  <c:v>0.8</c:v>
                </c:pt>
                <c:pt idx="400">
                  <c:v>0.80200000000000005</c:v>
                </c:pt>
                <c:pt idx="401">
                  <c:v>0.80400000000000005</c:v>
                </c:pt>
                <c:pt idx="402">
                  <c:v>0.80600000000000005</c:v>
                </c:pt>
                <c:pt idx="403">
                  <c:v>0.80800000000000005</c:v>
                </c:pt>
                <c:pt idx="404">
                  <c:v>0.81</c:v>
                </c:pt>
                <c:pt idx="405">
                  <c:v>0.81200000000000006</c:v>
                </c:pt>
                <c:pt idx="406">
                  <c:v>0.81399999999999995</c:v>
                </c:pt>
                <c:pt idx="407">
                  <c:v>0.81599999999999995</c:v>
                </c:pt>
                <c:pt idx="408">
                  <c:v>0.81799999999999995</c:v>
                </c:pt>
                <c:pt idx="409">
                  <c:v>0.82</c:v>
                </c:pt>
                <c:pt idx="410">
                  <c:v>0.82199999999999995</c:v>
                </c:pt>
                <c:pt idx="411">
                  <c:v>0.82399999999999995</c:v>
                </c:pt>
                <c:pt idx="412">
                  <c:v>0.82599999999999996</c:v>
                </c:pt>
                <c:pt idx="413">
                  <c:v>0.82799999999999996</c:v>
                </c:pt>
                <c:pt idx="414">
                  <c:v>0.83</c:v>
                </c:pt>
                <c:pt idx="415">
                  <c:v>0.83199999999999996</c:v>
                </c:pt>
                <c:pt idx="416">
                  <c:v>0.83399999999999996</c:v>
                </c:pt>
                <c:pt idx="417">
                  <c:v>0.83599999999999997</c:v>
                </c:pt>
                <c:pt idx="418">
                  <c:v>0.83799999999999997</c:v>
                </c:pt>
                <c:pt idx="419">
                  <c:v>0.84</c:v>
                </c:pt>
                <c:pt idx="420">
                  <c:v>0.84199999999999997</c:v>
                </c:pt>
                <c:pt idx="421">
                  <c:v>0.84399999999999997</c:v>
                </c:pt>
                <c:pt idx="422">
                  <c:v>0.84599999999999997</c:v>
                </c:pt>
                <c:pt idx="423">
                  <c:v>0.84799999999999998</c:v>
                </c:pt>
                <c:pt idx="424">
                  <c:v>0.85</c:v>
                </c:pt>
                <c:pt idx="425">
                  <c:v>0.85199999999999998</c:v>
                </c:pt>
                <c:pt idx="426">
                  <c:v>0.85399999999999998</c:v>
                </c:pt>
                <c:pt idx="427">
                  <c:v>0.85599999999999998</c:v>
                </c:pt>
                <c:pt idx="428">
                  <c:v>0.85799999999999998</c:v>
                </c:pt>
                <c:pt idx="429">
                  <c:v>0.86</c:v>
                </c:pt>
                <c:pt idx="430">
                  <c:v>0.86199999999999999</c:v>
                </c:pt>
                <c:pt idx="431">
                  <c:v>0.86399999999999999</c:v>
                </c:pt>
                <c:pt idx="432">
                  <c:v>0.86599999999999999</c:v>
                </c:pt>
                <c:pt idx="433">
                  <c:v>0.86799999999999999</c:v>
                </c:pt>
                <c:pt idx="434">
                  <c:v>0.87</c:v>
                </c:pt>
                <c:pt idx="435">
                  <c:v>0.872</c:v>
                </c:pt>
                <c:pt idx="436">
                  <c:v>0.874</c:v>
                </c:pt>
                <c:pt idx="437">
                  <c:v>0.876</c:v>
                </c:pt>
                <c:pt idx="438">
                  <c:v>0.878</c:v>
                </c:pt>
                <c:pt idx="439">
                  <c:v>0.88</c:v>
                </c:pt>
                <c:pt idx="440">
                  <c:v>0.88200000000000001</c:v>
                </c:pt>
                <c:pt idx="441">
                  <c:v>0.88400000000000001</c:v>
                </c:pt>
                <c:pt idx="442">
                  <c:v>0.88600000000000001</c:v>
                </c:pt>
                <c:pt idx="443">
                  <c:v>0.88800000000000001</c:v>
                </c:pt>
                <c:pt idx="444">
                  <c:v>0.89</c:v>
                </c:pt>
                <c:pt idx="445">
                  <c:v>0.89200000000000002</c:v>
                </c:pt>
                <c:pt idx="446">
                  <c:v>0.89400000000000002</c:v>
                </c:pt>
                <c:pt idx="447">
                  <c:v>0.89600000000000002</c:v>
                </c:pt>
                <c:pt idx="448">
                  <c:v>0.89800000000000002</c:v>
                </c:pt>
                <c:pt idx="449">
                  <c:v>0.9</c:v>
                </c:pt>
                <c:pt idx="450">
                  <c:v>0.90200000000000002</c:v>
                </c:pt>
                <c:pt idx="451">
                  <c:v>0.90400000000000003</c:v>
                </c:pt>
                <c:pt idx="452">
                  <c:v>0.90600000000000003</c:v>
                </c:pt>
                <c:pt idx="453">
                  <c:v>0.90800000000000003</c:v>
                </c:pt>
                <c:pt idx="454">
                  <c:v>0.91</c:v>
                </c:pt>
                <c:pt idx="455">
                  <c:v>0.91200000000000003</c:v>
                </c:pt>
                <c:pt idx="456">
                  <c:v>0.91400000000000003</c:v>
                </c:pt>
                <c:pt idx="457">
                  <c:v>0.91600000000000004</c:v>
                </c:pt>
                <c:pt idx="458">
                  <c:v>0.91800000000000004</c:v>
                </c:pt>
                <c:pt idx="459">
                  <c:v>0.92</c:v>
                </c:pt>
                <c:pt idx="460">
                  <c:v>0.92200000000000004</c:v>
                </c:pt>
                <c:pt idx="461">
                  <c:v>0.92400000000000004</c:v>
                </c:pt>
                <c:pt idx="462">
                  <c:v>0.92600000000000005</c:v>
                </c:pt>
                <c:pt idx="463">
                  <c:v>0.92800000000000005</c:v>
                </c:pt>
                <c:pt idx="464">
                  <c:v>0.93</c:v>
                </c:pt>
                <c:pt idx="465">
                  <c:v>0.93200000000000005</c:v>
                </c:pt>
                <c:pt idx="466">
                  <c:v>0.93400000000000005</c:v>
                </c:pt>
                <c:pt idx="467">
                  <c:v>0.93600000000000005</c:v>
                </c:pt>
                <c:pt idx="468">
                  <c:v>0.93799999999999994</c:v>
                </c:pt>
                <c:pt idx="469">
                  <c:v>0.94</c:v>
                </c:pt>
                <c:pt idx="470">
                  <c:v>0.94199999999999995</c:v>
                </c:pt>
                <c:pt idx="471">
                  <c:v>0.94399999999999995</c:v>
                </c:pt>
                <c:pt idx="472">
                  <c:v>0.94599999999999995</c:v>
                </c:pt>
                <c:pt idx="473">
                  <c:v>0.94799999999999995</c:v>
                </c:pt>
                <c:pt idx="474">
                  <c:v>0.95</c:v>
                </c:pt>
                <c:pt idx="475">
                  <c:v>0.95199999999999996</c:v>
                </c:pt>
                <c:pt idx="476">
                  <c:v>0.95399999999999996</c:v>
                </c:pt>
                <c:pt idx="477">
                  <c:v>0.95599999999999996</c:v>
                </c:pt>
                <c:pt idx="478">
                  <c:v>0.95799999999999996</c:v>
                </c:pt>
                <c:pt idx="479">
                  <c:v>0.96</c:v>
                </c:pt>
                <c:pt idx="480">
                  <c:v>0.96199999999999997</c:v>
                </c:pt>
                <c:pt idx="481">
                  <c:v>0.96399999999999997</c:v>
                </c:pt>
                <c:pt idx="482">
                  <c:v>0.96599999999999997</c:v>
                </c:pt>
                <c:pt idx="483">
                  <c:v>0.96799999999999997</c:v>
                </c:pt>
                <c:pt idx="484">
                  <c:v>0.97</c:v>
                </c:pt>
                <c:pt idx="485">
                  <c:v>0.97199999999999998</c:v>
                </c:pt>
                <c:pt idx="486">
                  <c:v>0.97399999999999998</c:v>
                </c:pt>
                <c:pt idx="487">
                  <c:v>0.97599999999999998</c:v>
                </c:pt>
                <c:pt idx="488">
                  <c:v>0.97799999999999998</c:v>
                </c:pt>
                <c:pt idx="489">
                  <c:v>0.98</c:v>
                </c:pt>
                <c:pt idx="490">
                  <c:v>0.98199999999999998</c:v>
                </c:pt>
                <c:pt idx="491">
                  <c:v>0.98399999999999999</c:v>
                </c:pt>
                <c:pt idx="492">
                  <c:v>0.98599999999999999</c:v>
                </c:pt>
                <c:pt idx="493">
                  <c:v>0.98799999999999999</c:v>
                </c:pt>
                <c:pt idx="494">
                  <c:v>0.99</c:v>
                </c:pt>
                <c:pt idx="495">
                  <c:v>0.99199999999999999</c:v>
                </c:pt>
                <c:pt idx="496">
                  <c:v>0.99399999999999999</c:v>
                </c:pt>
                <c:pt idx="497">
                  <c:v>0.996</c:v>
                </c:pt>
                <c:pt idx="498">
                  <c:v>0.998</c:v>
                </c:pt>
                <c:pt idx="499">
                  <c:v>1</c:v>
                </c:pt>
                <c:pt idx="500">
                  <c:v>1.002</c:v>
                </c:pt>
                <c:pt idx="501">
                  <c:v>1.004</c:v>
                </c:pt>
                <c:pt idx="502">
                  <c:v>1.006</c:v>
                </c:pt>
                <c:pt idx="503">
                  <c:v>1.008</c:v>
                </c:pt>
                <c:pt idx="504">
                  <c:v>1.01</c:v>
                </c:pt>
                <c:pt idx="505">
                  <c:v>1.012</c:v>
                </c:pt>
                <c:pt idx="506">
                  <c:v>1.014</c:v>
                </c:pt>
                <c:pt idx="507">
                  <c:v>1.016</c:v>
                </c:pt>
                <c:pt idx="508">
                  <c:v>1.018</c:v>
                </c:pt>
                <c:pt idx="509">
                  <c:v>1.02</c:v>
                </c:pt>
                <c:pt idx="510">
                  <c:v>1.022</c:v>
                </c:pt>
                <c:pt idx="511">
                  <c:v>1.024</c:v>
                </c:pt>
                <c:pt idx="512">
                  <c:v>1.026</c:v>
                </c:pt>
                <c:pt idx="513">
                  <c:v>1.028</c:v>
                </c:pt>
                <c:pt idx="514">
                  <c:v>1.03</c:v>
                </c:pt>
                <c:pt idx="515">
                  <c:v>1.032</c:v>
                </c:pt>
                <c:pt idx="516">
                  <c:v>1.034</c:v>
                </c:pt>
                <c:pt idx="517">
                  <c:v>1.036</c:v>
                </c:pt>
                <c:pt idx="518">
                  <c:v>1.038</c:v>
                </c:pt>
                <c:pt idx="519">
                  <c:v>1.04</c:v>
                </c:pt>
                <c:pt idx="520">
                  <c:v>1.042</c:v>
                </c:pt>
                <c:pt idx="521">
                  <c:v>1.044</c:v>
                </c:pt>
                <c:pt idx="522">
                  <c:v>1.046</c:v>
                </c:pt>
                <c:pt idx="523">
                  <c:v>1.048</c:v>
                </c:pt>
                <c:pt idx="524">
                  <c:v>1.05</c:v>
                </c:pt>
                <c:pt idx="525">
                  <c:v>1.052</c:v>
                </c:pt>
                <c:pt idx="526">
                  <c:v>1.054</c:v>
                </c:pt>
                <c:pt idx="527">
                  <c:v>1.056</c:v>
                </c:pt>
                <c:pt idx="528">
                  <c:v>1.0580000000000001</c:v>
                </c:pt>
                <c:pt idx="529">
                  <c:v>1.06</c:v>
                </c:pt>
                <c:pt idx="530">
                  <c:v>1.0620000000000001</c:v>
                </c:pt>
                <c:pt idx="531">
                  <c:v>1.0640000000000001</c:v>
                </c:pt>
                <c:pt idx="532">
                  <c:v>1.0660000000000001</c:v>
                </c:pt>
                <c:pt idx="533">
                  <c:v>1.0680000000000001</c:v>
                </c:pt>
                <c:pt idx="534">
                  <c:v>1.07</c:v>
                </c:pt>
                <c:pt idx="535">
                  <c:v>1.0720000000000001</c:v>
                </c:pt>
                <c:pt idx="536">
                  <c:v>1.0740000000000001</c:v>
                </c:pt>
                <c:pt idx="537">
                  <c:v>1.0760000000000001</c:v>
                </c:pt>
                <c:pt idx="538">
                  <c:v>1.0780000000000001</c:v>
                </c:pt>
                <c:pt idx="539">
                  <c:v>1.08</c:v>
                </c:pt>
                <c:pt idx="540">
                  <c:v>1.0820000000000001</c:v>
                </c:pt>
                <c:pt idx="541">
                  <c:v>1.0840000000000001</c:v>
                </c:pt>
                <c:pt idx="542">
                  <c:v>1.0860000000000001</c:v>
                </c:pt>
                <c:pt idx="543">
                  <c:v>1.0880000000000001</c:v>
                </c:pt>
                <c:pt idx="544">
                  <c:v>1.0900000000000001</c:v>
                </c:pt>
                <c:pt idx="545">
                  <c:v>1.0920000000000001</c:v>
                </c:pt>
                <c:pt idx="546">
                  <c:v>1.0940000000000001</c:v>
                </c:pt>
                <c:pt idx="547">
                  <c:v>1.0960000000000001</c:v>
                </c:pt>
                <c:pt idx="548">
                  <c:v>1.0980000000000001</c:v>
                </c:pt>
                <c:pt idx="549">
                  <c:v>1.1000000000000001</c:v>
                </c:pt>
                <c:pt idx="550">
                  <c:v>1.1020000000000001</c:v>
                </c:pt>
                <c:pt idx="551">
                  <c:v>1.1040000000000001</c:v>
                </c:pt>
                <c:pt idx="552">
                  <c:v>1.1060000000000001</c:v>
                </c:pt>
                <c:pt idx="553">
                  <c:v>1.1080000000000001</c:v>
                </c:pt>
                <c:pt idx="554">
                  <c:v>1.1100000000000001</c:v>
                </c:pt>
                <c:pt idx="555">
                  <c:v>1.1120000000000001</c:v>
                </c:pt>
                <c:pt idx="556">
                  <c:v>1.1140000000000001</c:v>
                </c:pt>
                <c:pt idx="557">
                  <c:v>1.1160000000000001</c:v>
                </c:pt>
                <c:pt idx="558">
                  <c:v>1.1180000000000001</c:v>
                </c:pt>
                <c:pt idx="559">
                  <c:v>1.1200000000000001</c:v>
                </c:pt>
                <c:pt idx="560">
                  <c:v>1.1220000000000001</c:v>
                </c:pt>
                <c:pt idx="561">
                  <c:v>1.1240000000000001</c:v>
                </c:pt>
                <c:pt idx="562">
                  <c:v>1.1259999999999999</c:v>
                </c:pt>
                <c:pt idx="563">
                  <c:v>1.1279999999999999</c:v>
                </c:pt>
                <c:pt idx="564">
                  <c:v>1.1299999999999999</c:v>
                </c:pt>
                <c:pt idx="565">
                  <c:v>1.1319999999999999</c:v>
                </c:pt>
                <c:pt idx="566">
                  <c:v>1.1339999999999999</c:v>
                </c:pt>
                <c:pt idx="567">
                  <c:v>1.1359999999999999</c:v>
                </c:pt>
                <c:pt idx="568">
                  <c:v>1.1379999999999999</c:v>
                </c:pt>
                <c:pt idx="569">
                  <c:v>1.1399999999999999</c:v>
                </c:pt>
                <c:pt idx="570">
                  <c:v>1.1419999999999999</c:v>
                </c:pt>
                <c:pt idx="571">
                  <c:v>1.1439999999999999</c:v>
                </c:pt>
                <c:pt idx="572">
                  <c:v>1.1459999999999999</c:v>
                </c:pt>
                <c:pt idx="573">
                  <c:v>1.1479999999999999</c:v>
                </c:pt>
                <c:pt idx="574">
                  <c:v>1.1499999999999999</c:v>
                </c:pt>
                <c:pt idx="575">
                  <c:v>1.1519999999999999</c:v>
                </c:pt>
                <c:pt idx="576">
                  <c:v>1.1539999999999999</c:v>
                </c:pt>
                <c:pt idx="577">
                  <c:v>1.1559999999999999</c:v>
                </c:pt>
                <c:pt idx="578">
                  <c:v>1.1579999999999999</c:v>
                </c:pt>
                <c:pt idx="579">
                  <c:v>1.1599999999999999</c:v>
                </c:pt>
                <c:pt idx="580">
                  <c:v>1.1619999999999999</c:v>
                </c:pt>
                <c:pt idx="581">
                  <c:v>1.1639999999999999</c:v>
                </c:pt>
                <c:pt idx="582">
                  <c:v>1.1659999999999999</c:v>
                </c:pt>
                <c:pt idx="583">
                  <c:v>1.1679999999999999</c:v>
                </c:pt>
                <c:pt idx="584">
                  <c:v>1.17</c:v>
                </c:pt>
                <c:pt idx="585">
                  <c:v>1.1719999999999999</c:v>
                </c:pt>
                <c:pt idx="586">
                  <c:v>1.1739999999999999</c:v>
                </c:pt>
                <c:pt idx="587">
                  <c:v>1.1759999999999999</c:v>
                </c:pt>
                <c:pt idx="588">
                  <c:v>1.1779999999999999</c:v>
                </c:pt>
                <c:pt idx="589">
                  <c:v>1.18</c:v>
                </c:pt>
                <c:pt idx="590">
                  <c:v>1.1819999999999999</c:v>
                </c:pt>
                <c:pt idx="591">
                  <c:v>1.1839999999999999</c:v>
                </c:pt>
                <c:pt idx="592">
                  <c:v>1.1859999999999999</c:v>
                </c:pt>
                <c:pt idx="593">
                  <c:v>1.1879999999999999</c:v>
                </c:pt>
                <c:pt idx="594">
                  <c:v>1.19</c:v>
                </c:pt>
                <c:pt idx="595">
                  <c:v>1.1919999999999999</c:v>
                </c:pt>
                <c:pt idx="596">
                  <c:v>1.194</c:v>
                </c:pt>
                <c:pt idx="597">
                  <c:v>1.196</c:v>
                </c:pt>
                <c:pt idx="598">
                  <c:v>1.198</c:v>
                </c:pt>
                <c:pt idx="599">
                  <c:v>1.2</c:v>
                </c:pt>
                <c:pt idx="600">
                  <c:v>1.202</c:v>
                </c:pt>
                <c:pt idx="601">
                  <c:v>1.204</c:v>
                </c:pt>
                <c:pt idx="602">
                  <c:v>1.206</c:v>
                </c:pt>
                <c:pt idx="603">
                  <c:v>1.208</c:v>
                </c:pt>
                <c:pt idx="604">
                  <c:v>1.21</c:v>
                </c:pt>
                <c:pt idx="605">
                  <c:v>1.212</c:v>
                </c:pt>
                <c:pt idx="606">
                  <c:v>1.214</c:v>
                </c:pt>
                <c:pt idx="607">
                  <c:v>1.216</c:v>
                </c:pt>
                <c:pt idx="608">
                  <c:v>1.218</c:v>
                </c:pt>
                <c:pt idx="609">
                  <c:v>1.22</c:v>
                </c:pt>
                <c:pt idx="610">
                  <c:v>1.222</c:v>
                </c:pt>
                <c:pt idx="611">
                  <c:v>1.224</c:v>
                </c:pt>
                <c:pt idx="612">
                  <c:v>1.226</c:v>
                </c:pt>
                <c:pt idx="613">
                  <c:v>1.228</c:v>
                </c:pt>
                <c:pt idx="614">
                  <c:v>1.23</c:v>
                </c:pt>
                <c:pt idx="615">
                  <c:v>1.232</c:v>
                </c:pt>
                <c:pt idx="616">
                  <c:v>1.234</c:v>
                </c:pt>
                <c:pt idx="617">
                  <c:v>1.236</c:v>
                </c:pt>
                <c:pt idx="618">
                  <c:v>1.238</c:v>
                </c:pt>
                <c:pt idx="619">
                  <c:v>1.24</c:v>
                </c:pt>
                <c:pt idx="620">
                  <c:v>1.242</c:v>
                </c:pt>
                <c:pt idx="621">
                  <c:v>1.244</c:v>
                </c:pt>
                <c:pt idx="622">
                  <c:v>1.246</c:v>
                </c:pt>
                <c:pt idx="623">
                  <c:v>1.248</c:v>
                </c:pt>
                <c:pt idx="624">
                  <c:v>1.25</c:v>
                </c:pt>
                <c:pt idx="625">
                  <c:v>1.252</c:v>
                </c:pt>
                <c:pt idx="626">
                  <c:v>1.254</c:v>
                </c:pt>
                <c:pt idx="627">
                  <c:v>1.256</c:v>
                </c:pt>
                <c:pt idx="628">
                  <c:v>1.258</c:v>
                </c:pt>
                <c:pt idx="629">
                  <c:v>1.26</c:v>
                </c:pt>
                <c:pt idx="630">
                  <c:v>1.262</c:v>
                </c:pt>
                <c:pt idx="631">
                  <c:v>1.264</c:v>
                </c:pt>
                <c:pt idx="632">
                  <c:v>1.266</c:v>
                </c:pt>
                <c:pt idx="633">
                  <c:v>1.268</c:v>
                </c:pt>
                <c:pt idx="634">
                  <c:v>1.27</c:v>
                </c:pt>
                <c:pt idx="635">
                  <c:v>1.272</c:v>
                </c:pt>
                <c:pt idx="636">
                  <c:v>1.274</c:v>
                </c:pt>
                <c:pt idx="637">
                  <c:v>1.276</c:v>
                </c:pt>
                <c:pt idx="638">
                  <c:v>1.278</c:v>
                </c:pt>
                <c:pt idx="639">
                  <c:v>1.28</c:v>
                </c:pt>
                <c:pt idx="640">
                  <c:v>1.282</c:v>
                </c:pt>
                <c:pt idx="641">
                  <c:v>1.284</c:v>
                </c:pt>
                <c:pt idx="642">
                  <c:v>1.286</c:v>
                </c:pt>
                <c:pt idx="643">
                  <c:v>1.288</c:v>
                </c:pt>
                <c:pt idx="644">
                  <c:v>1.29</c:v>
                </c:pt>
                <c:pt idx="645">
                  <c:v>1.292</c:v>
                </c:pt>
                <c:pt idx="646">
                  <c:v>1.294</c:v>
                </c:pt>
                <c:pt idx="647">
                  <c:v>1.296</c:v>
                </c:pt>
                <c:pt idx="648">
                  <c:v>1.298</c:v>
                </c:pt>
                <c:pt idx="649">
                  <c:v>1.3</c:v>
                </c:pt>
                <c:pt idx="650">
                  <c:v>1.302</c:v>
                </c:pt>
                <c:pt idx="651">
                  <c:v>1.304</c:v>
                </c:pt>
                <c:pt idx="652">
                  <c:v>1.306</c:v>
                </c:pt>
                <c:pt idx="653">
                  <c:v>1.3080000000000001</c:v>
                </c:pt>
                <c:pt idx="654">
                  <c:v>1.31</c:v>
                </c:pt>
                <c:pt idx="655">
                  <c:v>1.3120000000000001</c:v>
                </c:pt>
                <c:pt idx="656">
                  <c:v>1.3140000000000001</c:v>
                </c:pt>
                <c:pt idx="657">
                  <c:v>1.3160000000000001</c:v>
                </c:pt>
                <c:pt idx="658">
                  <c:v>1.3180000000000001</c:v>
                </c:pt>
                <c:pt idx="659">
                  <c:v>1.32</c:v>
                </c:pt>
                <c:pt idx="660">
                  <c:v>1.3220000000000001</c:v>
                </c:pt>
                <c:pt idx="661">
                  <c:v>1.3240000000000001</c:v>
                </c:pt>
                <c:pt idx="662">
                  <c:v>1.3260000000000001</c:v>
                </c:pt>
                <c:pt idx="663">
                  <c:v>1.3280000000000001</c:v>
                </c:pt>
                <c:pt idx="664">
                  <c:v>1.33</c:v>
                </c:pt>
                <c:pt idx="665">
                  <c:v>1.3320000000000001</c:v>
                </c:pt>
                <c:pt idx="666">
                  <c:v>1.3340000000000001</c:v>
                </c:pt>
                <c:pt idx="667">
                  <c:v>1.3360000000000001</c:v>
                </c:pt>
                <c:pt idx="668">
                  <c:v>1.3380000000000001</c:v>
                </c:pt>
                <c:pt idx="669">
                  <c:v>1.34</c:v>
                </c:pt>
                <c:pt idx="670">
                  <c:v>1.3420000000000001</c:v>
                </c:pt>
                <c:pt idx="671">
                  <c:v>1.3440000000000001</c:v>
                </c:pt>
                <c:pt idx="672">
                  <c:v>1.3460000000000001</c:v>
                </c:pt>
                <c:pt idx="673">
                  <c:v>1.3480000000000001</c:v>
                </c:pt>
                <c:pt idx="674">
                  <c:v>1.35</c:v>
                </c:pt>
                <c:pt idx="675">
                  <c:v>1.3520000000000001</c:v>
                </c:pt>
                <c:pt idx="676">
                  <c:v>1.3540000000000001</c:v>
                </c:pt>
                <c:pt idx="677">
                  <c:v>1.3560000000000001</c:v>
                </c:pt>
                <c:pt idx="678">
                  <c:v>1.3580000000000001</c:v>
                </c:pt>
                <c:pt idx="679">
                  <c:v>1.36</c:v>
                </c:pt>
                <c:pt idx="680">
                  <c:v>1.3620000000000001</c:v>
                </c:pt>
                <c:pt idx="681">
                  <c:v>1.3640000000000001</c:v>
                </c:pt>
                <c:pt idx="682">
                  <c:v>1.3660000000000001</c:v>
                </c:pt>
                <c:pt idx="683">
                  <c:v>1.3680000000000001</c:v>
                </c:pt>
                <c:pt idx="684">
                  <c:v>1.37</c:v>
                </c:pt>
                <c:pt idx="685">
                  <c:v>1.3720000000000001</c:v>
                </c:pt>
                <c:pt idx="686">
                  <c:v>1.3740000000000001</c:v>
                </c:pt>
                <c:pt idx="687">
                  <c:v>1.3759999999999999</c:v>
                </c:pt>
                <c:pt idx="688">
                  <c:v>1.3779999999999999</c:v>
                </c:pt>
                <c:pt idx="689">
                  <c:v>1.38</c:v>
                </c:pt>
                <c:pt idx="690">
                  <c:v>1.3819999999999999</c:v>
                </c:pt>
                <c:pt idx="691">
                  <c:v>1.3839999999999999</c:v>
                </c:pt>
                <c:pt idx="692">
                  <c:v>1.3859999999999999</c:v>
                </c:pt>
                <c:pt idx="693">
                  <c:v>1.3879999999999999</c:v>
                </c:pt>
                <c:pt idx="694">
                  <c:v>1.39</c:v>
                </c:pt>
                <c:pt idx="695">
                  <c:v>1.3919999999999999</c:v>
                </c:pt>
                <c:pt idx="696">
                  <c:v>1.3939999999999999</c:v>
                </c:pt>
                <c:pt idx="697">
                  <c:v>1.3959999999999999</c:v>
                </c:pt>
                <c:pt idx="698">
                  <c:v>1.3979999999999999</c:v>
                </c:pt>
                <c:pt idx="699">
                  <c:v>1.4</c:v>
                </c:pt>
                <c:pt idx="700">
                  <c:v>1.4019999999999999</c:v>
                </c:pt>
                <c:pt idx="701">
                  <c:v>1.4039999999999999</c:v>
                </c:pt>
                <c:pt idx="702">
                  <c:v>1.4059999999999999</c:v>
                </c:pt>
                <c:pt idx="703">
                  <c:v>1.4079999999999999</c:v>
                </c:pt>
                <c:pt idx="704">
                  <c:v>1.41</c:v>
                </c:pt>
                <c:pt idx="705">
                  <c:v>1.4119999999999999</c:v>
                </c:pt>
                <c:pt idx="706">
                  <c:v>1.4139999999999999</c:v>
                </c:pt>
                <c:pt idx="707">
                  <c:v>1.4159999999999999</c:v>
                </c:pt>
                <c:pt idx="708">
                  <c:v>1.4179999999999999</c:v>
                </c:pt>
                <c:pt idx="709">
                  <c:v>1.42</c:v>
                </c:pt>
                <c:pt idx="710">
                  <c:v>1.4219999999999999</c:v>
                </c:pt>
                <c:pt idx="711">
                  <c:v>1.4239999999999999</c:v>
                </c:pt>
                <c:pt idx="712">
                  <c:v>1.4259999999999999</c:v>
                </c:pt>
                <c:pt idx="713">
                  <c:v>1.4279999999999999</c:v>
                </c:pt>
                <c:pt idx="714">
                  <c:v>1.43</c:v>
                </c:pt>
                <c:pt idx="715">
                  <c:v>1.4319999999999999</c:v>
                </c:pt>
                <c:pt idx="716">
                  <c:v>1.4339999999999999</c:v>
                </c:pt>
                <c:pt idx="717">
                  <c:v>1.4359999999999999</c:v>
                </c:pt>
                <c:pt idx="718">
                  <c:v>1.4379999999999999</c:v>
                </c:pt>
                <c:pt idx="719">
                  <c:v>1.44</c:v>
                </c:pt>
                <c:pt idx="720">
                  <c:v>1.4419999999999999</c:v>
                </c:pt>
                <c:pt idx="721">
                  <c:v>1.444</c:v>
                </c:pt>
                <c:pt idx="722">
                  <c:v>1.446</c:v>
                </c:pt>
                <c:pt idx="723">
                  <c:v>1.448</c:v>
                </c:pt>
                <c:pt idx="724">
                  <c:v>1.45</c:v>
                </c:pt>
                <c:pt idx="725">
                  <c:v>1.452</c:v>
                </c:pt>
                <c:pt idx="726">
                  <c:v>1.454</c:v>
                </c:pt>
                <c:pt idx="727">
                  <c:v>1.456</c:v>
                </c:pt>
                <c:pt idx="728">
                  <c:v>1.458</c:v>
                </c:pt>
                <c:pt idx="729">
                  <c:v>1.46</c:v>
                </c:pt>
                <c:pt idx="730">
                  <c:v>1.462</c:v>
                </c:pt>
                <c:pt idx="731">
                  <c:v>1.464</c:v>
                </c:pt>
                <c:pt idx="732">
                  <c:v>1.466</c:v>
                </c:pt>
                <c:pt idx="733">
                  <c:v>1.468</c:v>
                </c:pt>
                <c:pt idx="734">
                  <c:v>1.47</c:v>
                </c:pt>
                <c:pt idx="735">
                  <c:v>1.472</c:v>
                </c:pt>
                <c:pt idx="736">
                  <c:v>1.474</c:v>
                </c:pt>
                <c:pt idx="737">
                  <c:v>1.476</c:v>
                </c:pt>
                <c:pt idx="738">
                  <c:v>1.478</c:v>
                </c:pt>
                <c:pt idx="739">
                  <c:v>1.48</c:v>
                </c:pt>
                <c:pt idx="740">
                  <c:v>1.482</c:v>
                </c:pt>
                <c:pt idx="741">
                  <c:v>1.484</c:v>
                </c:pt>
                <c:pt idx="742">
                  <c:v>1.486</c:v>
                </c:pt>
                <c:pt idx="743">
                  <c:v>1.488</c:v>
                </c:pt>
                <c:pt idx="744">
                  <c:v>1.49</c:v>
                </c:pt>
                <c:pt idx="745">
                  <c:v>1.492</c:v>
                </c:pt>
                <c:pt idx="746">
                  <c:v>1.494</c:v>
                </c:pt>
                <c:pt idx="747">
                  <c:v>1.496</c:v>
                </c:pt>
                <c:pt idx="748">
                  <c:v>1.498</c:v>
                </c:pt>
                <c:pt idx="749">
                  <c:v>1.5</c:v>
                </c:pt>
                <c:pt idx="750">
                  <c:v>1.502</c:v>
                </c:pt>
                <c:pt idx="751">
                  <c:v>1.504</c:v>
                </c:pt>
                <c:pt idx="752">
                  <c:v>1.506</c:v>
                </c:pt>
                <c:pt idx="753">
                  <c:v>1.508</c:v>
                </c:pt>
                <c:pt idx="754">
                  <c:v>1.51</c:v>
                </c:pt>
                <c:pt idx="755">
                  <c:v>1.512</c:v>
                </c:pt>
                <c:pt idx="756">
                  <c:v>1.514</c:v>
                </c:pt>
                <c:pt idx="757">
                  <c:v>1.516</c:v>
                </c:pt>
                <c:pt idx="758">
                  <c:v>1.518</c:v>
                </c:pt>
                <c:pt idx="759">
                  <c:v>1.52</c:v>
                </c:pt>
                <c:pt idx="760">
                  <c:v>1.522</c:v>
                </c:pt>
                <c:pt idx="761">
                  <c:v>1.524</c:v>
                </c:pt>
                <c:pt idx="762">
                  <c:v>1.526</c:v>
                </c:pt>
                <c:pt idx="763">
                  <c:v>1.528</c:v>
                </c:pt>
                <c:pt idx="764">
                  <c:v>1.53</c:v>
                </c:pt>
                <c:pt idx="765">
                  <c:v>1.532</c:v>
                </c:pt>
                <c:pt idx="766">
                  <c:v>1.534</c:v>
                </c:pt>
                <c:pt idx="767">
                  <c:v>1.536</c:v>
                </c:pt>
                <c:pt idx="768">
                  <c:v>1.538</c:v>
                </c:pt>
                <c:pt idx="769">
                  <c:v>1.54</c:v>
                </c:pt>
                <c:pt idx="770">
                  <c:v>1.542</c:v>
                </c:pt>
                <c:pt idx="771">
                  <c:v>1.544</c:v>
                </c:pt>
                <c:pt idx="772">
                  <c:v>1.546</c:v>
                </c:pt>
                <c:pt idx="773">
                  <c:v>1.548</c:v>
                </c:pt>
                <c:pt idx="774">
                  <c:v>1.55</c:v>
                </c:pt>
                <c:pt idx="775">
                  <c:v>1.552</c:v>
                </c:pt>
                <c:pt idx="776">
                  <c:v>1.554</c:v>
                </c:pt>
                <c:pt idx="777">
                  <c:v>1.556</c:v>
                </c:pt>
                <c:pt idx="778">
                  <c:v>1.5580000000000001</c:v>
                </c:pt>
                <c:pt idx="779">
                  <c:v>1.56</c:v>
                </c:pt>
                <c:pt idx="780">
                  <c:v>1.5620000000000001</c:v>
                </c:pt>
                <c:pt idx="781">
                  <c:v>1.5640000000000001</c:v>
                </c:pt>
                <c:pt idx="782">
                  <c:v>1.5660000000000001</c:v>
                </c:pt>
                <c:pt idx="783">
                  <c:v>1.5680000000000001</c:v>
                </c:pt>
                <c:pt idx="784">
                  <c:v>1.57</c:v>
                </c:pt>
                <c:pt idx="785">
                  <c:v>1.5720000000000001</c:v>
                </c:pt>
                <c:pt idx="786">
                  <c:v>1.5740000000000001</c:v>
                </c:pt>
                <c:pt idx="787">
                  <c:v>1.5760000000000001</c:v>
                </c:pt>
                <c:pt idx="788">
                  <c:v>1.5780000000000001</c:v>
                </c:pt>
                <c:pt idx="789">
                  <c:v>1.58</c:v>
                </c:pt>
                <c:pt idx="790">
                  <c:v>1.5820000000000001</c:v>
                </c:pt>
                <c:pt idx="791">
                  <c:v>1.5840000000000001</c:v>
                </c:pt>
                <c:pt idx="792">
                  <c:v>1.5860000000000001</c:v>
                </c:pt>
                <c:pt idx="793">
                  <c:v>1.5880000000000001</c:v>
                </c:pt>
                <c:pt idx="794">
                  <c:v>1.59</c:v>
                </c:pt>
                <c:pt idx="795">
                  <c:v>1.5920000000000001</c:v>
                </c:pt>
                <c:pt idx="796">
                  <c:v>1.5940000000000001</c:v>
                </c:pt>
                <c:pt idx="797">
                  <c:v>1.5960000000000001</c:v>
                </c:pt>
                <c:pt idx="798">
                  <c:v>1.5980000000000001</c:v>
                </c:pt>
                <c:pt idx="799">
                  <c:v>1.6</c:v>
                </c:pt>
                <c:pt idx="800">
                  <c:v>1.6020000000000001</c:v>
                </c:pt>
                <c:pt idx="801">
                  <c:v>1.6040000000000001</c:v>
                </c:pt>
                <c:pt idx="802">
                  <c:v>1.6060000000000001</c:v>
                </c:pt>
                <c:pt idx="803">
                  <c:v>1.6080000000000001</c:v>
                </c:pt>
                <c:pt idx="804">
                  <c:v>1.61</c:v>
                </c:pt>
                <c:pt idx="805">
                  <c:v>1.6120000000000001</c:v>
                </c:pt>
                <c:pt idx="806">
                  <c:v>1.6140000000000001</c:v>
                </c:pt>
                <c:pt idx="807">
                  <c:v>1.6160000000000001</c:v>
                </c:pt>
                <c:pt idx="808">
                  <c:v>1.6180000000000001</c:v>
                </c:pt>
                <c:pt idx="809">
                  <c:v>1.62</c:v>
                </c:pt>
                <c:pt idx="810">
                  <c:v>1.6220000000000001</c:v>
                </c:pt>
                <c:pt idx="811">
                  <c:v>1.6240000000000001</c:v>
                </c:pt>
                <c:pt idx="812">
                  <c:v>1.6259999999999999</c:v>
                </c:pt>
                <c:pt idx="813">
                  <c:v>1.6279999999999999</c:v>
                </c:pt>
                <c:pt idx="814">
                  <c:v>1.63</c:v>
                </c:pt>
                <c:pt idx="815">
                  <c:v>1.6319999999999999</c:v>
                </c:pt>
                <c:pt idx="816">
                  <c:v>1.6339999999999999</c:v>
                </c:pt>
                <c:pt idx="817">
                  <c:v>1.6359999999999999</c:v>
                </c:pt>
                <c:pt idx="818">
                  <c:v>1.6379999999999999</c:v>
                </c:pt>
                <c:pt idx="819">
                  <c:v>1.64</c:v>
                </c:pt>
                <c:pt idx="820">
                  <c:v>1.6419999999999999</c:v>
                </c:pt>
                <c:pt idx="821">
                  <c:v>1.6439999999999999</c:v>
                </c:pt>
                <c:pt idx="822">
                  <c:v>1.6459999999999999</c:v>
                </c:pt>
                <c:pt idx="823">
                  <c:v>1.6479999999999999</c:v>
                </c:pt>
                <c:pt idx="824">
                  <c:v>1.65</c:v>
                </c:pt>
                <c:pt idx="825">
                  <c:v>1.6519999999999999</c:v>
                </c:pt>
                <c:pt idx="826">
                  <c:v>1.6539999999999999</c:v>
                </c:pt>
                <c:pt idx="827">
                  <c:v>1.6559999999999999</c:v>
                </c:pt>
                <c:pt idx="828">
                  <c:v>1.6579999999999999</c:v>
                </c:pt>
                <c:pt idx="829">
                  <c:v>1.66</c:v>
                </c:pt>
                <c:pt idx="830">
                  <c:v>1.6619999999999999</c:v>
                </c:pt>
                <c:pt idx="831">
                  <c:v>1.6639999999999999</c:v>
                </c:pt>
                <c:pt idx="832">
                  <c:v>1.6659999999999999</c:v>
                </c:pt>
                <c:pt idx="833">
                  <c:v>1.6679999999999999</c:v>
                </c:pt>
                <c:pt idx="834">
                  <c:v>1.67</c:v>
                </c:pt>
                <c:pt idx="835">
                  <c:v>1.6719999999999999</c:v>
                </c:pt>
                <c:pt idx="836">
                  <c:v>1.6739999999999999</c:v>
                </c:pt>
                <c:pt idx="837">
                  <c:v>1.6759999999999999</c:v>
                </c:pt>
                <c:pt idx="838">
                  <c:v>1.6779999999999999</c:v>
                </c:pt>
                <c:pt idx="839">
                  <c:v>1.68</c:v>
                </c:pt>
                <c:pt idx="840">
                  <c:v>1.6819999999999999</c:v>
                </c:pt>
                <c:pt idx="841">
                  <c:v>1.6839999999999999</c:v>
                </c:pt>
                <c:pt idx="842">
                  <c:v>1.6859999999999999</c:v>
                </c:pt>
                <c:pt idx="843">
                  <c:v>1.6879999999999999</c:v>
                </c:pt>
                <c:pt idx="844">
                  <c:v>1.69</c:v>
                </c:pt>
                <c:pt idx="845">
                  <c:v>1.6919999999999999</c:v>
                </c:pt>
                <c:pt idx="846">
                  <c:v>1.694</c:v>
                </c:pt>
                <c:pt idx="847">
                  <c:v>1.696</c:v>
                </c:pt>
                <c:pt idx="848">
                  <c:v>1.698</c:v>
                </c:pt>
                <c:pt idx="849">
                  <c:v>1.7</c:v>
                </c:pt>
                <c:pt idx="850">
                  <c:v>1.702</c:v>
                </c:pt>
                <c:pt idx="851">
                  <c:v>1.704</c:v>
                </c:pt>
                <c:pt idx="852">
                  <c:v>1.706</c:v>
                </c:pt>
                <c:pt idx="853">
                  <c:v>1.708</c:v>
                </c:pt>
                <c:pt idx="854">
                  <c:v>1.71</c:v>
                </c:pt>
                <c:pt idx="855">
                  <c:v>1.712</c:v>
                </c:pt>
                <c:pt idx="856">
                  <c:v>1.714</c:v>
                </c:pt>
                <c:pt idx="857">
                  <c:v>1.716</c:v>
                </c:pt>
                <c:pt idx="858">
                  <c:v>1.718</c:v>
                </c:pt>
                <c:pt idx="859">
                  <c:v>1.72</c:v>
                </c:pt>
                <c:pt idx="860">
                  <c:v>1.722</c:v>
                </c:pt>
                <c:pt idx="861">
                  <c:v>1.724</c:v>
                </c:pt>
                <c:pt idx="862">
                  <c:v>1.726</c:v>
                </c:pt>
                <c:pt idx="863">
                  <c:v>1.728</c:v>
                </c:pt>
                <c:pt idx="864">
                  <c:v>1.73</c:v>
                </c:pt>
                <c:pt idx="865">
                  <c:v>1.732</c:v>
                </c:pt>
                <c:pt idx="866">
                  <c:v>1.734</c:v>
                </c:pt>
                <c:pt idx="867">
                  <c:v>1.736</c:v>
                </c:pt>
                <c:pt idx="868">
                  <c:v>1.738</c:v>
                </c:pt>
                <c:pt idx="869">
                  <c:v>1.74</c:v>
                </c:pt>
                <c:pt idx="870">
                  <c:v>1.742</c:v>
                </c:pt>
                <c:pt idx="871">
                  <c:v>1.744</c:v>
                </c:pt>
                <c:pt idx="872">
                  <c:v>1.746</c:v>
                </c:pt>
                <c:pt idx="873">
                  <c:v>1.748</c:v>
                </c:pt>
                <c:pt idx="874">
                  <c:v>1.75</c:v>
                </c:pt>
                <c:pt idx="875">
                  <c:v>1.752</c:v>
                </c:pt>
                <c:pt idx="876">
                  <c:v>1.754</c:v>
                </c:pt>
                <c:pt idx="877">
                  <c:v>1.756</c:v>
                </c:pt>
                <c:pt idx="878">
                  <c:v>1.758</c:v>
                </c:pt>
                <c:pt idx="879">
                  <c:v>1.76</c:v>
                </c:pt>
                <c:pt idx="880">
                  <c:v>1.762</c:v>
                </c:pt>
                <c:pt idx="881">
                  <c:v>1.764</c:v>
                </c:pt>
                <c:pt idx="882">
                  <c:v>1.766</c:v>
                </c:pt>
                <c:pt idx="883">
                  <c:v>1.768</c:v>
                </c:pt>
                <c:pt idx="884">
                  <c:v>1.77</c:v>
                </c:pt>
                <c:pt idx="885">
                  <c:v>1.772</c:v>
                </c:pt>
                <c:pt idx="886">
                  <c:v>1.774</c:v>
                </c:pt>
                <c:pt idx="887">
                  <c:v>1.776</c:v>
                </c:pt>
                <c:pt idx="888">
                  <c:v>1.778</c:v>
                </c:pt>
                <c:pt idx="889">
                  <c:v>1.78</c:v>
                </c:pt>
                <c:pt idx="890">
                  <c:v>1.782</c:v>
                </c:pt>
                <c:pt idx="891">
                  <c:v>1.784</c:v>
                </c:pt>
                <c:pt idx="892">
                  <c:v>1.786</c:v>
                </c:pt>
                <c:pt idx="893">
                  <c:v>1.788</c:v>
                </c:pt>
                <c:pt idx="894">
                  <c:v>1.79</c:v>
                </c:pt>
                <c:pt idx="895">
                  <c:v>1.792</c:v>
                </c:pt>
                <c:pt idx="896">
                  <c:v>1.794</c:v>
                </c:pt>
                <c:pt idx="897">
                  <c:v>1.796</c:v>
                </c:pt>
                <c:pt idx="898">
                  <c:v>1.798</c:v>
                </c:pt>
                <c:pt idx="899">
                  <c:v>1.8</c:v>
                </c:pt>
                <c:pt idx="900">
                  <c:v>1.802</c:v>
                </c:pt>
                <c:pt idx="901">
                  <c:v>1.804</c:v>
                </c:pt>
                <c:pt idx="902">
                  <c:v>1.806</c:v>
                </c:pt>
                <c:pt idx="903">
                  <c:v>1.8080000000000001</c:v>
                </c:pt>
                <c:pt idx="904">
                  <c:v>1.81</c:v>
                </c:pt>
                <c:pt idx="905">
                  <c:v>1.8120000000000001</c:v>
                </c:pt>
                <c:pt idx="906">
                  <c:v>1.8140000000000001</c:v>
                </c:pt>
                <c:pt idx="907">
                  <c:v>1.8160000000000001</c:v>
                </c:pt>
                <c:pt idx="908">
                  <c:v>1.8180000000000001</c:v>
                </c:pt>
                <c:pt idx="909">
                  <c:v>1.82</c:v>
                </c:pt>
                <c:pt idx="910">
                  <c:v>1.8220000000000001</c:v>
                </c:pt>
                <c:pt idx="911">
                  <c:v>1.8240000000000001</c:v>
                </c:pt>
                <c:pt idx="912">
                  <c:v>1.8260000000000001</c:v>
                </c:pt>
                <c:pt idx="913">
                  <c:v>1.8280000000000001</c:v>
                </c:pt>
                <c:pt idx="914">
                  <c:v>1.83</c:v>
                </c:pt>
                <c:pt idx="915">
                  <c:v>1.8320000000000001</c:v>
                </c:pt>
                <c:pt idx="916">
                  <c:v>1.8340000000000001</c:v>
                </c:pt>
                <c:pt idx="917">
                  <c:v>1.8360000000000001</c:v>
                </c:pt>
                <c:pt idx="918">
                  <c:v>1.8380000000000001</c:v>
                </c:pt>
                <c:pt idx="919">
                  <c:v>1.84</c:v>
                </c:pt>
                <c:pt idx="920">
                  <c:v>1.8420000000000001</c:v>
                </c:pt>
                <c:pt idx="921">
                  <c:v>1.8440000000000001</c:v>
                </c:pt>
                <c:pt idx="922">
                  <c:v>1.8460000000000001</c:v>
                </c:pt>
                <c:pt idx="923">
                  <c:v>1.8480000000000001</c:v>
                </c:pt>
                <c:pt idx="924">
                  <c:v>1.85</c:v>
                </c:pt>
                <c:pt idx="925">
                  <c:v>1.8520000000000001</c:v>
                </c:pt>
                <c:pt idx="926">
                  <c:v>1.8540000000000001</c:v>
                </c:pt>
                <c:pt idx="927">
                  <c:v>1.8560000000000001</c:v>
                </c:pt>
                <c:pt idx="928">
                  <c:v>1.8580000000000001</c:v>
                </c:pt>
                <c:pt idx="929">
                  <c:v>1.86</c:v>
                </c:pt>
                <c:pt idx="930">
                  <c:v>1.8620000000000001</c:v>
                </c:pt>
                <c:pt idx="931">
                  <c:v>1.8640000000000001</c:v>
                </c:pt>
                <c:pt idx="932">
                  <c:v>1.8660000000000001</c:v>
                </c:pt>
                <c:pt idx="933">
                  <c:v>1.8680000000000001</c:v>
                </c:pt>
                <c:pt idx="934">
                  <c:v>1.87</c:v>
                </c:pt>
                <c:pt idx="935">
                  <c:v>1.8720000000000001</c:v>
                </c:pt>
                <c:pt idx="936">
                  <c:v>1.8740000000000001</c:v>
                </c:pt>
                <c:pt idx="937">
                  <c:v>1.8759999999999999</c:v>
                </c:pt>
                <c:pt idx="938">
                  <c:v>1.8779999999999999</c:v>
                </c:pt>
                <c:pt idx="939">
                  <c:v>1.88</c:v>
                </c:pt>
                <c:pt idx="940">
                  <c:v>1.8819999999999999</c:v>
                </c:pt>
                <c:pt idx="941">
                  <c:v>1.8839999999999999</c:v>
                </c:pt>
                <c:pt idx="942">
                  <c:v>1.8859999999999999</c:v>
                </c:pt>
                <c:pt idx="943">
                  <c:v>1.8879999999999999</c:v>
                </c:pt>
                <c:pt idx="944">
                  <c:v>1.89</c:v>
                </c:pt>
                <c:pt idx="945">
                  <c:v>1.8919999999999999</c:v>
                </c:pt>
                <c:pt idx="946">
                  <c:v>1.8939999999999999</c:v>
                </c:pt>
                <c:pt idx="947">
                  <c:v>1.8959999999999999</c:v>
                </c:pt>
                <c:pt idx="948">
                  <c:v>1.8979999999999999</c:v>
                </c:pt>
                <c:pt idx="949">
                  <c:v>1.9</c:v>
                </c:pt>
                <c:pt idx="950">
                  <c:v>1.9019999999999999</c:v>
                </c:pt>
                <c:pt idx="951">
                  <c:v>1.9039999999999999</c:v>
                </c:pt>
                <c:pt idx="952">
                  <c:v>1.9059999999999999</c:v>
                </c:pt>
                <c:pt idx="953">
                  <c:v>1.9079999999999999</c:v>
                </c:pt>
                <c:pt idx="954">
                  <c:v>1.91</c:v>
                </c:pt>
                <c:pt idx="955">
                  <c:v>1.9119999999999999</c:v>
                </c:pt>
                <c:pt idx="956">
                  <c:v>1.9139999999999999</c:v>
                </c:pt>
                <c:pt idx="957">
                  <c:v>1.9159999999999999</c:v>
                </c:pt>
                <c:pt idx="958">
                  <c:v>1.9179999999999999</c:v>
                </c:pt>
                <c:pt idx="959">
                  <c:v>1.92</c:v>
                </c:pt>
                <c:pt idx="960">
                  <c:v>1.9219999999999999</c:v>
                </c:pt>
                <c:pt idx="961">
                  <c:v>1.9239999999999999</c:v>
                </c:pt>
                <c:pt idx="962">
                  <c:v>1.9259999999999999</c:v>
                </c:pt>
                <c:pt idx="963">
                  <c:v>1.9279999999999999</c:v>
                </c:pt>
                <c:pt idx="964">
                  <c:v>1.93</c:v>
                </c:pt>
                <c:pt idx="965">
                  <c:v>1.9319999999999999</c:v>
                </c:pt>
                <c:pt idx="966">
                  <c:v>1.9339999999999999</c:v>
                </c:pt>
                <c:pt idx="967">
                  <c:v>1.9359999999999999</c:v>
                </c:pt>
                <c:pt idx="968">
                  <c:v>1.9379999999999999</c:v>
                </c:pt>
                <c:pt idx="969">
                  <c:v>1.94</c:v>
                </c:pt>
                <c:pt idx="970">
                  <c:v>1.9419999999999999</c:v>
                </c:pt>
                <c:pt idx="971">
                  <c:v>1.944</c:v>
                </c:pt>
                <c:pt idx="972">
                  <c:v>1.946</c:v>
                </c:pt>
                <c:pt idx="973">
                  <c:v>1.948</c:v>
                </c:pt>
                <c:pt idx="974">
                  <c:v>1.95</c:v>
                </c:pt>
                <c:pt idx="975">
                  <c:v>1.952</c:v>
                </c:pt>
                <c:pt idx="976">
                  <c:v>1.954</c:v>
                </c:pt>
                <c:pt idx="977">
                  <c:v>1.956</c:v>
                </c:pt>
                <c:pt idx="978">
                  <c:v>1.958</c:v>
                </c:pt>
                <c:pt idx="979">
                  <c:v>1.96</c:v>
                </c:pt>
                <c:pt idx="980">
                  <c:v>1.962</c:v>
                </c:pt>
                <c:pt idx="981">
                  <c:v>1.964</c:v>
                </c:pt>
                <c:pt idx="982">
                  <c:v>1.966</c:v>
                </c:pt>
                <c:pt idx="983">
                  <c:v>1.968</c:v>
                </c:pt>
                <c:pt idx="984">
                  <c:v>1.97</c:v>
                </c:pt>
                <c:pt idx="985">
                  <c:v>1.972</c:v>
                </c:pt>
                <c:pt idx="986">
                  <c:v>1.974</c:v>
                </c:pt>
                <c:pt idx="987">
                  <c:v>1.976</c:v>
                </c:pt>
                <c:pt idx="988">
                  <c:v>1.978</c:v>
                </c:pt>
                <c:pt idx="989">
                  <c:v>1.98</c:v>
                </c:pt>
                <c:pt idx="990">
                  <c:v>1.982</c:v>
                </c:pt>
                <c:pt idx="991">
                  <c:v>1.984</c:v>
                </c:pt>
                <c:pt idx="992">
                  <c:v>1.986</c:v>
                </c:pt>
                <c:pt idx="993">
                  <c:v>1.988</c:v>
                </c:pt>
                <c:pt idx="994">
                  <c:v>1.99</c:v>
                </c:pt>
                <c:pt idx="995">
                  <c:v>1.992</c:v>
                </c:pt>
                <c:pt idx="996">
                  <c:v>1.994</c:v>
                </c:pt>
                <c:pt idx="997">
                  <c:v>1.996</c:v>
                </c:pt>
                <c:pt idx="998">
                  <c:v>1.998</c:v>
                </c:pt>
                <c:pt idx="999">
                  <c:v>2</c:v>
                </c:pt>
                <c:pt idx="1000">
                  <c:v>2.0019999999999998</c:v>
                </c:pt>
                <c:pt idx="1001">
                  <c:v>2.004</c:v>
                </c:pt>
                <c:pt idx="1002">
                  <c:v>2.0059999999999998</c:v>
                </c:pt>
                <c:pt idx="1003">
                  <c:v>2.008</c:v>
                </c:pt>
                <c:pt idx="1004">
                  <c:v>2.0099999999999998</c:v>
                </c:pt>
                <c:pt idx="1005">
                  <c:v>2.012</c:v>
                </c:pt>
                <c:pt idx="1006">
                  <c:v>2.0139999999999998</c:v>
                </c:pt>
                <c:pt idx="1007">
                  <c:v>2.016</c:v>
                </c:pt>
                <c:pt idx="1008">
                  <c:v>2.0179999999999998</c:v>
                </c:pt>
                <c:pt idx="1009">
                  <c:v>2.02</c:v>
                </c:pt>
                <c:pt idx="1010">
                  <c:v>2.0219999999999998</c:v>
                </c:pt>
                <c:pt idx="1011">
                  <c:v>2.024</c:v>
                </c:pt>
                <c:pt idx="1012">
                  <c:v>2.0259999999999998</c:v>
                </c:pt>
                <c:pt idx="1013">
                  <c:v>2.028</c:v>
                </c:pt>
                <c:pt idx="1014">
                  <c:v>2.0299999999999998</c:v>
                </c:pt>
                <c:pt idx="1015">
                  <c:v>2.032</c:v>
                </c:pt>
                <c:pt idx="1016">
                  <c:v>2.0339999999999998</c:v>
                </c:pt>
                <c:pt idx="1017">
                  <c:v>2.036</c:v>
                </c:pt>
                <c:pt idx="1018">
                  <c:v>2.0379999999999998</c:v>
                </c:pt>
                <c:pt idx="1019">
                  <c:v>2.04</c:v>
                </c:pt>
                <c:pt idx="1020">
                  <c:v>2.0419999999999998</c:v>
                </c:pt>
                <c:pt idx="1021">
                  <c:v>2.044</c:v>
                </c:pt>
                <c:pt idx="1022">
                  <c:v>2.0459999999999998</c:v>
                </c:pt>
                <c:pt idx="1023">
                  <c:v>2.048</c:v>
                </c:pt>
                <c:pt idx="1024">
                  <c:v>2.0499999999999998</c:v>
                </c:pt>
                <c:pt idx="1025">
                  <c:v>2.052</c:v>
                </c:pt>
                <c:pt idx="1026">
                  <c:v>2.0539999999999998</c:v>
                </c:pt>
                <c:pt idx="1027">
                  <c:v>2.056</c:v>
                </c:pt>
                <c:pt idx="1028">
                  <c:v>2.0579999999999998</c:v>
                </c:pt>
                <c:pt idx="1029">
                  <c:v>2.06</c:v>
                </c:pt>
                <c:pt idx="1030">
                  <c:v>2.0619999999999998</c:v>
                </c:pt>
                <c:pt idx="1031">
                  <c:v>2.0640000000000001</c:v>
                </c:pt>
                <c:pt idx="1032">
                  <c:v>2.0659999999999998</c:v>
                </c:pt>
                <c:pt idx="1033">
                  <c:v>2.0680000000000001</c:v>
                </c:pt>
                <c:pt idx="1034">
                  <c:v>2.0699999999999998</c:v>
                </c:pt>
                <c:pt idx="1035">
                  <c:v>2.0720000000000001</c:v>
                </c:pt>
                <c:pt idx="1036">
                  <c:v>2.0739999999999998</c:v>
                </c:pt>
                <c:pt idx="1037">
                  <c:v>2.0760000000000001</c:v>
                </c:pt>
                <c:pt idx="1038">
                  <c:v>2.0779999999999998</c:v>
                </c:pt>
                <c:pt idx="1039">
                  <c:v>2.08</c:v>
                </c:pt>
                <c:pt idx="1040">
                  <c:v>2.0819999999999999</c:v>
                </c:pt>
                <c:pt idx="1041">
                  <c:v>2.0840000000000001</c:v>
                </c:pt>
                <c:pt idx="1042">
                  <c:v>2.0859999999999999</c:v>
                </c:pt>
                <c:pt idx="1043">
                  <c:v>2.0880000000000001</c:v>
                </c:pt>
                <c:pt idx="1044">
                  <c:v>2.09</c:v>
                </c:pt>
                <c:pt idx="1045">
                  <c:v>2.0920000000000001</c:v>
                </c:pt>
                <c:pt idx="1046">
                  <c:v>2.0939999999999999</c:v>
                </c:pt>
                <c:pt idx="1047">
                  <c:v>2.0960000000000001</c:v>
                </c:pt>
                <c:pt idx="1048">
                  <c:v>2.0979999999999999</c:v>
                </c:pt>
                <c:pt idx="1049">
                  <c:v>2.1</c:v>
                </c:pt>
                <c:pt idx="1050">
                  <c:v>2.1019999999999999</c:v>
                </c:pt>
                <c:pt idx="1051">
                  <c:v>2.1040000000000001</c:v>
                </c:pt>
                <c:pt idx="1052">
                  <c:v>2.1059999999999999</c:v>
                </c:pt>
                <c:pt idx="1053">
                  <c:v>2.1080000000000001</c:v>
                </c:pt>
                <c:pt idx="1054">
                  <c:v>2.11</c:v>
                </c:pt>
                <c:pt idx="1055">
                  <c:v>2.1120000000000001</c:v>
                </c:pt>
                <c:pt idx="1056">
                  <c:v>2.1139999999999999</c:v>
                </c:pt>
                <c:pt idx="1057">
                  <c:v>2.1160000000000001</c:v>
                </c:pt>
                <c:pt idx="1058">
                  <c:v>2.1179999999999999</c:v>
                </c:pt>
                <c:pt idx="1059">
                  <c:v>2.12</c:v>
                </c:pt>
                <c:pt idx="1060">
                  <c:v>2.1219999999999999</c:v>
                </c:pt>
                <c:pt idx="1061">
                  <c:v>2.1240000000000001</c:v>
                </c:pt>
                <c:pt idx="1062">
                  <c:v>2.1259999999999999</c:v>
                </c:pt>
                <c:pt idx="1063">
                  <c:v>2.1280000000000001</c:v>
                </c:pt>
                <c:pt idx="1064">
                  <c:v>2.13</c:v>
                </c:pt>
                <c:pt idx="1065">
                  <c:v>2.1320000000000001</c:v>
                </c:pt>
                <c:pt idx="1066">
                  <c:v>2.1339999999999999</c:v>
                </c:pt>
                <c:pt idx="1067">
                  <c:v>2.1360000000000001</c:v>
                </c:pt>
                <c:pt idx="1068">
                  <c:v>2.1379999999999999</c:v>
                </c:pt>
                <c:pt idx="1069">
                  <c:v>2.14</c:v>
                </c:pt>
                <c:pt idx="1070">
                  <c:v>2.1419999999999999</c:v>
                </c:pt>
                <c:pt idx="1071">
                  <c:v>2.1440000000000001</c:v>
                </c:pt>
                <c:pt idx="1072">
                  <c:v>2.1459999999999999</c:v>
                </c:pt>
                <c:pt idx="1073">
                  <c:v>2.1480000000000001</c:v>
                </c:pt>
                <c:pt idx="1074">
                  <c:v>2.15</c:v>
                </c:pt>
                <c:pt idx="1075">
                  <c:v>2.1520000000000001</c:v>
                </c:pt>
                <c:pt idx="1076">
                  <c:v>2.1539999999999999</c:v>
                </c:pt>
                <c:pt idx="1077">
                  <c:v>2.1560000000000001</c:v>
                </c:pt>
                <c:pt idx="1078">
                  <c:v>2.1579999999999999</c:v>
                </c:pt>
                <c:pt idx="1079">
                  <c:v>2.16</c:v>
                </c:pt>
                <c:pt idx="1080">
                  <c:v>2.1619999999999999</c:v>
                </c:pt>
                <c:pt idx="1081">
                  <c:v>2.1640000000000001</c:v>
                </c:pt>
                <c:pt idx="1082">
                  <c:v>2.1659999999999999</c:v>
                </c:pt>
                <c:pt idx="1083">
                  <c:v>2.1680000000000001</c:v>
                </c:pt>
                <c:pt idx="1084">
                  <c:v>2.17</c:v>
                </c:pt>
                <c:pt idx="1085">
                  <c:v>2.1720000000000002</c:v>
                </c:pt>
                <c:pt idx="1086">
                  <c:v>2.1739999999999999</c:v>
                </c:pt>
                <c:pt idx="1087">
                  <c:v>2.1760000000000002</c:v>
                </c:pt>
                <c:pt idx="1088">
                  <c:v>2.1779999999999999</c:v>
                </c:pt>
                <c:pt idx="1089">
                  <c:v>2.1800000000000002</c:v>
                </c:pt>
                <c:pt idx="1090">
                  <c:v>2.1819999999999999</c:v>
                </c:pt>
                <c:pt idx="1091">
                  <c:v>2.1840000000000002</c:v>
                </c:pt>
                <c:pt idx="1092">
                  <c:v>2.1859999999999999</c:v>
                </c:pt>
                <c:pt idx="1093">
                  <c:v>2.1880000000000002</c:v>
                </c:pt>
                <c:pt idx="1094">
                  <c:v>2.19</c:v>
                </c:pt>
                <c:pt idx="1095">
                  <c:v>2.1920000000000002</c:v>
                </c:pt>
                <c:pt idx="1096">
                  <c:v>2.194</c:v>
                </c:pt>
                <c:pt idx="1097">
                  <c:v>2.1960000000000002</c:v>
                </c:pt>
                <c:pt idx="1098">
                  <c:v>2.198</c:v>
                </c:pt>
                <c:pt idx="1099">
                  <c:v>2.2000000000000002</c:v>
                </c:pt>
                <c:pt idx="1100">
                  <c:v>2.202</c:v>
                </c:pt>
                <c:pt idx="1101">
                  <c:v>2.2040000000000002</c:v>
                </c:pt>
                <c:pt idx="1102">
                  <c:v>2.206</c:v>
                </c:pt>
                <c:pt idx="1103">
                  <c:v>2.2080000000000002</c:v>
                </c:pt>
                <c:pt idx="1104">
                  <c:v>2.21</c:v>
                </c:pt>
                <c:pt idx="1105">
                  <c:v>2.2120000000000002</c:v>
                </c:pt>
                <c:pt idx="1106">
                  <c:v>2.214</c:v>
                </c:pt>
                <c:pt idx="1107">
                  <c:v>2.2160000000000002</c:v>
                </c:pt>
                <c:pt idx="1108">
                  <c:v>2.218</c:v>
                </c:pt>
                <c:pt idx="1109">
                  <c:v>2.2200000000000002</c:v>
                </c:pt>
                <c:pt idx="1110">
                  <c:v>2.222</c:v>
                </c:pt>
                <c:pt idx="1111">
                  <c:v>2.2240000000000002</c:v>
                </c:pt>
                <c:pt idx="1112">
                  <c:v>2.226</c:v>
                </c:pt>
                <c:pt idx="1113">
                  <c:v>2.2280000000000002</c:v>
                </c:pt>
                <c:pt idx="1114">
                  <c:v>2.23</c:v>
                </c:pt>
                <c:pt idx="1115">
                  <c:v>2.2320000000000002</c:v>
                </c:pt>
                <c:pt idx="1116">
                  <c:v>2.234</c:v>
                </c:pt>
                <c:pt idx="1117">
                  <c:v>2.2360000000000002</c:v>
                </c:pt>
                <c:pt idx="1118">
                  <c:v>2.238</c:v>
                </c:pt>
                <c:pt idx="1119">
                  <c:v>2.2400000000000002</c:v>
                </c:pt>
                <c:pt idx="1120">
                  <c:v>2.242</c:v>
                </c:pt>
                <c:pt idx="1121">
                  <c:v>2.2440000000000002</c:v>
                </c:pt>
                <c:pt idx="1122">
                  <c:v>2.246</c:v>
                </c:pt>
                <c:pt idx="1123">
                  <c:v>2.2480000000000002</c:v>
                </c:pt>
                <c:pt idx="1124">
                  <c:v>2.25</c:v>
                </c:pt>
                <c:pt idx="1125">
                  <c:v>2.2519999999999998</c:v>
                </c:pt>
                <c:pt idx="1126">
                  <c:v>2.254</c:v>
                </c:pt>
                <c:pt idx="1127">
                  <c:v>2.2559999999999998</c:v>
                </c:pt>
                <c:pt idx="1128">
                  <c:v>2.258</c:v>
                </c:pt>
                <c:pt idx="1129">
                  <c:v>2.2599999999999998</c:v>
                </c:pt>
                <c:pt idx="1130">
                  <c:v>2.262</c:v>
                </c:pt>
                <c:pt idx="1131">
                  <c:v>2.2639999999999998</c:v>
                </c:pt>
                <c:pt idx="1132">
                  <c:v>2.266</c:v>
                </c:pt>
                <c:pt idx="1133">
                  <c:v>2.2679999999999998</c:v>
                </c:pt>
                <c:pt idx="1134">
                  <c:v>2.27</c:v>
                </c:pt>
                <c:pt idx="1135">
                  <c:v>2.2719999999999998</c:v>
                </c:pt>
                <c:pt idx="1136">
                  <c:v>2.274</c:v>
                </c:pt>
                <c:pt idx="1137">
                  <c:v>2.2759999999999998</c:v>
                </c:pt>
                <c:pt idx="1138">
                  <c:v>2.278</c:v>
                </c:pt>
                <c:pt idx="1139">
                  <c:v>2.2799999999999998</c:v>
                </c:pt>
                <c:pt idx="1140">
                  <c:v>2.282</c:v>
                </c:pt>
                <c:pt idx="1141">
                  <c:v>2.2839999999999998</c:v>
                </c:pt>
                <c:pt idx="1142">
                  <c:v>2.286</c:v>
                </c:pt>
                <c:pt idx="1143">
                  <c:v>2.2879999999999998</c:v>
                </c:pt>
                <c:pt idx="1144">
                  <c:v>2.29</c:v>
                </c:pt>
                <c:pt idx="1145">
                  <c:v>2.2919999999999998</c:v>
                </c:pt>
                <c:pt idx="1146">
                  <c:v>2.294</c:v>
                </c:pt>
                <c:pt idx="1147">
                  <c:v>2.2959999999999998</c:v>
                </c:pt>
                <c:pt idx="1148">
                  <c:v>2.298</c:v>
                </c:pt>
                <c:pt idx="1149">
                  <c:v>2.2999999999999998</c:v>
                </c:pt>
                <c:pt idx="1150">
                  <c:v>2.302</c:v>
                </c:pt>
                <c:pt idx="1151">
                  <c:v>2.3039999999999998</c:v>
                </c:pt>
                <c:pt idx="1152">
                  <c:v>2.306</c:v>
                </c:pt>
                <c:pt idx="1153">
                  <c:v>2.3079999999999998</c:v>
                </c:pt>
                <c:pt idx="1154">
                  <c:v>2.31</c:v>
                </c:pt>
                <c:pt idx="1155">
                  <c:v>2.3119999999999998</c:v>
                </c:pt>
                <c:pt idx="1156">
                  <c:v>2.3140000000000001</c:v>
                </c:pt>
                <c:pt idx="1157">
                  <c:v>2.3159999999999998</c:v>
                </c:pt>
                <c:pt idx="1158">
                  <c:v>2.3180000000000001</c:v>
                </c:pt>
                <c:pt idx="1159">
                  <c:v>2.3199999999999998</c:v>
                </c:pt>
                <c:pt idx="1160">
                  <c:v>2.3220000000000001</c:v>
                </c:pt>
                <c:pt idx="1161">
                  <c:v>2.3239999999999998</c:v>
                </c:pt>
                <c:pt idx="1162">
                  <c:v>2.3260000000000001</c:v>
                </c:pt>
                <c:pt idx="1163">
                  <c:v>2.3279999999999998</c:v>
                </c:pt>
                <c:pt idx="1164">
                  <c:v>2.33</c:v>
                </c:pt>
                <c:pt idx="1165">
                  <c:v>2.3319999999999999</c:v>
                </c:pt>
                <c:pt idx="1166">
                  <c:v>2.3340000000000001</c:v>
                </c:pt>
                <c:pt idx="1167">
                  <c:v>2.3359999999999999</c:v>
                </c:pt>
                <c:pt idx="1168">
                  <c:v>2.3380000000000001</c:v>
                </c:pt>
                <c:pt idx="1169">
                  <c:v>2.34</c:v>
                </c:pt>
                <c:pt idx="1170">
                  <c:v>2.3420000000000001</c:v>
                </c:pt>
                <c:pt idx="1171">
                  <c:v>2.3439999999999999</c:v>
                </c:pt>
                <c:pt idx="1172">
                  <c:v>2.3460000000000001</c:v>
                </c:pt>
                <c:pt idx="1173">
                  <c:v>2.3479999999999999</c:v>
                </c:pt>
                <c:pt idx="1174">
                  <c:v>2.35</c:v>
                </c:pt>
                <c:pt idx="1175">
                  <c:v>2.3519999999999999</c:v>
                </c:pt>
                <c:pt idx="1176">
                  <c:v>2.3540000000000001</c:v>
                </c:pt>
                <c:pt idx="1177">
                  <c:v>2.3559999999999999</c:v>
                </c:pt>
                <c:pt idx="1178">
                  <c:v>2.3580000000000001</c:v>
                </c:pt>
                <c:pt idx="1179">
                  <c:v>2.36</c:v>
                </c:pt>
                <c:pt idx="1180">
                  <c:v>2.3620000000000001</c:v>
                </c:pt>
                <c:pt idx="1181">
                  <c:v>2.3639999999999999</c:v>
                </c:pt>
                <c:pt idx="1182">
                  <c:v>2.3660000000000001</c:v>
                </c:pt>
                <c:pt idx="1183">
                  <c:v>2.3679999999999999</c:v>
                </c:pt>
                <c:pt idx="1184">
                  <c:v>2.37</c:v>
                </c:pt>
                <c:pt idx="1185">
                  <c:v>2.3719999999999999</c:v>
                </c:pt>
                <c:pt idx="1186">
                  <c:v>2.3740000000000001</c:v>
                </c:pt>
                <c:pt idx="1187">
                  <c:v>2.3759999999999999</c:v>
                </c:pt>
                <c:pt idx="1188">
                  <c:v>2.3780000000000001</c:v>
                </c:pt>
                <c:pt idx="1189">
                  <c:v>2.38</c:v>
                </c:pt>
                <c:pt idx="1190">
                  <c:v>2.3820000000000001</c:v>
                </c:pt>
                <c:pt idx="1191">
                  <c:v>2.3839999999999999</c:v>
                </c:pt>
                <c:pt idx="1192">
                  <c:v>2.3860000000000001</c:v>
                </c:pt>
                <c:pt idx="1193">
                  <c:v>2.3879999999999999</c:v>
                </c:pt>
                <c:pt idx="1194">
                  <c:v>2.39</c:v>
                </c:pt>
                <c:pt idx="1195">
                  <c:v>2.3919999999999999</c:v>
                </c:pt>
                <c:pt idx="1196">
                  <c:v>2.3940000000000001</c:v>
                </c:pt>
                <c:pt idx="1197">
                  <c:v>2.3959999999999999</c:v>
                </c:pt>
                <c:pt idx="1198">
                  <c:v>2.3980000000000001</c:v>
                </c:pt>
                <c:pt idx="1199">
                  <c:v>2.4</c:v>
                </c:pt>
                <c:pt idx="1200">
                  <c:v>2.4020000000000001</c:v>
                </c:pt>
                <c:pt idx="1201">
                  <c:v>2.4039999999999999</c:v>
                </c:pt>
                <c:pt idx="1202">
                  <c:v>2.4060000000000001</c:v>
                </c:pt>
                <c:pt idx="1203">
                  <c:v>2.4079999999999999</c:v>
                </c:pt>
                <c:pt idx="1204">
                  <c:v>2.41</c:v>
                </c:pt>
                <c:pt idx="1205">
                  <c:v>2.4119999999999999</c:v>
                </c:pt>
                <c:pt idx="1206">
                  <c:v>2.4140000000000001</c:v>
                </c:pt>
                <c:pt idx="1207">
                  <c:v>2.4159999999999999</c:v>
                </c:pt>
                <c:pt idx="1208">
                  <c:v>2.4180000000000001</c:v>
                </c:pt>
                <c:pt idx="1209">
                  <c:v>2.42</c:v>
                </c:pt>
                <c:pt idx="1210">
                  <c:v>2.4220000000000002</c:v>
                </c:pt>
                <c:pt idx="1211">
                  <c:v>2.4239999999999999</c:v>
                </c:pt>
                <c:pt idx="1212">
                  <c:v>2.4260000000000002</c:v>
                </c:pt>
                <c:pt idx="1213">
                  <c:v>2.4279999999999999</c:v>
                </c:pt>
                <c:pt idx="1214">
                  <c:v>2.4300000000000002</c:v>
                </c:pt>
                <c:pt idx="1215">
                  <c:v>2.4319999999999999</c:v>
                </c:pt>
                <c:pt idx="1216">
                  <c:v>2.4340000000000002</c:v>
                </c:pt>
                <c:pt idx="1217">
                  <c:v>2.4359999999999999</c:v>
                </c:pt>
                <c:pt idx="1218">
                  <c:v>2.4380000000000002</c:v>
                </c:pt>
                <c:pt idx="1219">
                  <c:v>2.44</c:v>
                </c:pt>
                <c:pt idx="1220">
                  <c:v>2.4420000000000002</c:v>
                </c:pt>
                <c:pt idx="1221">
                  <c:v>2.444</c:v>
                </c:pt>
                <c:pt idx="1222">
                  <c:v>2.4460000000000002</c:v>
                </c:pt>
                <c:pt idx="1223">
                  <c:v>2.448</c:v>
                </c:pt>
                <c:pt idx="1224">
                  <c:v>2.4500000000000002</c:v>
                </c:pt>
                <c:pt idx="1225">
                  <c:v>2.452</c:v>
                </c:pt>
                <c:pt idx="1226">
                  <c:v>2.4540000000000002</c:v>
                </c:pt>
                <c:pt idx="1227">
                  <c:v>2.456</c:v>
                </c:pt>
                <c:pt idx="1228">
                  <c:v>2.4580000000000002</c:v>
                </c:pt>
                <c:pt idx="1229">
                  <c:v>2.46</c:v>
                </c:pt>
                <c:pt idx="1230">
                  <c:v>2.4620000000000002</c:v>
                </c:pt>
                <c:pt idx="1231">
                  <c:v>2.464</c:v>
                </c:pt>
                <c:pt idx="1232">
                  <c:v>2.4660000000000002</c:v>
                </c:pt>
                <c:pt idx="1233">
                  <c:v>2.468</c:v>
                </c:pt>
                <c:pt idx="1234">
                  <c:v>2.4700000000000002</c:v>
                </c:pt>
                <c:pt idx="1235">
                  <c:v>2.472</c:v>
                </c:pt>
                <c:pt idx="1236">
                  <c:v>2.4740000000000002</c:v>
                </c:pt>
                <c:pt idx="1237">
                  <c:v>2.476</c:v>
                </c:pt>
                <c:pt idx="1238">
                  <c:v>2.4780000000000002</c:v>
                </c:pt>
                <c:pt idx="1239">
                  <c:v>2.48</c:v>
                </c:pt>
                <c:pt idx="1240">
                  <c:v>2.4820000000000002</c:v>
                </c:pt>
                <c:pt idx="1241">
                  <c:v>2.484</c:v>
                </c:pt>
                <c:pt idx="1242">
                  <c:v>2.4860000000000002</c:v>
                </c:pt>
                <c:pt idx="1243">
                  <c:v>2.488</c:v>
                </c:pt>
                <c:pt idx="1244">
                  <c:v>2.4900000000000002</c:v>
                </c:pt>
                <c:pt idx="1245">
                  <c:v>2.492</c:v>
                </c:pt>
                <c:pt idx="1246">
                  <c:v>2.4940000000000002</c:v>
                </c:pt>
                <c:pt idx="1247">
                  <c:v>2.496</c:v>
                </c:pt>
                <c:pt idx="1248">
                  <c:v>2.4980000000000002</c:v>
                </c:pt>
                <c:pt idx="1249">
                  <c:v>2.5</c:v>
                </c:pt>
                <c:pt idx="1250">
                  <c:v>2.5019999999999998</c:v>
                </c:pt>
                <c:pt idx="1251">
                  <c:v>2.504</c:v>
                </c:pt>
                <c:pt idx="1252">
                  <c:v>2.5059999999999998</c:v>
                </c:pt>
                <c:pt idx="1253">
                  <c:v>2.508</c:v>
                </c:pt>
                <c:pt idx="1254">
                  <c:v>2.5099999999999998</c:v>
                </c:pt>
                <c:pt idx="1255">
                  <c:v>2.512</c:v>
                </c:pt>
                <c:pt idx="1256">
                  <c:v>2.5139999999999998</c:v>
                </c:pt>
                <c:pt idx="1257">
                  <c:v>2.516</c:v>
                </c:pt>
                <c:pt idx="1258">
                  <c:v>2.5179999999999998</c:v>
                </c:pt>
                <c:pt idx="1259">
                  <c:v>2.52</c:v>
                </c:pt>
                <c:pt idx="1260">
                  <c:v>2.5219999999999998</c:v>
                </c:pt>
                <c:pt idx="1261">
                  <c:v>2.524</c:v>
                </c:pt>
                <c:pt idx="1262">
                  <c:v>2.5259999999999998</c:v>
                </c:pt>
                <c:pt idx="1263">
                  <c:v>2.528</c:v>
                </c:pt>
                <c:pt idx="1264">
                  <c:v>2.5299999999999998</c:v>
                </c:pt>
                <c:pt idx="1265">
                  <c:v>2.532</c:v>
                </c:pt>
                <c:pt idx="1266">
                  <c:v>2.5339999999999998</c:v>
                </c:pt>
                <c:pt idx="1267">
                  <c:v>2.536</c:v>
                </c:pt>
                <c:pt idx="1268">
                  <c:v>2.5379999999999998</c:v>
                </c:pt>
                <c:pt idx="1269">
                  <c:v>2.54</c:v>
                </c:pt>
                <c:pt idx="1270">
                  <c:v>2.5419999999999998</c:v>
                </c:pt>
                <c:pt idx="1271">
                  <c:v>2.544</c:v>
                </c:pt>
                <c:pt idx="1272">
                  <c:v>2.5459999999999998</c:v>
                </c:pt>
                <c:pt idx="1273">
                  <c:v>2.548</c:v>
                </c:pt>
                <c:pt idx="1274">
                  <c:v>2.5499999999999998</c:v>
                </c:pt>
                <c:pt idx="1275">
                  <c:v>2.552</c:v>
                </c:pt>
                <c:pt idx="1276">
                  <c:v>2.5539999999999998</c:v>
                </c:pt>
                <c:pt idx="1277">
                  <c:v>2.556</c:v>
                </c:pt>
                <c:pt idx="1278">
                  <c:v>2.5579999999999998</c:v>
                </c:pt>
                <c:pt idx="1279">
                  <c:v>2.56</c:v>
                </c:pt>
                <c:pt idx="1280">
                  <c:v>2.5619999999999998</c:v>
                </c:pt>
                <c:pt idx="1281">
                  <c:v>2.5640000000000001</c:v>
                </c:pt>
                <c:pt idx="1282">
                  <c:v>2.5659999999999998</c:v>
                </c:pt>
                <c:pt idx="1283">
                  <c:v>2.5680000000000001</c:v>
                </c:pt>
                <c:pt idx="1284">
                  <c:v>2.57</c:v>
                </c:pt>
                <c:pt idx="1285">
                  <c:v>2.5720000000000001</c:v>
                </c:pt>
                <c:pt idx="1286">
                  <c:v>2.5739999999999998</c:v>
                </c:pt>
                <c:pt idx="1287">
                  <c:v>2.5760000000000001</c:v>
                </c:pt>
                <c:pt idx="1288">
                  <c:v>2.5779999999999998</c:v>
                </c:pt>
                <c:pt idx="1289">
                  <c:v>2.58</c:v>
                </c:pt>
                <c:pt idx="1290">
                  <c:v>2.5819999999999999</c:v>
                </c:pt>
                <c:pt idx="1291">
                  <c:v>2.5840000000000001</c:v>
                </c:pt>
                <c:pt idx="1292">
                  <c:v>2.5859999999999999</c:v>
                </c:pt>
                <c:pt idx="1293">
                  <c:v>2.5880000000000001</c:v>
                </c:pt>
                <c:pt idx="1294">
                  <c:v>2.59</c:v>
                </c:pt>
                <c:pt idx="1295">
                  <c:v>2.5920000000000001</c:v>
                </c:pt>
                <c:pt idx="1296">
                  <c:v>2.5939999999999999</c:v>
                </c:pt>
                <c:pt idx="1297">
                  <c:v>2.5960000000000001</c:v>
                </c:pt>
                <c:pt idx="1298">
                  <c:v>2.5979999999999999</c:v>
                </c:pt>
                <c:pt idx="1299">
                  <c:v>2.6</c:v>
                </c:pt>
                <c:pt idx="1300">
                  <c:v>2.6019999999999999</c:v>
                </c:pt>
                <c:pt idx="1301">
                  <c:v>2.6040000000000001</c:v>
                </c:pt>
                <c:pt idx="1302">
                  <c:v>2.6059999999999999</c:v>
                </c:pt>
                <c:pt idx="1303">
                  <c:v>2.6080000000000001</c:v>
                </c:pt>
                <c:pt idx="1304">
                  <c:v>2.61</c:v>
                </c:pt>
                <c:pt idx="1305">
                  <c:v>2.6120000000000001</c:v>
                </c:pt>
                <c:pt idx="1306">
                  <c:v>2.6139999999999999</c:v>
                </c:pt>
                <c:pt idx="1307">
                  <c:v>2.6160000000000001</c:v>
                </c:pt>
              </c:numCache>
            </c:numRef>
          </c:xVal>
          <c:yVal>
            <c:numRef>
              <c:f>Sheet3!$P$2:$P$1309</c:f>
              <c:numCache>
                <c:formatCode>General</c:formatCode>
                <c:ptCount val="1308"/>
                <c:pt idx="0">
                  <c:v>4.2218312845094261E-3</c:v>
                </c:pt>
                <c:pt idx="1">
                  <c:v>4.1796129716643315E-3</c:v>
                </c:pt>
                <c:pt idx="2">
                  <c:v>4.1482694500562366E-3</c:v>
                </c:pt>
                <c:pt idx="3">
                  <c:v>4.1001660932701248E-3</c:v>
                </c:pt>
                <c:pt idx="4">
                  <c:v>4.061478650747798E-3</c:v>
                </c:pt>
                <c:pt idx="5">
                  <c:v>4.0410071924294379E-3</c:v>
                </c:pt>
                <c:pt idx="6">
                  <c:v>4.0688446816692821E-3</c:v>
                </c:pt>
                <c:pt idx="7">
                  <c:v>4.0900086503974564E-3</c:v>
                </c:pt>
                <c:pt idx="8">
                  <c:v>4.1286214063998086E-3</c:v>
                </c:pt>
                <c:pt idx="9">
                  <c:v>4.1796129716643315E-3</c:v>
                </c:pt>
                <c:pt idx="10">
                  <c:v>4.2218312845094261E-3</c:v>
                </c:pt>
                <c:pt idx="11">
                  <c:v>4.2640495973545207E-3</c:v>
                </c:pt>
                <c:pt idx="12">
                  <c:v>4.2980310294746136E-3</c:v>
                </c:pt>
                <c:pt idx="13">
                  <c:v>4.2941104788392706E-3</c:v>
                </c:pt>
                <c:pt idx="14">
                  <c:v>4.2640495973545207E-3</c:v>
                </c:pt>
                <c:pt idx="15">
                  <c:v>4.2218312845094261E-3</c:v>
                </c:pt>
                <c:pt idx="16">
                  <c:v>4.1796129716643315E-3</c:v>
                </c:pt>
                <c:pt idx="17">
                  <c:v>4.1316801694302793E-3</c:v>
                </c:pt>
                <c:pt idx="18">
                  <c:v>4.100187431569112E-3</c:v>
                </c:pt>
                <c:pt idx="19">
                  <c:v>4.1134252041854606E-3</c:v>
                </c:pt>
                <c:pt idx="20">
                  <c:v>4.1159189242682866E-3</c:v>
                </c:pt>
                <c:pt idx="21">
                  <c:v>4.139790395567066E-3</c:v>
                </c:pt>
                <c:pt idx="22">
                  <c:v>4.1796129716643315E-3</c:v>
                </c:pt>
                <c:pt idx="23">
                  <c:v>4.2218312845094261E-3</c:v>
                </c:pt>
                <c:pt idx="24">
                  <c:v>4.2640495973545207E-3</c:v>
                </c:pt>
                <c:pt idx="25">
                  <c:v>4.322728035198631E-3</c:v>
                </c:pt>
                <c:pt idx="26">
                  <c:v>4.3489252163590878E-3</c:v>
                </c:pt>
                <c:pt idx="27">
                  <c:v>4.3533965048562061E-3</c:v>
                </c:pt>
                <c:pt idx="28">
                  <c:v>4.3351829935159014E-3</c:v>
                </c:pt>
                <c:pt idx="29">
                  <c:v>4.2981766243428698E-3</c:v>
                </c:pt>
                <c:pt idx="30">
                  <c:v>4.2640495973545207E-3</c:v>
                </c:pt>
                <c:pt idx="31">
                  <c:v>4.2218312845094261E-3</c:v>
                </c:pt>
                <c:pt idx="32">
                  <c:v>4.2218312845094261E-3</c:v>
                </c:pt>
                <c:pt idx="33">
                  <c:v>4.1796129716643315E-3</c:v>
                </c:pt>
                <c:pt idx="34">
                  <c:v>4.1515203279391703E-3</c:v>
                </c:pt>
                <c:pt idx="35">
                  <c:v>4.1570620929124984E-3</c:v>
                </c:pt>
                <c:pt idx="36">
                  <c:v>4.1796129716643315E-3</c:v>
                </c:pt>
                <c:pt idx="37">
                  <c:v>4.2218312845094261E-3</c:v>
                </c:pt>
                <c:pt idx="38">
                  <c:v>4.2640495973545207E-3</c:v>
                </c:pt>
                <c:pt idx="39">
                  <c:v>4.3142912291063802E-3</c:v>
                </c:pt>
                <c:pt idx="40">
                  <c:v>4.3612307161489056E-3</c:v>
                </c:pt>
                <c:pt idx="41">
                  <c:v>4.3943977985235966E-3</c:v>
                </c:pt>
                <c:pt idx="42">
                  <c:v>4.407248211434971E-3</c:v>
                </c:pt>
                <c:pt idx="43">
                  <c:v>4.397217324086853E-3</c:v>
                </c:pt>
                <c:pt idx="44">
                  <c:v>4.3663084516391577E-3</c:v>
                </c:pt>
                <c:pt idx="45">
                  <c:v>4.382864203528525E-3</c:v>
                </c:pt>
                <c:pt idx="46">
                  <c:v>4.3338042717020412E-3</c:v>
                </c:pt>
                <c:pt idx="47">
                  <c:v>4.2640495973545207E-3</c:v>
                </c:pt>
                <c:pt idx="48">
                  <c:v>4.2218312845094261E-3</c:v>
                </c:pt>
                <c:pt idx="49">
                  <c:v>4.1796129716643315E-3</c:v>
                </c:pt>
                <c:pt idx="50">
                  <c:v>4.1796129716643315E-3</c:v>
                </c:pt>
                <c:pt idx="51">
                  <c:v>4.1796129716643315E-3</c:v>
                </c:pt>
                <c:pt idx="52">
                  <c:v>4.2218312845094261E-3</c:v>
                </c:pt>
                <c:pt idx="53">
                  <c:v>4.2218312845094261E-3</c:v>
                </c:pt>
                <c:pt idx="54">
                  <c:v>4.2896301883907579E-3</c:v>
                </c:pt>
                <c:pt idx="55">
                  <c:v>4.3432469261238419E-3</c:v>
                </c:pt>
                <c:pt idx="56">
                  <c:v>4.3948399155610543E-3</c:v>
                </c:pt>
                <c:pt idx="57">
                  <c:v>4.4351560671832164E-3</c:v>
                </c:pt>
                <c:pt idx="58">
                  <c:v>4.4568056956494134E-3</c:v>
                </c:pt>
                <c:pt idx="59">
                  <c:v>4.4826457559658701E-3</c:v>
                </c:pt>
                <c:pt idx="60">
                  <c:v>4.4821600374684613E-3</c:v>
                </c:pt>
                <c:pt idx="61">
                  <c:v>4.4588395276634494E-3</c:v>
                </c:pt>
                <c:pt idx="62">
                  <c:v>4.4168788543158853E-3</c:v>
                </c:pt>
                <c:pt idx="63">
                  <c:v>4.3637146406821509E-3</c:v>
                </c:pt>
                <c:pt idx="64">
                  <c:v>4.3085654953405328E-3</c:v>
                </c:pt>
                <c:pt idx="65">
                  <c:v>4.2640495973545207E-3</c:v>
                </c:pt>
                <c:pt idx="66">
                  <c:v>4.2218312845094261E-3</c:v>
                </c:pt>
                <c:pt idx="67">
                  <c:v>4.2640495973545207E-3</c:v>
                </c:pt>
                <c:pt idx="68">
                  <c:v>4.2218312845094261E-3</c:v>
                </c:pt>
                <c:pt idx="69">
                  <c:v>4.2218312845094261E-3</c:v>
                </c:pt>
                <c:pt idx="70">
                  <c:v>4.2640495973545207E-3</c:v>
                </c:pt>
                <c:pt idx="71">
                  <c:v>4.3102383114977808E-3</c:v>
                </c:pt>
                <c:pt idx="72">
                  <c:v>4.366335830298231E-3</c:v>
                </c:pt>
                <c:pt idx="73">
                  <c:v>4.4234308356165177E-3</c:v>
                </c:pt>
                <c:pt idx="74">
                  <c:v>4.4283246679072867E-3</c:v>
                </c:pt>
                <c:pt idx="75">
                  <c:v>4.4808653490007498E-3</c:v>
                </c:pt>
                <c:pt idx="76">
                  <c:v>4.5188992245774095E-3</c:v>
                </c:pt>
                <c:pt idx="77">
                  <c:v>4.5360780608514062E-3</c:v>
                </c:pt>
                <c:pt idx="78">
                  <c:v>4.5295007512440475E-3</c:v>
                </c:pt>
                <c:pt idx="79">
                  <c:v>4.5002805389834739E-3</c:v>
                </c:pt>
                <c:pt idx="80">
                  <c:v>4.4533257919390458E-3</c:v>
                </c:pt>
                <c:pt idx="81">
                  <c:v>4.4928020087354175E-3</c:v>
                </c:pt>
                <c:pt idx="82">
                  <c:v>4.4379840691471609E-3</c:v>
                </c:pt>
                <c:pt idx="83">
                  <c:v>4.3788137528600352E-3</c:v>
                </c:pt>
                <c:pt idx="84">
                  <c:v>4.3244004400667269E-3</c:v>
                </c:pt>
                <c:pt idx="85">
                  <c:v>4.2640495973545207E-3</c:v>
                </c:pt>
                <c:pt idx="86">
                  <c:v>4.2640495973545207E-3</c:v>
                </c:pt>
                <c:pt idx="87">
                  <c:v>4.2640495973545207E-3</c:v>
                </c:pt>
                <c:pt idx="88">
                  <c:v>4.2640495973545207E-3</c:v>
                </c:pt>
                <c:pt idx="89">
                  <c:v>4.2640495973545207E-3</c:v>
                </c:pt>
                <c:pt idx="90">
                  <c:v>4.3162617857654285E-3</c:v>
                </c:pt>
                <c:pt idx="91">
                  <c:v>4.3655147641058186E-3</c:v>
                </c:pt>
                <c:pt idx="92">
                  <c:v>4.4238960632489669E-3</c:v>
                </c:pt>
                <c:pt idx="93">
                  <c:v>4.4828184515204655E-3</c:v>
                </c:pt>
                <c:pt idx="94">
                  <c:v>4.5334009452324131E-3</c:v>
                </c:pt>
                <c:pt idx="95">
                  <c:v>4.5678469021806119E-3</c:v>
                </c:pt>
                <c:pt idx="96">
                  <c:v>4.5807551419445548E-3</c:v>
                </c:pt>
                <c:pt idx="97">
                  <c:v>4.6044559874029991E-3</c:v>
                </c:pt>
                <c:pt idx="98">
                  <c:v>4.6076421382312428E-3</c:v>
                </c:pt>
                <c:pt idx="99">
                  <c:v>4.5867260616457659E-3</c:v>
                </c:pt>
                <c:pt idx="100">
                  <c:v>4.5449146560412341E-3</c:v>
                </c:pt>
                <c:pt idx="101">
                  <c:v>4.4885409758871012E-3</c:v>
                </c:pt>
                <c:pt idx="102">
                  <c:v>4.4259807724665928E-3</c:v>
                </c:pt>
                <c:pt idx="103">
                  <c:v>4.3663110731311464E-3</c:v>
                </c:pt>
                <c:pt idx="104">
                  <c:v>4.3179772875544253E-3</c:v>
                </c:pt>
                <c:pt idx="105">
                  <c:v>4.36658001975235E-3</c:v>
                </c:pt>
                <c:pt idx="106">
                  <c:v>4.3219661147369413E-3</c:v>
                </c:pt>
                <c:pt idx="107">
                  <c:v>4.2965302724786133E-3</c:v>
                </c:pt>
                <c:pt idx="108">
                  <c:v>4.2936160548468728E-3</c:v>
                </c:pt>
                <c:pt idx="109">
                  <c:v>4.313604312733422E-3</c:v>
                </c:pt>
                <c:pt idx="110">
                  <c:v>4.3538736472990835E-3</c:v>
                </c:pt>
                <c:pt idx="111">
                  <c:v>4.4090773831711345E-3</c:v>
                </c:pt>
                <c:pt idx="112">
                  <c:v>4.4717431566845623E-3</c:v>
                </c:pt>
                <c:pt idx="113">
                  <c:v>4.4348203812169824E-3</c:v>
                </c:pt>
                <c:pt idx="114">
                  <c:v>4.4984186709916239E-3</c:v>
                </c:pt>
                <c:pt idx="115">
                  <c:v>4.5594168264227143E-3</c:v>
                </c:pt>
                <c:pt idx="116">
                  <c:v>4.6093985075686249E-3</c:v>
                </c:pt>
                <c:pt idx="117">
                  <c:v>4.6413233195559548E-3</c:v>
                </c:pt>
                <c:pt idx="118">
                  <c:v>4.6506261056248246E-3</c:v>
                </c:pt>
                <c:pt idx="119">
                  <c:v>4.6359665539690729E-3</c:v>
                </c:pt>
                <c:pt idx="120">
                  <c:v>4.5994547023292835E-3</c:v>
                </c:pt>
                <c:pt idx="121">
                  <c:v>4.6554349352592129E-3</c:v>
                </c:pt>
                <c:pt idx="122">
                  <c:v>4.6167103433747275E-3</c:v>
                </c:pt>
                <c:pt idx="123">
                  <c:v>4.561717401283698E-3</c:v>
                </c:pt>
                <c:pt idx="124">
                  <c:v>4.4979246324251517E-3</c:v>
                </c:pt>
                <c:pt idx="125">
                  <c:v>4.4338105681116105E-3</c:v>
                </c:pt>
                <c:pt idx="126">
                  <c:v>4.3776973577721034E-3</c:v>
                </c:pt>
                <c:pt idx="127">
                  <c:v>4.3367058563626203E-3</c:v>
                </c:pt>
                <c:pt idx="128">
                  <c:v>4.3159424419914041E-3</c:v>
                </c:pt>
                <c:pt idx="129">
                  <c:v>4.3453117733454243E-3</c:v>
                </c:pt>
                <c:pt idx="130">
                  <c:v>4.3228266945390011E-3</c:v>
                </c:pt>
                <c:pt idx="131">
                  <c:v>4.3236460100459298E-3</c:v>
                </c:pt>
                <c:pt idx="132">
                  <c:v>4.3476725090185585E-3</c:v>
                </c:pt>
                <c:pt idx="133">
                  <c:v>4.3920420712669425E-3</c:v>
                </c:pt>
                <c:pt idx="134">
                  <c:v>4.4513972480567758E-3</c:v>
                </c:pt>
                <c:pt idx="135">
                  <c:v>4.5184319797823662E-3</c:v>
                </c:pt>
                <c:pt idx="136">
                  <c:v>4.5847023281098218E-3</c:v>
                </c:pt>
                <c:pt idx="137">
                  <c:v>4.6416585389627667E-3</c:v>
                </c:pt>
                <c:pt idx="138">
                  <c:v>4.5845375121288511E-3</c:v>
                </c:pt>
                <c:pt idx="139">
                  <c:v>4.6424971749511402E-3</c:v>
                </c:pt>
                <c:pt idx="140">
                  <c:v>4.6857796588853345E-3</c:v>
                </c:pt>
                <c:pt idx="141">
                  <c:v>4.6862327258054629E-3</c:v>
                </c:pt>
                <c:pt idx="142">
                  <c:v>4.6862327258054629E-3</c:v>
                </c:pt>
                <c:pt idx="143">
                  <c:v>4.6850124473610377E-3</c:v>
                </c:pt>
                <c:pt idx="144">
                  <c:v>4.6413300544644693E-3</c:v>
                </c:pt>
                <c:pt idx="145">
                  <c:v>4.5831201974413259E-3</c:v>
                </c:pt>
                <c:pt idx="146">
                  <c:v>4.6746492565083592E-3</c:v>
                </c:pt>
                <c:pt idx="147">
                  <c:v>4.616712591375631E-3</c:v>
                </c:pt>
                <c:pt idx="148">
                  <c:v>4.549681934261765E-3</c:v>
                </c:pt>
                <c:pt idx="149">
                  <c:v>4.4816888825990921E-3</c:v>
                </c:pt>
                <c:pt idx="150">
                  <c:v>4.4207951108233036E-3</c:v>
                </c:pt>
                <c:pt idx="151">
                  <c:v>4.3740619602466385E-3</c:v>
                </c:pt>
                <c:pt idx="152">
                  <c:v>4.3468076117428971E-3</c:v>
                </c:pt>
                <c:pt idx="153">
                  <c:v>4.3420932349885382E-3</c:v>
                </c:pt>
                <c:pt idx="154">
                  <c:v>4.3604453343561288E-3</c:v>
                </c:pt>
                <c:pt idx="155">
                  <c:v>4.3509440216688289E-3</c:v>
                </c:pt>
                <c:pt idx="156">
                  <c:v>4.3605503918963742E-3</c:v>
                </c:pt>
                <c:pt idx="157">
                  <c:v>4.392067858538109E-3</c:v>
                </c:pt>
                <c:pt idx="158">
                  <c:v>4.4420541854949362E-3</c:v>
                </c:pt>
                <c:pt idx="159">
                  <c:v>4.5049730829670185E-3</c:v>
                </c:pt>
                <c:pt idx="160">
                  <c:v>4.5737211230952564E-3</c:v>
                </c:pt>
                <c:pt idx="161">
                  <c:v>4.6403640681436254E-3</c:v>
                </c:pt>
                <c:pt idx="162">
                  <c:v>4.6862327258054629E-3</c:v>
                </c:pt>
                <c:pt idx="163">
                  <c:v>4.712418067780404E-3</c:v>
                </c:pt>
                <c:pt idx="164">
                  <c:v>4.6862327258054629E-3</c:v>
                </c:pt>
                <c:pt idx="165">
                  <c:v>4.7191396151635805E-3</c:v>
                </c:pt>
                <c:pt idx="166">
                  <c:v>4.7479986222881999E-3</c:v>
                </c:pt>
                <c:pt idx="167">
                  <c:v>4.7544085828066344E-3</c:v>
                </c:pt>
                <c:pt idx="168">
                  <c:v>4.737598787134218E-3</c:v>
                </c:pt>
                <c:pt idx="169">
                  <c:v>4.6862327258054629E-3</c:v>
                </c:pt>
                <c:pt idx="170">
                  <c:v>4.6657212370609276E-3</c:v>
                </c:pt>
                <c:pt idx="171">
                  <c:v>4.5972133113536973E-3</c:v>
                </c:pt>
                <c:pt idx="172">
                  <c:v>4.5257356272449846E-3</c:v>
                </c:pt>
                <c:pt idx="173">
                  <c:v>4.6591893765280026E-3</c:v>
                </c:pt>
                <c:pt idx="174">
                  <c:v>4.5869471182438115E-3</c:v>
                </c:pt>
                <c:pt idx="175">
                  <c:v>4.5145566030878846E-3</c:v>
                </c:pt>
                <c:pt idx="176">
                  <c:v>4.4498418647777229E-3</c:v>
                </c:pt>
                <c:pt idx="177">
                  <c:v>4.3996467531569319E-3</c:v>
                </c:pt>
                <c:pt idx="178">
                  <c:v>4.3691822676236135E-3</c:v>
                </c:pt>
                <c:pt idx="179">
                  <c:v>4.3615697875308938E-3</c:v>
                </c:pt>
                <c:pt idx="180">
                  <c:v>4.3775844273465274E-3</c:v>
                </c:pt>
                <c:pt idx="181">
                  <c:v>4.4155932984234914E-3</c:v>
                </c:pt>
                <c:pt idx="182">
                  <c:v>4.3671720989159222E-3</c:v>
                </c:pt>
                <c:pt idx="183">
                  <c:v>4.3888456463545564E-3</c:v>
                </c:pt>
                <c:pt idx="184">
                  <c:v>4.432253469680356E-3</c:v>
                </c:pt>
                <c:pt idx="185">
                  <c:v>4.493057505677773E-3</c:v>
                </c:pt>
                <c:pt idx="186">
                  <c:v>4.5650805350640348E-3</c:v>
                </c:pt>
                <c:pt idx="187">
                  <c:v>4.6408528681195884E-3</c:v>
                </c:pt>
                <c:pt idx="188">
                  <c:v>4.6862327258054629E-3</c:v>
                </c:pt>
                <c:pt idx="189">
                  <c:v>4.7454627990019546E-3</c:v>
                </c:pt>
                <c:pt idx="190">
                  <c:v>4.7841788564158914E-3</c:v>
                </c:pt>
                <c:pt idx="191">
                  <c:v>4.7120548873397445E-3</c:v>
                </c:pt>
                <c:pt idx="192">
                  <c:v>4.7694247474047097E-3</c:v>
                </c:pt>
                <c:pt idx="193">
                  <c:v>4.8086261115073492E-3</c:v>
                </c:pt>
                <c:pt idx="194">
                  <c:v>4.8253840227135292E-3</c:v>
                </c:pt>
                <c:pt idx="195">
                  <c:v>4.8178556184503432E-3</c:v>
                </c:pt>
                <c:pt idx="196">
                  <c:v>4.7868699371768526E-3</c:v>
                </c:pt>
                <c:pt idx="197">
                  <c:v>4.7358195631235448E-3</c:v>
                </c:pt>
                <c:pt idx="198">
                  <c:v>4.6862327258054629E-3</c:v>
                </c:pt>
                <c:pt idx="199">
                  <c:v>4.615279658345614E-3</c:v>
                </c:pt>
                <c:pt idx="200">
                  <c:v>4.5381491671989882E-3</c:v>
                </c:pt>
                <c:pt idx="201">
                  <c:v>4.6862327258054629E-3</c:v>
                </c:pt>
                <c:pt idx="202">
                  <c:v>4.6408288397882169E-3</c:v>
                </c:pt>
                <c:pt idx="203">
                  <c:v>4.5609154168766812E-3</c:v>
                </c:pt>
                <c:pt idx="204">
                  <c:v>4.4878608389837477E-3</c:v>
                </c:pt>
                <c:pt idx="205">
                  <c:v>4.4287279253902388E-3</c:v>
                </c:pt>
                <c:pt idx="206">
                  <c:v>4.3891229866729617E-3</c:v>
                </c:pt>
                <c:pt idx="207">
                  <c:v>4.3727458582056324E-3</c:v>
                </c:pt>
                <c:pt idx="208">
                  <c:v>4.381113601692326E-3</c:v>
                </c:pt>
                <c:pt idx="209">
                  <c:v>4.4134520275931318E-3</c:v>
                </c:pt>
                <c:pt idx="210">
                  <c:v>4.3733459993160854E-3</c:v>
                </c:pt>
                <c:pt idx="211">
                  <c:v>4.3747619492180709E-3</c:v>
                </c:pt>
                <c:pt idx="212">
                  <c:v>4.4015084072459897E-3</c:v>
                </c:pt>
                <c:pt idx="213">
                  <c:v>4.4511848078523436E-3</c:v>
                </c:pt>
                <c:pt idx="214">
                  <c:v>4.5192823784500347E-3</c:v>
                </c:pt>
                <c:pt idx="215">
                  <c:v>4.5995139481576014E-3</c:v>
                </c:pt>
                <c:pt idx="216">
                  <c:v>4.6843132625177183E-3</c:v>
                </c:pt>
                <c:pt idx="217">
                  <c:v>4.7394947226796933E-3</c:v>
                </c:pt>
                <c:pt idx="218">
                  <c:v>4.8054467961034233E-3</c:v>
                </c:pt>
                <c:pt idx="219">
                  <c:v>4.8537178916348133E-3</c:v>
                </c:pt>
                <c:pt idx="220">
                  <c:v>4.7222599034156239E-3</c:v>
                </c:pt>
                <c:pt idx="221">
                  <c:v>4.7999254858706502E-3</c:v>
                </c:pt>
                <c:pt idx="222">
                  <c:v>4.8627169163409983E-3</c:v>
                </c:pt>
                <c:pt idx="223">
                  <c:v>4.9044372987764187E-3</c:v>
                </c:pt>
                <c:pt idx="224">
                  <c:v>4.9209095985914084E-3</c:v>
                </c:pt>
                <c:pt idx="225">
                  <c:v>4.9104714582040871E-3</c:v>
                </c:pt>
                <c:pt idx="226">
                  <c:v>4.8741771431764615E-3</c:v>
                </c:pt>
                <c:pt idx="227">
                  <c:v>4.815669138156219E-3</c:v>
                </c:pt>
                <c:pt idx="228">
                  <c:v>4.7407433453332624E-3</c:v>
                </c:pt>
                <c:pt idx="229">
                  <c:v>4.6781709324356553E-3</c:v>
                </c:pt>
                <c:pt idx="230">
                  <c:v>4.8987477105854674E-3</c:v>
                </c:pt>
                <c:pt idx="231">
                  <c:v>4.8521923205725789E-3</c:v>
                </c:pt>
                <c:pt idx="232">
                  <c:v>4.7748418611392156E-3</c:v>
                </c:pt>
                <c:pt idx="233">
                  <c:v>4.6862327258054629E-3</c:v>
                </c:pt>
                <c:pt idx="234">
                  <c:v>4.6154756357910673E-3</c:v>
                </c:pt>
                <c:pt idx="235">
                  <c:v>4.5267631362084252E-3</c:v>
                </c:pt>
                <c:pt idx="236">
                  <c:v>4.4519668382829386E-3</c:v>
                </c:pt>
                <c:pt idx="237">
                  <c:v>4.3975050359111563E-3</c:v>
                </c:pt>
                <c:pt idx="238">
                  <c:v>4.3679692439002214E-3</c:v>
                </c:pt>
                <c:pt idx="239">
                  <c:v>4.3658208054895399E-3</c:v>
                </c:pt>
                <c:pt idx="240">
                  <c:v>4.4623796563316746E-3</c:v>
                </c:pt>
                <c:pt idx="241">
                  <c:v>4.4025050182125132E-3</c:v>
                </c:pt>
                <c:pt idx="242">
                  <c:v>4.3678010391628632E-3</c:v>
                </c:pt>
                <c:pt idx="243">
                  <c:v>4.3610585106897823E-3</c:v>
                </c:pt>
                <c:pt idx="244">
                  <c:v>4.3828166264326387E-3</c:v>
                </c:pt>
                <c:pt idx="245">
                  <c:v>4.4313318808185988E-3</c:v>
                </c:pt>
                <c:pt idx="246">
                  <c:v>4.5026797919731328E-3</c:v>
                </c:pt>
                <c:pt idx="247">
                  <c:v>4.5909960270273031E-3</c:v>
                </c:pt>
                <c:pt idx="248">
                  <c:v>4.6862327258054637E-3</c:v>
                </c:pt>
                <c:pt idx="249">
                  <c:v>4.7607110270022355E-3</c:v>
                </c:pt>
                <c:pt idx="250">
                  <c:v>4.476178994256225E-3</c:v>
                </c:pt>
                <c:pt idx="251">
                  <c:v>4.5628786226631843E-3</c:v>
                </c:pt>
                <c:pt idx="252">
                  <c:v>4.6626356099351909E-3</c:v>
                </c:pt>
                <c:pt idx="253">
                  <c:v>4.7411527931243026E-3</c:v>
                </c:pt>
                <c:pt idx="254">
                  <c:v>4.8366145894901949E-3</c:v>
                </c:pt>
                <c:pt idx="255">
                  <c:v>4.9200889190273486E-3</c:v>
                </c:pt>
                <c:pt idx="256">
                  <c:v>4.9841990012064212E-3</c:v>
                </c:pt>
                <c:pt idx="257">
                  <c:v>4.9968731844458464E-3</c:v>
                </c:pt>
                <c:pt idx="258">
                  <c:v>5.0060193877598394E-3</c:v>
                </c:pt>
                <c:pt idx="259">
                  <c:v>4.9888003938790048E-3</c:v>
                </c:pt>
                <c:pt idx="260">
                  <c:v>4.9669066757383048E-3</c:v>
                </c:pt>
                <c:pt idx="261">
                  <c:v>5.0024125541065284E-3</c:v>
                </c:pt>
                <c:pt idx="262">
                  <c:v>5.0300149483865231E-3</c:v>
                </c:pt>
                <c:pt idx="263">
                  <c:v>5.0314285596729444E-3</c:v>
                </c:pt>
                <c:pt idx="264">
                  <c:v>5.0065530232240142E-3</c:v>
                </c:pt>
                <c:pt idx="265">
                  <c:v>4.9787689169886202E-3</c:v>
                </c:pt>
                <c:pt idx="266">
                  <c:v>4.9011011302044659E-3</c:v>
                </c:pt>
                <c:pt idx="267">
                  <c:v>4.8077490739013191E-3</c:v>
                </c:pt>
                <c:pt idx="268">
                  <c:v>4.6862327258054629E-3</c:v>
                </c:pt>
                <c:pt idx="269">
                  <c:v>4.6246494089314631E-3</c:v>
                </c:pt>
                <c:pt idx="270">
                  <c:v>4.5275524605873736E-3</c:v>
                </c:pt>
                <c:pt idx="271">
                  <c:v>4.9193533095995608E-3</c:v>
                </c:pt>
                <c:pt idx="272">
                  <c:v>4.8198401761913963E-3</c:v>
                </c:pt>
                <c:pt idx="273">
                  <c:v>4.7132950747399253E-3</c:v>
                </c:pt>
                <c:pt idx="274">
                  <c:v>4.6269982965939649E-3</c:v>
                </c:pt>
                <c:pt idx="275">
                  <c:v>4.5261558692367794E-3</c:v>
                </c:pt>
                <c:pt idx="276">
                  <c:v>4.4429484862874152E-3</c:v>
                </c:pt>
                <c:pt idx="277">
                  <c:v>4.3835066517456311E-3</c:v>
                </c:pt>
                <c:pt idx="278">
                  <c:v>4.3521350620938535E-3</c:v>
                </c:pt>
                <c:pt idx="279">
                  <c:v>4.3510805679302829E-3</c:v>
                </c:pt>
                <c:pt idx="280">
                  <c:v>4.3804183928683798E-3</c:v>
                </c:pt>
                <c:pt idx="281">
                  <c:v>4.4380484119822816E-3</c:v>
                </c:pt>
                <c:pt idx="282">
                  <c:v>4.3852105501410339E-3</c:v>
                </c:pt>
                <c:pt idx="283">
                  <c:v>4.3462891131565767E-3</c:v>
                </c:pt>
                <c:pt idx="284">
                  <c:v>4.3384843204445018E-3</c:v>
                </c:pt>
                <c:pt idx="285">
                  <c:v>4.3623309166755837E-3</c:v>
                </c:pt>
                <c:pt idx="286">
                  <c:v>4.4161919351543722E-3</c:v>
                </c:pt>
                <c:pt idx="287">
                  <c:v>4.4963358643567309E-3</c:v>
                </c:pt>
                <c:pt idx="288">
                  <c:v>4.5971222713293933E-3</c:v>
                </c:pt>
                <c:pt idx="289">
                  <c:v>4.6862327258054629E-3</c:v>
                </c:pt>
                <c:pt idx="290">
                  <c:v>4.8010981629421157E-3</c:v>
                </c:pt>
                <c:pt idx="291">
                  <c:v>4.9102914128273719E-3</c:v>
                </c:pt>
                <c:pt idx="292">
                  <c:v>4.9826230126991822E-3</c:v>
                </c:pt>
                <c:pt idx="293">
                  <c:v>4.5294919889495621E-3</c:v>
                </c:pt>
                <c:pt idx="294">
                  <c:v>4.6569865358168146E-3</c:v>
                </c:pt>
                <c:pt idx="295">
                  <c:v>4.7684739320641815E-3</c:v>
                </c:pt>
                <c:pt idx="296">
                  <c:v>4.90193081345417E-3</c:v>
                </c:pt>
                <c:pt idx="297">
                  <c:v>5.0003693552857558E-3</c:v>
                </c:pt>
                <c:pt idx="298">
                  <c:v>5.0948734407714009E-3</c:v>
                </c:pt>
                <c:pt idx="299">
                  <c:v>5.1650502576112622E-3</c:v>
                </c:pt>
                <c:pt idx="300">
                  <c:v>5.2065713008025887E-3</c:v>
                </c:pt>
                <c:pt idx="301">
                  <c:v>5.2169401681550634E-3</c:v>
                </c:pt>
                <c:pt idx="302">
                  <c:v>5.1955408603160417E-3</c:v>
                </c:pt>
                <c:pt idx="303">
                  <c:v>5.1436479237109813E-3</c:v>
                </c:pt>
                <c:pt idx="304">
                  <c:v>5.0644046866269296E-3</c:v>
                </c:pt>
                <c:pt idx="305">
                  <c:v>5.2286568180746141E-3</c:v>
                </c:pt>
                <c:pt idx="306">
                  <c:v>5.3000357262259091E-3</c:v>
                </c:pt>
                <c:pt idx="307">
                  <c:v>5.3376618518487474E-3</c:v>
                </c:pt>
                <c:pt idx="308">
                  <c:v>5.3394870232120143E-3</c:v>
                </c:pt>
                <c:pt idx="309">
                  <c:v>5.3054128391151652E-3</c:v>
                </c:pt>
                <c:pt idx="310">
                  <c:v>5.2372908707898711E-3</c:v>
                </c:pt>
                <c:pt idx="311">
                  <c:v>5.1389156762730861E-3</c:v>
                </c:pt>
                <c:pt idx="312">
                  <c:v>5.0159894415544E-3</c:v>
                </c:pt>
                <c:pt idx="313">
                  <c:v>4.8892695630215373E-3</c:v>
                </c:pt>
                <c:pt idx="314">
                  <c:v>4.7302450532270756E-3</c:v>
                </c:pt>
                <c:pt idx="315">
                  <c:v>4.5959292164198867E-3</c:v>
                </c:pt>
                <c:pt idx="316">
                  <c:v>4.4546973160536265E-3</c:v>
                </c:pt>
                <c:pt idx="317">
                  <c:v>4.3412485476989823E-3</c:v>
                </c:pt>
                <c:pt idx="318">
                  <c:v>4.2640495973545207E-3</c:v>
                </c:pt>
                <c:pt idx="319">
                  <c:v>5.2316053700265487E-3</c:v>
                </c:pt>
                <c:pt idx="320">
                  <c:v>5.0964394267127896E-3</c:v>
                </c:pt>
                <c:pt idx="321">
                  <c:v>4.9613977041456821E-3</c:v>
                </c:pt>
                <c:pt idx="322">
                  <c:v>4.781356488111615E-3</c:v>
                </c:pt>
                <c:pt idx="323">
                  <c:v>4.6270350246431372E-3</c:v>
                </c:pt>
                <c:pt idx="324">
                  <c:v>4.4633004462222058E-3</c:v>
                </c:pt>
                <c:pt idx="325">
                  <c:v>4.3285643357441018E-3</c:v>
                </c:pt>
                <c:pt idx="326">
                  <c:v>4.2218312845094261E-3</c:v>
                </c:pt>
                <c:pt idx="327">
                  <c:v>4.1796129716643315E-3</c:v>
                </c:pt>
                <c:pt idx="328">
                  <c:v>5.323588139193103E-3</c:v>
                </c:pt>
                <c:pt idx="329">
                  <c:v>5.1797045319880389E-3</c:v>
                </c:pt>
                <c:pt idx="330">
                  <c:v>5.0135828100649179E-3</c:v>
                </c:pt>
                <c:pt idx="331">
                  <c:v>4.8440277924747159E-3</c:v>
                </c:pt>
                <c:pt idx="332">
                  <c:v>4.6727859910207841E-3</c:v>
                </c:pt>
                <c:pt idx="333">
                  <c:v>4.4879351318909211E-3</c:v>
                </c:pt>
                <c:pt idx="334">
                  <c:v>4.3320187058314766E-3</c:v>
                </c:pt>
                <c:pt idx="335">
                  <c:v>4.2218312845094261E-3</c:v>
                </c:pt>
                <c:pt idx="336">
                  <c:v>4.1390835393839724E-3</c:v>
                </c:pt>
                <c:pt idx="337">
                  <c:v>4.1131090612678504E-3</c:v>
                </c:pt>
                <c:pt idx="338">
                  <c:v>4.1372266134878412E-3</c:v>
                </c:pt>
                <c:pt idx="339">
                  <c:v>4.2218312845094261E-3</c:v>
                </c:pt>
                <c:pt idx="340">
                  <c:v>4.3268942755758742E-3</c:v>
                </c:pt>
                <c:pt idx="341">
                  <c:v>4.8814750063959824E-3</c:v>
                </c:pt>
                <c:pt idx="342">
                  <c:v>4.6862327258054629E-3</c:v>
                </c:pt>
                <c:pt idx="343">
                  <c:v>4.4959816088380447E-3</c:v>
                </c:pt>
                <c:pt idx="344">
                  <c:v>4.3251230918646723E-3</c:v>
                </c:pt>
                <c:pt idx="345">
                  <c:v>4.1796129716643315E-3</c:v>
                </c:pt>
                <c:pt idx="346">
                  <c:v>4.1048820962403618E-3</c:v>
                </c:pt>
                <c:pt idx="347">
                  <c:v>4.0675038521608472E-3</c:v>
                </c:pt>
                <c:pt idx="348">
                  <c:v>4.0823096164588485E-3</c:v>
                </c:pt>
                <c:pt idx="349">
                  <c:v>4.148561987238111E-3</c:v>
                </c:pt>
                <c:pt idx="350">
                  <c:v>4.2640495973545207E-3</c:v>
                </c:pt>
                <c:pt idx="351">
                  <c:v>4.4176164932438061E-3</c:v>
                </c:pt>
                <c:pt idx="352">
                  <c:v>4.6064361704936073E-3</c:v>
                </c:pt>
                <c:pt idx="353">
                  <c:v>4.6566910816509622E-3</c:v>
                </c:pt>
                <c:pt idx="354">
                  <c:v>4.4497146505877031E-3</c:v>
                </c:pt>
                <c:pt idx="355">
                  <c:v>4.2640495973545207E-3</c:v>
                </c:pt>
                <c:pt idx="356">
                  <c:v>4.1414491766050632E-3</c:v>
                </c:pt>
                <c:pt idx="357">
                  <c:v>4.0551220528396593E-3</c:v>
                </c:pt>
                <c:pt idx="358">
                  <c:v>4.0209869468870738E-3</c:v>
                </c:pt>
                <c:pt idx="359">
                  <c:v>4.0406349887168735E-3</c:v>
                </c:pt>
                <c:pt idx="360">
                  <c:v>4.113151556608915E-3</c:v>
                </c:pt>
                <c:pt idx="361">
                  <c:v>4.2218312845094261E-3</c:v>
                </c:pt>
                <c:pt idx="362">
                  <c:v>4.3989651445610492E-3</c:v>
                </c:pt>
                <c:pt idx="363">
                  <c:v>4.5980902971861784E-3</c:v>
                </c:pt>
                <c:pt idx="364">
                  <c:v>4.7933135900509426E-3</c:v>
                </c:pt>
                <c:pt idx="365">
                  <c:v>4.9926667005177226E-3</c:v>
                </c:pt>
                <c:pt idx="366">
                  <c:v>4.3193733598525311E-3</c:v>
                </c:pt>
                <c:pt idx="367">
                  <c:v>4.1796129716643315E-3</c:v>
                </c:pt>
                <c:pt idx="368">
                  <c:v>4.0415989932207101E-3</c:v>
                </c:pt>
                <c:pt idx="369">
                  <c:v>3.9779960289032003E-3</c:v>
                </c:pt>
                <c:pt idx="370">
                  <c:v>3.9693986346590951E-3</c:v>
                </c:pt>
                <c:pt idx="371">
                  <c:v>4.0161797989813784E-3</c:v>
                </c:pt>
                <c:pt idx="372">
                  <c:v>4.1163031785184752E-3</c:v>
                </c:pt>
                <c:pt idx="373">
                  <c:v>4.2640495973545207E-3</c:v>
                </c:pt>
                <c:pt idx="374">
                  <c:v>4.454281331109082E-3</c:v>
                </c:pt>
                <c:pt idx="375">
                  <c:v>4.676658553968367E-3</c:v>
                </c:pt>
                <c:pt idx="376">
                  <c:v>4.8872695996281697E-3</c:v>
                </c:pt>
                <c:pt idx="377">
                  <c:v>5.0899374961811059E-3</c:v>
                </c:pt>
                <c:pt idx="378">
                  <c:v>5.2929580740438695E-3</c:v>
                </c:pt>
                <c:pt idx="379">
                  <c:v>5.478726259861488E-3</c:v>
                </c:pt>
                <c:pt idx="380">
                  <c:v>4.0165695109842517E-3</c:v>
                </c:pt>
                <c:pt idx="381">
                  <c:v>3.9408364313951484E-3</c:v>
                </c:pt>
                <c:pt idx="382">
                  <c:v>3.9204565832948839E-3</c:v>
                </c:pt>
                <c:pt idx="383">
                  <c:v>3.9562566012346541E-3</c:v>
                </c:pt>
                <c:pt idx="384">
                  <c:v>4.0467825391878537E-3</c:v>
                </c:pt>
                <c:pt idx="385">
                  <c:v>4.1796129716643315E-3</c:v>
                </c:pt>
                <c:pt idx="386">
                  <c:v>4.3734236668189841E-3</c:v>
                </c:pt>
                <c:pt idx="387">
                  <c:v>4.5949058666252063E-3</c:v>
                </c:pt>
                <c:pt idx="388">
                  <c:v>4.8132159778110214E-3</c:v>
                </c:pt>
                <c:pt idx="389">
                  <c:v>5.0324662118980991E-3</c:v>
                </c:pt>
                <c:pt idx="390">
                  <c:v>5.2500375136595176E-3</c:v>
                </c:pt>
                <c:pt idx="391">
                  <c:v>5.4512109950482319E-3</c:v>
                </c:pt>
                <c:pt idx="392">
                  <c:v>5.6446221546231383E-3</c:v>
                </c:pt>
                <c:pt idx="393">
                  <c:v>5.7807155719413464E-3</c:v>
                </c:pt>
                <c:pt idx="394">
                  <c:v>3.8402632284993336E-3</c:v>
                </c:pt>
                <c:pt idx="395">
                  <c:v>3.8364030966303352E-3</c:v>
                </c:pt>
                <c:pt idx="396">
                  <c:v>3.8915163920257112E-3</c:v>
                </c:pt>
                <c:pt idx="397">
                  <c:v>4.0035262200690267E-3</c:v>
                </c:pt>
                <c:pt idx="398">
                  <c:v>4.1796129716643315E-3</c:v>
                </c:pt>
                <c:pt idx="399">
                  <c:v>4.3774223304291465E-3</c:v>
                </c:pt>
                <c:pt idx="400">
                  <c:v>4.6235224367849898E-3</c:v>
                </c:pt>
                <c:pt idx="401">
                  <c:v>4.8639390541271171E-3</c:v>
                </c:pt>
                <c:pt idx="402">
                  <c:v>5.097478905261868E-3</c:v>
                </c:pt>
                <c:pt idx="403">
                  <c:v>5.3308648946835731E-3</c:v>
                </c:pt>
                <c:pt idx="404">
                  <c:v>5.5305989827073481E-3</c:v>
                </c:pt>
                <c:pt idx="405">
                  <c:v>5.7682002172169591E-3</c:v>
                </c:pt>
                <c:pt idx="406">
                  <c:v>5.9031870868217085E-3</c:v>
                </c:pt>
                <c:pt idx="407">
                  <c:v>6.0221978626263063E-3</c:v>
                </c:pt>
                <c:pt idx="408">
                  <c:v>3.7207704967145865E-3</c:v>
                </c:pt>
                <c:pt idx="409">
                  <c:v>3.7239034297771732E-3</c:v>
                </c:pt>
                <c:pt idx="410">
                  <c:v>3.8132516463344462E-3</c:v>
                </c:pt>
                <c:pt idx="411">
                  <c:v>3.9363048507738575E-3</c:v>
                </c:pt>
                <c:pt idx="412">
                  <c:v>4.1139358937228622E-3</c:v>
                </c:pt>
                <c:pt idx="413">
                  <c:v>4.3385523934611437E-3</c:v>
                </c:pt>
                <c:pt idx="414">
                  <c:v>4.6014639431320673E-3</c:v>
                </c:pt>
                <c:pt idx="415">
                  <c:v>4.8609534706087433E-3</c:v>
                </c:pt>
                <c:pt idx="416">
                  <c:v>5.1122520835605312E-3</c:v>
                </c:pt>
                <c:pt idx="417">
                  <c:v>5.3629607953840598E-3</c:v>
                </c:pt>
                <c:pt idx="418">
                  <c:v>5.6116781846496456E-3</c:v>
                </c:pt>
                <c:pt idx="419">
                  <c:v>5.8145411394551587E-3</c:v>
                </c:pt>
                <c:pt idx="420">
                  <c:v>5.9906508536077515E-3</c:v>
                </c:pt>
                <c:pt idx="421">
                  <c:v>6.1282579088007931E-3</c:v>
                </c:pt>
                <c:pt idx="422">
                  <c:v>6.2237515794641143E-3</c:v>
                </c:pt>
                <c:pt idx="423">
                  <c:v>3.6395730558031279E-3</c:v>
                </c:pt>
                <c:pt idx="424">
                  <c:v>3.6426424793085102E-3</c:v>
                </c:pt>
                <c:pt idx="425">
                  <c:v>3.7113558032746733E-3</c:v>
                </c:pt>
                <c:pt idx="426">
                  <c:v>3.862090965937438E-3</c:v>
                </c:pt>
                <c:pt idx="427">
                  <c:v>4.0427346384589082E-3</c:v>
                </c:pt>
                <c:pt idx="428">
                  <c:v>4.2640495973545207E-3</c:v>
                </c:pt>
                <c:pt idx="429">
                  <c:v>4.542235520668984E-3</c:v>
                </c:pt>
                <c:pt idx="430">
                  <c:v>4.8136130335612965E-3</c:v>
                </c:pt>
                <c:pt idx="431">
                  <c:v>5.0813898170734735E-3</c:v>
                </c:pt>
                <c:pt idx="432">
                  <c:v>5.3465083312868355E-3</c:v>
                </c:pt>
                <c:pt idx="433">
                  <c:v>5.6109994502496789E-3</c:v>
                </c:pt>
                <c:pt idx="434">
                  <c:v>5.8319310154952286E-3</c:v>
                </c:pt>
                <c:pt idx="435">
                  <c:v>6.02780031899463E-3</c:v>
                </c:pt>
                <c:pt idx="436">
                  <c:v>6.1868292685294413E-3</c:v>
                </c:pt>
                <c:pt idx="437">
                  <c:v>6.3052610949632954E-3</c:v>
                </c:pt>
                <c:pt idx="438">
                  <c:v>6.3805179545536527E-3</c:v>
                </c:pt>
                <c:pt idx="439">
                  <c:v>3.5905781702804279E-3</c:v>
                </c:pt>
                <c:pt idx="440">
                  <c:v>3.6068953685251233E-3</c:v>
                </c:pt>
                <c:pt idx="441">
                  <c:v>3.6871298730253394E-3</c:v>
                </c:pt>
                <c:pt idx="442">
                  <c:v>3.8482622089363468E-3</c:v>
                </c:pt>
                <c:pt idx="443">
                  <c:v>4.0361258827036547E-3</c:v>
                </c:pt>
                <c:pt idx="444">
                  <c:v>4.2640495973545207E-3</c:v>
                </c:pt>
                <c:pt idx="445">
                  <c:v>4.5453515462720896E-3</c:v>
                </c:pt>
                <c:pt idx="446">
                  <c:v>4.8197489744105943E-3</c:v>
                </c:pt>
                <c:pt idx="447">
                  <c:v>5.0893761189428803E-3</c:v>
                </c:pt>
                <c:pt idx="448">
                  <c:v>5.3569458057953221E-3</c:v>
                </c:pt>
                <c:pt idx="449">
                  <c:v>5.6265076778380767E-3</c:v>
                </c:pt>
                <c:pt idx="450">
                  <c:v>5.8507758359256888E-3</c:v>
                </c:pt>
                <c:pt idx="451">
                  <c:v>6.0531116948406485E-3</c:v>
                </c:pt>
                <c:pt idx="452">
                  <c:v>6.2206131087760557E-3</c:v>
                </c:pt>
                <c:pt idx="453">
                  <c:v>6.3496967377699304E-3</c:v>
                </c:pt>
                <c:pt idx="454">
                  <c:v>6.4378453165923723E-3</c:v>
                </c:pt>
                <c:pt idx="455">
                  <c:v>3.5872043596264949E-3</c:v>
                </c:pt>
                <c:pt idx="456">
                  <c:v>3.6091922277902591E-3</c:v>
                </c:pt>
                <c:pt idx="457">
                  <c:v>3.6915017454964253E-3</c:v>
                </c:pt>
                <c:pt idx="458">
                  <c:v>3.8510275230801577E-3</c:v>
                </c:pt>
                <c:pt idx="459">
                  <c:v>4.0344835780164396E-3</c:v>
                </c:pt>
                <c:pt idx="460">
                  <c:v>4.2640495973545207E-3</c:v>
                </c:pt>
                <c:pt idx="461">
                  <c:v>4.5280387761867814E-3</c:v>
                </c:pt>
                <c:pt idx="462">
                  <c:v>4.7940468096679565E-3</c:v>
                </c:pt>
                <c:pt idx="463">
                  <c:v>5.0587944039868077E-3</c:v>
                </c:pt>
                <c:pt idx="464">
                  <c:v>5.3214875377922037E-3</c:v>
                </c:pt>
                <c:pt idx="465">
                  <c:v>5.583413467009142E-3</c:v>
                </c:pt>
                <c:pt idx="466">
                  <c:v>5.811262407183786E-3</c:v>
                </c:pt>
                <c:pt idx="467">
                  <c:v>6.0164830653317977E-3</c:v>
                </c:pt>
                <c:pt idx="468">
                  <c:v>6.1901819531392302E-3</c:v>
                </c:pt>
                <c:pt idx="469">
                  <c:v>6.3288584918787189E-3</c:v>
                </c:pt>
                <c:pt idx="470">
                  <c:v>6.429984125191023E-3</c:v>
                </c:pt>
                <c:pt idx="471">
                  <c:v>3.5930861891472167E-3</c:v>
                </c:pt>
                <c:pt idx="472">
                  <c:v>3.6527963341639624E-3</c:v>
                </c:pt>
                <c:pt idx="473">
                  <c:v>3.7912386575450251E-3</c:v>
                </c:pt>
                <c:pt idx="474">
                  <c:v>3.9504566973752979E-3</c:v>
                </c:pt>
                <c:pt idx="475">
                  <c:v>4.1796129716643315E-3</c:v>
                </c:pt>
                <c:pt idx="476">
                  <c:v>4.3979648139126481E-3</c:v>
                </c:pt>
                <c:pt idx="477">
                  <c:v>4.6724713480547544E-3</c:v>
                </c:pt>
                <c:pt idx="478">
                  <c:v>4.9345664708273559E-3</c:v>
                </c:pt>
                <c:pt idx="479">
                  <c:v>5.1789639516646672E-3</c:v>
                </c:pt>
                <c:pt idx="480">
                  <c:v>5.4298204954383901E-3</c:v>
                </c:pt>
                <c:pt idx="481">
                  <c:v>5.6909062294741575E-3</c:v>
                </c:pt>
                <c:pt idx="482">
                  <c:v>5.8945133585614849E-3</c:v>
                </c:pt>
                <c:pt idx="483">
                  <c:v>6.0855767533590016E-3</c:v>
                </c:pt>
                <c:pt idx="484">
                  <c:v>6.2459124486686068E-3</c:v>
                </c:pt>
                <c:pt idx="485">
                  <c:v>6.3726379820542248E-3</c:v>
                </c:pt>
                <c:pt idx="486">
                  <c:v>6.4636864270420681E-3</c:v>
                </c:pt>
                <c:pt idx="487">
                  <c:v>6.5176845376493514E-3</c:v>
                </c:pt>
                <c:pt idx="488">
                  <c:v>3.8056144508885567E-3</c:v>
                </c:pt>
                <c:pt idx="489">
                  <c:v>3.9657278427850037E-3</c:v>
                </c:pt>
                <c:pt idx="490">
                  <c:v>4.1796129716643315E-3</c:v>
                </c:pt>
                <c:pt idx="491">
                  <c:v>4.4073223811999032E-3</c:v>
                </c:pt>
                <c:pt idx="492">
                  <c:v>4.6760064334307209E-3</c:v>
                </c:pt>
                <c:pt idx="493">
                  <c:v>4.9312742814891092E-3</c:v>
                </c:pt>
                <c:pt idx="494">
                  <c:v>5.1701104246407838E-3</c:v>
                </c:pt>
                <c:pt idx="495">
                  <c:v>5.4157304087043383E-3</c:v>
                </c:pt>
                <c:pt idx="496">
                  <c:v>5.6710122574618943E-3</c:v>
                </c:pt>
                <c:pt idx="497">
                  <c:v>5.8746544180891275E-3</c:v>
                </c:pt>
                <c:pt idx="498">
                  <c:v>6.0658363248244154E-3</c:v>
                </c:pt>
                <c:pt idx="499">
                  <c:v>6.228581424282181E-3</c:v>
                </c:pt>
                <c:pt idx="500">
                  <c:v>6.360126548189622E-3</c:v>
                </c:pt>
                <c:pt idx="501">
                  <c:v>6.4584545539170682E-3</c:v>
                </c:pt>
                <c:pt idx="502">
                  <c:v>6.5221801953018613E-3</c:v>
                </c:pt>
                <c:pt idx="503">
                  <c:v>6.550460365370445E-3</c:v>
                </c:pt>
                <c:pt idx="504">
                  <c:v>6.5429344601301053E-3</c:v>
                </c:pt>
                <c:pt idx="505">
                  <c:v>6.4996976359334747E-3</c:v>
                </c:pt>
                <c:pt idx="506">
                  <c:v>4.5556229075155536E-3</c:v>
                </c:pt>
                <c:pt idx="507">
                  <c:v>4.8022740477282463E-3</c:v>
                </c:pt>
                <c:pt idx="508">
                  <c:v>5.0480211131682653E-3</c:v>
                </c:pt>
                <c:pt idx="509">
                  <c:v>5.2940928539633647E-3</c:v>
                </c:pt>
                <c:pt idx="510">
                  <c:v>5.5305989827073481E-3</c:v>
                </c:pt>
                <c:pt idx="511">
                  <c:v>5.760317910004792E-3</c:v>
                </c:pt>
                <c:pt idx="512">
                  <c:v>5.9621861915122561E-3</c:v>
                </c:pt>
                <c:pt idx="513">
                  <c:v>6.1390921925229876E-3</c:v>
                </c:pt>
                <c:pt idx="514">
                  <c:v>6.2880315307955667E-3</c:v>
                </c:pt>
                <c:pt idx="515">
                  <c:v>6.406739957957968E-3</c:v>
                </c:pt>
                <c:pt idx="516">
                  <c:v>6.4935808852574087E-3</c:v>
                </c:pt>
                <c:pt idx="517">
                  <c:v>6.547448936836473E-3</c:v>
                </c:pt>
                <c:pt idx="518">
                  <c:v>6.5676966324153688E-3</c:v>
                </c:pt>
                <c:pt idx="519">
                  <c:v>6.5540880588883929E-3</c:v>
                </c:pt>
                <c:pt idx="520">
                  <c:v>6.5067813278562358E-3</c:v>
                </c:pt>
                <c:pt idx="521">
                  <c:v>6.4263403728665857E-3</c:v>
                </c:pt>
                <c:pt idx="522">
                  <c:v>6.3137757215730693E-3</c:v>
                </c:pt>
                <c:pt idx="523">
                  <c:v>6.1706127402372047E-3</c:v>
                </c:pt>
                <c:pt idx="524">
                  <c:v>5.5305989827073481E-3</c:v>
                </c:pt>
                <c:pt idx="525">
                  <c:v>5.7489129877750572E-3</c:v>
                </c:pt>
                <c:pt idx="526">
                  <c:v>5.9302842742024013E-3</c:v>
                </c:pt>
                <c:pt idx="527">
                  <c:v>6.1091811181969696E-3</c:v>
                </c:pt>
                <c:pt idx="528">
                  <c:v>6.2621206034961909E-3</c:v>
                </c:pt>
                <c:pt idx="529">
                  <c:v>6.3868720970497546E-3</c:v>
                </c:pt>
                <c:pt idx="530">
                  <c:v>6.4817931242309446E-3</c:v>
                </c:pt>
                <c:pt idx="531">
                  <c:v>6.5457375532261839E-3</c:v>
                </c:pt>
                <c:pt idx="532">
                  <c:v>6.5779826245296142E-3</c:v>
                </c:pt>
                <c:pt idx="533">
                  <c:v>6.5781787030885783E-3</c:v>
                </c:pt>
                <c:pt idx="534">
                  <c:v>6.5463236929763913E-3</c:v>
                </c:pt>
                <c:pt idx="535">
                  <c:v>6.4827628813925982E-3</c:v>
                </c:pt>
                <c:pt idx="536">
                  <c:v>6.3882142162138642E-3</c:v>
                </c:pt>
                <c:pt idx="537">
                  <c:v>6.2638182612876634E-3</c:v>
                </c:pt>
                <c:pt idx="538">
                  <c:v>6.1112109079000214E-3</c:v>
                </c:pt>
                <c:pt idx="539">
                  <c:v>5.9326149942691116E-3</c:v>
                </c:pt>
                <c:pt idx="540">
                  <c:v>5.7518308983890752E-3</c:v>
                </c:pt>
                <c:pt idx="541">
                  <c:v>5.5305989827073481E-3</c:v>
                </c:pt>
                <c:pt idx="542">
                  <c:v>5.2705557902132938E-3</c:v>
                </c:pt>
                <c:pt idx="543">
                  <c:v>6.4040936155723193E-3</c:v>
                </c:pt>
                <c:pt idx="544">
                  <c:v>6.4958323537515983E-3</c:v>
                </c:pt>
                <c:pt idx="545">
                  <c:v>6.5580949171558569E-3</c:v>
                </c:pt>
                <c:pt idx="546">
                  <c:v>6.5902281787264027E-3</c:v>
                </c:pt>
                <c:pt idx="547">
                  <c:v>6.5919089756575656E-3</c:v>
                </c:pt>
                <c:pt idx="548">
                  <c:v>6.5631206628119099E-3</c:v>
                </c:pt>
                <c:pt idx="549">
                  <c:v>6.504151883125019E-3</c:v>
                </c:pt>
                <c:pt idx="550">
                  <c:v>6.4156175847714511E-3</c:v>
                </c:pt>
                <c:pt idx="551">
                  <c:v>6.2985017291405133E-3</c:v>
                </c:pt>
                <c:pt idx="552">
                  <c:v>6.1542202486445522E-3</c:v>
                </c:pt>
                <c:pt idx="553">
                  <c:v>5.984701345129597E-3</c:v>
                </c:pt>
                <c:pt idx="554">
                  <c:v>5.7924779574057257E-3</c:v>
                </c:pt>
                <c:pt idx="555">
                  <c:v>5.5851987538927247E-3</c:v>
                </c:pt>
                <c:pt idx="556">
                  <c:v>5.3484694930813256E-3</c:v>
                </c:pt>
                <c:pt idx="557">
                  <c:v>5.1148157511872686E-3</c:v>
                </c:pt>
                <c:pt idx="558">
                  <c:v>4.8869639363151272E-3</c:v>
                </c:pt>
                <c:pt idx="559">
                  <c:v>4.6499718656178154E-3</c:v>
                </c:pt>
                <c:pt idx="560">
                  <c:v>4.3998668121082302E-3</c:v>
                </c:pt>
                <c:pt idx="561">
                  <c:v>4.1796129716643315E-3</c:v>
                </c:pt>
                <c:pt idx="562">
                  <c:v>6.563741655966366E-3</c:v>
                </c:pt>
                <c:pt idx="563">
                  <c:v>6.4997637561102183E-3</c:v>
                </c:pt>
                <c:pt idx="564">
                  <c:v>6.4077646247593959E-3</c:v>
                </c:pt>
                <c:pt idx="565">
                  <c:v>6.2887136421229031E-3</c:v>
                </c:pt>
                <c:pt idx="566">
                  <c:v>6.1439802535193889E-3</c:v>
                </c:pt>
                <c:pt idx="567">
                  <c:v>5.9754088406191192E-3</c:v>
                </c:pt>
                <c:pt idx="568">
                  <c:v>5.785403661393052E-3</c:v>
                </c:pt>
                <c:pt idx="569">
                  <c:v>5.5810811011925152E-3</c:v>
                </c:pt>
                <c:pt idx="570">
                  <c:v>5.3488439964574658E-3</c:v>
                </c:pt>
                <c:pt idx="571">
                  <c:v>5.1198199675291899E-3</c:v>
                </c:pt>
                <c:pt idx="572">
                  <c:v>4.8977715302066438E-3</c:v>
                </c:pt>
                <c:pt idx="573">
                  <c:v>4.6658907990734105E-3</c:v>
                </c:pt>
                <c:pt idx="574">
                  <c:v>4.4191218025689243E-3</c:v>
                </c:pt>
                <c:pt idx="575">
                  <c:v>4.2218312845094261E-3</c:v>
                </c:pt>
                <c:pt idx="576">
                  <c:v>4.0046972575443485E-3</c:v>
                </c:pt>
                <c:pt idx="577">
                  <c:v>3.8468057723968514E-3</c:v>
                </c:pt>
                <c:pt idx="578">
                  <c:v>3.7008284645045283E-3</c:v>
                </c:pt>
                <c:pt idx="579">
                  <c:v>3.6176946862183472E-3</c:v>
                </c:pt>
                <c:pt idx="580">
                  <c:v>3.5796954380557266E-3</c:v>
                </c:pt>
                <c:pt idx="581">
                  <c:v>3.5876376162598095E-3</c:v>
                </c:pt>
                <c:pt idx="582">
                  <c:v>5.7385728705935026E-3</c:v>
                </c:pt>
                <c:pt idx="583">
                  <c:v>5.5305989827073481E-3</c:v>
                </c:pt>
                <c:pt idx="584">
                  <c:v>5.283288671748031E-3</c:v>
                </c:pt>
                <c:pt idx="585">
                  <c:v>5.0561009104017817E-3</c:v>
                </c:pt>
                <c:pt idx="586">
                  <c:v>4.8324316937223138E-3</c:v>
                </c:pt>
                <c:pt idx="587">
                  <c:v>4.6062835261817666E-3</c:v>
                </c:pt>
                <c:pt idx="588">
                  <c:v>4.3693900607622224E-3</c:v>
                </c:pt>
                <c:pt idx="589">
                  <c:v>4.1796129716643315E-3</c:v>
                </c:pt>
                <c:pt idx="590">
                  <c:v>3.9742229400394477E-3</c:v>
                </c:pt>
                <c:pt idx="591">
                  <c:v>3.8252738058707774E-3</c:v>
                </c:pt>
                <c:pt idx="592">
                  <c:v>3.686348682719289E-3</c:v>
                </c:pt>
                <c:pt idx="593">
                  <c:v>3.6100865648845651E-3</c:v>
                </c:pt>
                <c:pt idx="594">
                  <c:v>3.5773049112567826E-3</c:v>
                </c:pt>
                <c:pt idx="595">
                  <c:v>3.5886715244200624E-3</c:v>
                </c:pt>
                <c:pt idx="596">
                  <c:v>3.6439550355938646E-3</c:v>
                </c:pt>
                <c:pt idx="597">
                  <c:v>3.7662266517697338E-3</c:v>
                </c:pt>
                <c:pt idx="598">
                  <c:v>3.8973961056798477E-3</c:v>
                </c:pt>
                <c:pt idx="599">
                  <c:v>4.0643723187583011E-3</c:v>
                </c:pt>
                <c:pt idx="600">
                  <c:v>4.2640495973545207E-3</c:v>
                </c:pt>
                <c:pt idx="601">
                  <c:v>4.4883475305426638E-3</c:v>
                </c:pt>
                <c:pt idx="602">
                  <c:v>4.2640495973545207E-3</c:v>
                </c:pt>
                <c:pt idx="603">
                  <c:v>4.0680075230840138E-3</c:v>
                </c:pt>
                <c:pt idx="604">
                  <c:v>3.9030587867422539E-3</c:v>
                </c:pt>
                <c:pt idx="605">
                  <c:v>3.7724224316487216E-3</c:v>
                </c:pt>
                <c:pt idx="606">
                  <c:v>3.6493736735847319E-3</c:v>
                </c:pt>
                <c:pt idx="607">
                  <c:v>3.5911884001685306E-3</c:v>
                </c:pt>
                <c:pt idx="608">
                  <c:v>3.5751724339940674E-3</c:v>
                </c:pt>
                <c:pt idx="609">
                  <c:v>3.6016391447913081E-3</c:v>
                </c:pt>
                <c:pt idx="610">
                  <c:v>3.6700704920348123E-3</c:v>
                </c:pt>
                <c:pt idx="611">
                  <c:v>3.8012694040442342E-3</c:v>
                </c:pt>
                <c:pt idx="612">
                  <c:v>3.940629079380034E-3</c:v>
                </c:pt>
                <c:pt idx="613">
                  <c:v>4.1135493288118764E-3</c:v>
                </c:pt>
                <c:pt idx="614">
                  <c:v>4.3156003818508992E-3</c:v>
                </c:pt>
                <c:pt idx="615">
                  <c:v>4.5422394418101206E-3</c:v>
                </c:pt>
                <c:pt idx="616">
                  <c:v>4.7625516445157206E-3</c:v>
                </c:pt>
                <c:pt idx="617">
                  <c:v>5.012218334920362E-3</c:v>
                </c:pt>
                <c:pt idx="618">
                  <c:v>5.2122269362348782E-3</c:v>
                </c:pt>
                <c:pt idx="619">
                  <c:v>5.4293582364414875E-3</c:v>
                </c:pt>
                <c:pt idx="620">
                  <c:v>5.6580766030311039E-3</c:v>
                </c:pt>
                <c:pt idx="621">
                  <c:v>5.8433106409939255E-3</c:v>
                </c:pt>
                <c:pt idx="622">
                  <c:v>6.0220167403918804E-3</c:v>
                </c:pt>
                <c:pt idx="623">
                  <c:v>3.6354652006173357E-3</c:v>
                </c:pt>
                <c:pt idx="624">
                  <c:v>3.7574298432133889E-3</c:v>
                </c:pt>
                <c:pt idx="625">
                  <c:v>3.8720446703113219E-3</c:v>
                </c:pt>
                <c:pt idx="626">
                  <c:v>4.0268879678215424E-3</c:v>
                </c:pt>
                <c:pt idx="627">
                  <c:v>4.2218312845094261E-3</c:v>
                </c:pt>
                <c:pt idx="628">
                  <c:v>4.4228625381999495E-3</c:v>
                </c:pt>
                <c:pt idx="629">
                  <c:v>4.6558502870269669E-3</c:v>
                </c:pt>
                <c:pt idx="630">
                  <c:v>4.8733985500879415E-3</c:v>
                </c:pt>
                <c:pt idx="631">
                  <c:v>5.0851067313881834E-3</c:v>
                </c:pt>
                <c:pt idx="632">
                  <c:v>5.3033777333983808E-3</c:v>
                </c:pt>
                <c:pt idx="633">
                  <c:v>5.5305989827073481E-3</c:v>
                </c:pt>
                <c:pt idx="634">
                  <c:v>5.7435610143394883E-3</c:v>
                </c:pt>
                <c:pt idx="635">
                  <c:v>5.9106704982712513E-3</c:v>
                </c:pt>
                <c:pt idx="636">
                  <c:v>6.0799724261257999E-3</c:v>
                </c:pt>
                <c:pt idx="637">
                  <c:v>6.2293134799366557E-3</c:v>
                </c:pt>
                <c:pt idx="638">
                  <c:v>6.3569756742226161E-3</c:v>
                </c:pt>
                <c:pt idx="639">
                  <c:v>6.4616414940551741E-3</c:v>
                </c:pt>
                <c:pt idx="640">
                  <c:v>6.5423318043758352E-3</c:v>
                </c:pt>
                <c:pt idx="641">
                  <c:v>6.598352454379397E-3</c:v>
                </c:pt>
                <c:pt idx="642">
                  <c:v>6.6292520151589405E-3</c:v>
                </c:pt>
                <c:pt idx="643">
                  <c:v>6.6347920415460743E-3</c:v>
                </c:pt>
                <c:pt idx="644">
                  <c:v>5.041172712103385E-3</c:v>
                </c:pt>
                <c:pt idx="645">
                  <c:v>5.2295944353342224E-3</c:v>
                </c:pt>
                <c:pt idx="646">
                  <c:v>5.439569744894816E-3</c:v>
                </c:pt>
                <c:pt idx="647">
                  <c:v>5.6605927399713029E-3</c:v>
                </c:pt>
                <c:pt idx="648">
                  <c:v>5.8394265318433653E-3</c:v>
                </c:pt>
                <c:pt idx="649">
                  <c:v>6.0134980266767085E-3</c:v>
                </c:pt>
                <c:pt idx="650">
                  <c:v>6.1692362987119734E-3</c:v>
                </c:pt>
                <c:pt idx="651">
                  <c:v>6.304845640033402E-3</c:v>
                </c:pt>
                <c:pt idx="652">
                  <c:v>6.4189276107714972E-3</c:v>
                </c:pt>
                <c:pt idx="653">
                  <c:v>6.5104214688231354E-3</c:v>
                </c:pt>
                <c:pt idx="654">
                  <c:v>6.5785509859163406E-3</c:v>
                </c:pt>
                <c:pt idx="655">
                  <c:v>6.6227803249263462E-3</c:v>
                </c:pt>
                <c:pt idx="656">
                  <c:v>6.6427805838715223E-3</c:v>
                </c:pt>
                <c:pt idx="657">
                  <c:v>6.6384078840259981E-3</c:v>
                </c:pt>
                <c:pt idx="658">
                  <c:v>6.6096934252359721E-3</c:v>
                </c:pt>
                <c:pt idx="659">
                  <c:v>6.5568456617551849E-3</c:v>
                </c:pt>
                <c:pt idx="660">
                  <c:v>6.4802645671032284E-3</c:v>
                </c:pt>
                <c:pt idx="661">
                  <c:v>6.3805677529912095E-3</c:v>
                </c:pt>
                <c:pt idx="662">
                  <c:v>6.2586278824760715E-3</c:v>
                </c:pt>
                <c:pt idx="663">
                  <c:v>6.1156202744511706E-3</c:v>
                </c:pt>
                <c:pt idx="664">
                  <c:v>5.9530787523795949E-3</c:v>
                </c:pt>
                <c:pt idx="665">
                  <c:v>5.7729565884012957E-3</c:v>
                </c:pt>
                <c:pt idx="666">
                  <c:v>6.4924997694914485E-3</c:v>
                </c:pt>
                <c:pt idx="667">
                  <c:v>6.5665960150663493E-3</c:v>
                </c:pt>
                <c:pt idx="668">
                  <c:v>6.6178593126281311E-3</c:v>
                </c:pt>
                <c:pt idx="669">
                  <c:v>6.6459231891138624E-3</c:v>
                </c:pt>
                <c:pt idx="670">
                  <c:v>6.6505951589760654E-3</c:v>
                </c:pt>
                <c:pt idx="671">
                  <c:v>6.6318437332265941E-3</c:v>
                </c:pt>
                <c:pt idx="672">
                  <c:v>6.5897962535707739E-3</c:v>
                </c:pt>
                <c:pt idx="673">
                  <c:v>6.5247475801059503E-3</c:v>
                </c:pt>
                <c:pt idx="674">
                  <c:v>6.4371795113770183E-3</c:v>
                </c:pt>
                <c:pt idx="675">
                  <c:v>6.3277905979579867E-3</c:v>
                </c:pt>
                <c:pt idx="676">
                  <c:v>6.1975356428998971E-3</c:v>
                </c:pt>
                <c:pt idx="677">
                  <c:v>6.0476735893937369E-3</c:v>
                </c:pt>
                <c:pt idx="678">
                  <c:v>5.8798216180752597E-3</c:v>
                </c:pt>
                <c:pt idx="679">
                  <c:v>5.7126266415080352E-3</c:v>
                </c:pt>
                <c:pt idx="680">
                  <c:v>5.4962224323113198E-3</c:v>
                </c:pt>
                <c:pt idx="681">
                  <c:v>5.2871767164451074E-3</c:v>
                </c:pt>
                <c:pt idx="682">
                  <c:v>5.0757991622833671E-3</c:v>
                </c:pt>
                <c:pt idx="683">
                  <c:v>4.8714416646594236E-3</c:v>
                </c:pt>
                <c:pt idx="684">
                  <c:v>4.6622032976739005E-3</c:v>
                </c:pt>
                <c:pt idx="685">
                  <c:v>4.4363176592703887E-3</c:v>
                </c:pt>
                <c:pt idx="686">
                  <c:v>4.2218312845094261E-3</c:v>
                </c:pt>
                <c:pt idx="687">
                  <c:v>4.048981512392559E-3</c:v>
                </c:pt>
                <c:pt idx="688">
                  <c:v>6.3653108796830303E-3</c:v>
                </c:pt>
                <c:pt idx="689">
                  <c:v>6.2428812946842003E-3</c:v>
                </c:pt>
                <c:pt idx="690">
                  <c:v>6.1011736700065612E-3</c:v>
                </c:pt>
                <c:pt idx="691">
                  <c:v>5.9416001168003264E-3</c:v>
                </c:pt>
                <c:pt idx="692">
                  <c:v>5.7659415965854418E-3</c:v>
                </c:pt>
                <c:pt idx="693">
                  <c:v>5.5804079142382302E-3</c:v>
                </c:pt>
                <c:pt idx="694">
                  <c:v>5.3699723407886176E-3</c:v>
                </c:pt>
                <c:pt idx="695">
                  <c:v>5.1650656596959853E-3</c:v>
                </c:pt>
                <c:pt idx="696">
                  <c:v>4.975218943577742E-3</c:v>
                </c:pt>
                <c:pt idx="697">
                  <c:v>4.7435812693530253E-3</c:v>
                </c:pt>
                <c:pt idx="698">
                  <c:v>4.53962327573703E-3</c:v>
                </c:pt>
                <c:pt idx="699">
                  <c:v>4.3276790453399957E-3</c:v>
                </c:pt>
                <c:pt idx="700">
                  <c:v>4.1369221633310903E-3</c:v>
                </c:pt>
                <c:pt idx="701">
                  <c:v>3.9707264460311963E-3</c:v>
                </c:pt>
                <c:pt idx="702">
                  <c:v>3.8330450633020023E-3</c:v>
                </c:pt>
                <c:pt idx="703">
                  <c:v>3.6997134999538321E-3</c:v>
                </c:pt>
                <c:pt idx="704">
                  <c:v>3.6212914076183644E-3</c:v>
                </c:pt>
                <c:pt idx="705">
                  <c:v>3.5788273596695486E-3</c:v>
                </c:pt>
                <c:pt idx="706">
                  <c:v>3.5730405209106007E-3</c:v>
                </c:pt>
                <c:pt idx="707">
                  <c:v>3.6040287563424583E-3</c:v>
                </c:pt>
                <c:pt idx="708">
                  <c:v>3.6712676120897636E-3</c:v>
                </c:pt>
                <c:pt idx="709">
                  <c:v>3.7960647228689431E-3</c:v>
                </c:pt>
                <c:pt idx="710">
                  <c:v>4.8004183255432979E-3</c:v>
                </c:pt>
                <c:pt idx="711">
                  <c:v>4.5992675808677833E-3</c:v>
                </c:pt>
                <c:pt idx="712">
                  <c:v>4.3854008853954343E-3</c:v>
                </c:pt>
                <c:pt idx="713">
                  <c:v>4.2218312845094261E-3</c:v>
                </c:pt>
                <c:pt idx="714">
                  <c:v>4.0199354302705177E-3</c:v>
                </c:pt>
                <c:pt idx="715">
                  <c:v>3.8750616724816428E-3</c:v>
                </c:pt>
                <c:pt idx="716">
                  <c:v>3.759356418869091E-3</c:v>
                </c:pt>
                <c:pt idx="717">
                  <c:v>3.6451851805373073E-3</c:v>
                </c:pt>
                <c:pt idx="718">
                  <c:v>3.5899889117414767E-3</c:v>
                </c:pt>
                <c:pt idx="719">
                  <c:v>3.5700753519413517E-3</c:v>
                </c:pt>
                <c:pt idx="720">
                  <c:v>3.5857702345622007E-3</c:v>
                </c:pt>
                <c:pt idx="721">
                  <c:v>3.6368168635032782E-3</c:v>
                </c:pt>
                <c:pt idx="722">
                  <c:v>3.7574298432133889E-3</c:v>
                </c:pt>
                <c:pt idx="723">
                  <c:v>3.8597681673193918E-3</c:v>
                </c:pt>
                <c:pt idx="724">
                  <c:v>4.0012983949020489E-3</c:v>
                </c:pt>
                <c:pt idx="725">
                  <c:v>4.1796129716643315E-3</c:v>
                </c:pt>
                <c:pt idx="726">
                  <c:v>4.3613098869794706E-3</c:v>
                </c:pt>
                <c:pt idx="727">
                  <c:v>4.5729505992361382E-3</c:v>
                </c:pt>
                <c:pt idx="728">
                  <c:v>4.7737887755674308E-3</c:v>
                </c:pt>
                <c:pt idx="729">
                  <c:v>5.0030889432100675E-3</c:v>
                </c:pt>
                <c:pt idx="730">
                  <c:v>5.1862052773549334E-3</c:v>
                </c:pt>
                <c:pt idx="731">
                  <c:v>5.3871444789296988E-3</c:v>
                </c:pt>
                <c:pt idx="732">
                  <c:v>5.5954372828383586E-3</c:v>
                </c:pt>
                <c:pt idx="733">
                  <c:v>3.5782701144427623E-3</c:v>
                </c:pt>
                <c:pt idx="734">
                  <c:v>3.6203754959371272E-3</c:v>
                </c:pt>
                <c:pt idx="735">
                  <c:v>3.6961480667126283E-3</c:v>
                </c:pt>
                <c:pt idx="736">
                  <c:v>3.8251297864599597E-3</c:v>
                </c:pt>
                <c:pt idx="737">
                  <c:v>3.9564135267179494E-3</c:v>
                </c:pt>
                <c:pt idx="738">
                  <c:v>4.1146189526852272E-3</c:v>
                </c:pt>
                <c:pt idx="739">
                  <c:v>4.2640495973545207E-3</c:v>
                </c:pt>
                <c:pt idx="740">
                  <c:v>4.498326555977282E-3</c:v>
                </c:pt>
                <c:pt idx="741">
                  <c:v>4.6862327258054629E-3</c:v>
                </c:pt>
                <c:pt idx="742">
                  <c:v>4.9161741269200488E-3</c:v>
                </c:pt>
                <c:pt idx="743">
                  <c:v>5.1060641841097964E-3</c:v>
                </c:pt>
                <c:pt idx="744">
                  <c:v>5.3068065549850768E-3</c:v>
                </c:pt>
                <c:pt idx="745">
                  <c:v>5.5305989827073489E-3</c:v>
                </c:pt>
                <c:pt idx="746">
                  <c:v>5.7134672572111914E-3</c:v>
                </c:pt>
                <c:pt idx="747">
                  <c:v>5.8728728908357623E-3</c:v>
                </c:pt>
                <c:pt idx="748">
                  <c:v>6.0348301231775694E-3</c:v>
                </c:pt>
                <c:pt idx="749">
                  <c:v>6.1808782563736375E-3</c:v>
                </c:pt>
                <c:pt idx="750">
                  <c:v>6.3096034212070974E-3</c:v>
                </c:pt>
                <c:pt idx="751">
                  <c:v>6.4198891501002463E-3</c:v>
                </c:pt>
                <c:pt idx="752">
                  <c:v>6.5108729464165033E-3</c:v>
                </c:pt>
                <c:pt idx="753">
                  <c:v>6.5819070214065212E-3</c:v>
                </c:pt>
                <c:pt idx="754">
                  <c:v>6.6325248686574818E-3</c:v>
                </c:pt>
                <c:pt idx="755">
                  <c:v>6.6624147121066499E-3</c:v>
                </c:pt>
                <c:pt idx="756">
                  <c:v>6.6714004200221222E-3</c:v>
                </c:pt>
                <c:pt idx="757">
                  <c:v>6.6594301912490427E-3</c:v>
                </c:pt>
                <c:pt idx="758">
                  <c:v>5.4566275162425603E-3</c:v>
                </c:pt>
                <c:pt idx="759">
                  <c:v>5.6611260254692776E-3</c:v>
                </c:pt>
                <c:pt idx="760">
                  <c:v>5.8267025491144341E-3</c:v>
                </c:pt>
                <c:pt idx="761">
                  <c:v>5.9905098538787019E-3</c:v>
                </c:pt>
                <c:pt idx="762">
                  <c:v>6.1394108665894171E-3</c:v>
                </c:pt>
                <c:pt idx="763">
                  <c:v>6.2719704882884877E-3</c:v>
                </c:pt>
                <c:pt idx="764">
                  <c:v>6.387045007879873E-3</c:v>
                </c:pt>
                <c:pt idx="765">
                  <c:v>6.4837410142083232E-3</c:v>
                </c:pt>
                <c:pt idx="766">
                  <c:v>6.5613774618776977E-3</c:v>
                </c:pt>
                <c:pt idx="767">
                  <c:v>6.6194526026944166E-3</c:v>
                </c:pt>
                <c:pt idx="768">
                  <c:v>6.6576168770455212E-3</c:v>
                </c:pt>
                <c:pt idx="769">
                  <c:v>6.6756524139054809E-3</c:v>
                </c:pt>
                <c:pt idx="770">
                  <c:v>6.6734594907888719E-3</c:v>
                </c:pt>
                <c:pt idx="771">
                  <c:v>6.6510501223507202E-3</c:v>
                </c:pt>
                <c:pt idx="772">
                  <c:v>6.6085488402784246E-3</c:v>
                </c:pt>
                <c:pt idx="773">
                  <c:v>6.5462006574423812E-3</c:v>
                </c:pt>
                <c:pt idx="774">
                  <c:v>6.4643861351670337E-3</c:v>
                </c:pt>
                <c:pt idx="775">
                  <c:v>6.3636433532070075E-3</c:v>
                </c:pt>
                <c:pt idx="776">
                  <c:v>6.2446963776660227E-3</c:v>
                </c:pt>
                <c:pt idx="777">
                  <c:v>6.1084894951999704E-3</c:v>
                </c:pt>
                <c:pt idx="778">
                  <c:v>5.9562260005169808E-3</c:v>
                </c:pt>
                <c:pt idx="779">
                  <c:v>5.7894096677642672E-3</c:v>
                </c:pt>
                <c:pt idx="780">
                  <c:v>6.612385116671002E-3</c:v>
                </c:pt>
                <c:pt idx="781">
                  <c:v>6.6549181982658101E-3</c:v>
                </c:pt>
                <c:pt idx="782">
                  <c:v>6.6780355944332497E-3</c:v>
                </c:pt>
                <c:pt idx="783">
                  <c:v>6.7030007666118163E-3</c:v>
                </c:pt>
                <c:pt idx="784">
                  <c:v>6.665636339122389E-3</c:v>
                </c:pt>
                <c:pt idx="785">
                  <c:v>6.6301851207024084E-3</c:v>
                </c:pt>
                <c:pt idx="786">
                  <c:v>6.5754532250421223E-3</c:v>
                </c:pt>
                <c:pt idx="787">
                  <c:v>6.501753004712155E-3</c:v>
                </c:pt>
                <c:pt idx="788">
                  <c:v>6.409535009428838E-3</c:v>
                </c:pt>
                <c:pt idx="789">
                  <c:v>6.299412241415398E-3</c:v>
                </c:pt>
                <c:pt idx="790">
                  <c:v>6.1721899641362455E-3</c:v>
                </c:pt>
                <c:pt idx="791">
                  <c:v>6.0289001754050336E-3</c:v>
                </c:pt>
                <c:pt idx="792">
                  <c:v>5.8708393417900642E-3</c:v>
                </c:pt>
                <c:pt idx="793">
                  <c:v>5.7166505904129609E-3</c:v>
                </c:pt>
                <c:pt idx="794">
                  <c:v>5.5305989827073481E-3</c:v>
                </c:pt>
                <c:pt idx="795">
                  <c:v>5.3211915930864205E-3</c:v>
                </c:pt>
                <c:pt idx="796">
                  <c:v>5.1269090649593849E-3</c:v>
                </c:pt>
                <c:pt idx="797">
                  <c:v>4.9462653769460976E-3</c:v>
                </c:pt>
                <c:pt idx="798">
                  <c:v>4.7295508759196744E-3</c:v>
                </c:pt>
                <c:pt idx="799">
                  <c:v>4.5391743187454857E-3</c:v>
                </c:pt>
                <c:pt idx="800">
                  <c:v>4.3394304351894114E-3</c:v>
                </c:pt>
                <c:pt idx="801">
                  <c:v>4.1796129716643315E-3</c:v>
                </c:pt>
                <c:pt idx="802">
                  <c:v>3.9981395383527699E-3</c:v>
                </c:pt>
                <c:pt idx="803">
                  <c:v>3.8626646814587857E-3</c:v>
                </c:pt>
                <c:pt idx="804">
                  <c:v>3.7574298432133889E-3</c:v>
                </c:pt>
                <c:pt idx="805">
                  <c:v>5.9208703056672094E-3</c:v>
                </c:pt>
                <c:pt idx="806">
                  <c:v>5.7799099068735161E-3</c:v>
                </c:pt>
                <c:pt idx="807">
                  <c:v>5.5835123802779902E-3</c:v>
                </c:pt>
                <c:pt idx="808">
                  <c:v>5.3871780020386317E-3</c:v>
                </c:pt>
                <c:pt idx="809">
                  <c:v>5.1980488766037117E-3</c:v>
                </c:pt>
                <c:pt idx="810">
                  <c:v>5.0303607783961013E-3</c:v>
                </c:pt>
                <c:pt idx="811">
                  <c:v>4.8130983493475847E-3</c:v>
                </c:pt>
                <c:pt idx="812">
                  <c:v>4.6250032755632648E-3</c:v>
                </c:pt>
                <c:pt idx="813">
                  <c:v>4.421198588045289E-3</c:v>
                </c:pt>
                <c:pt idx="814">
                  <c:v>4.2218312845094261E-3</c:v>
                </c:pt>
                <c:pt idx="815">
                  <c:v>4.0671090976984519E-3</c:v>
                </c:pt>
                <c:pt idx="816">
                  <c:v>3.9221775316957965E-3</c:v>
                </c:pt>
                <c:pt idx="817">
                  <c:v>3.8022858798184111E-3</c:v>
                </c:pt>
                <c:pt idx="818">
                  <c:v>3.6816549960576274E-3</c:v>
                </c:pt>
                <c:pt idx="819">
                  <c:v>3.612899897191216E-3</c:v>
                </c:pt>
                <c:pt idx="820">
                  <c:v>3.5749333008890756E-3</c:v>
                </c:pt>
                <c:pt idx="821">
                  <c:v>3.5683034637813763E-3</c:v>
                </c:pt>
                <c:pt idx="822">
                  <c:v>3.5931060188156738E-3</c:v>
                </c:pt>
                <c:pt idx="823">
                  <c:v>3.648983037933476E-3</c:v>
                </c:pt>
                <c:pt idx="824">
                  <c:v>3.7597016517421219E-3</c:v>
                </c:pt>
                <c:pt idx="825">
                  <c:v>3.8684943689036091E-3</c:v>
                </c:pt>
                <c:pt idx="826">
                  <c:v>4.003113056758845E-3</c:v>
                </c:pt>
                <c:pt idx="827">
                  <c:v>4.1796129716643315E-3</c:v>
                </c:pt>
                <c:pt idx="828">
                  <c:v>4.3403680889833023E-3</c:v>
                </c:pt>
                <c:pt idx="829">
                  <c:v>3.9630289964507738E-3</c:v>
                </c:pt>
                <c:pt idx="830">
                  <c:v>3.836987518560553E-3</c:v>
                </c:pt>
                <c:pt idx="831">
                  <c:v>3.7105363998035682E-3</c:v>
                </c:pt>
                <c:pt idx="832">
                  <c:v>3.6326592887905192E-3</c:v>
                </c:pt>
                <c:pt idx="833">
                  <c:v>3.5844007707487328E-3</c:v>
                </c:pt>
                <c:pt idx="834">
                  <c:v>3.5664380293367053E-3</c:v>
                </c:pt>
                <c:pt idx="835">
                  <c:v>3.5790227276850726E-3</c:v>
                </c:pt>
                <c:pt idx="836">
                  <c:v>3.6219785731942331E-3</c:v>
                </c:pt>
                <c:pt idx="837">
                  <c:v>3.6947030221081171E-3</c:v>
                </c:pt>
                <c:pt idx="838">
                  <c:v>3.8173726330921736E-3</c:v>
                </c:pt>
                <c:pt idx="839">
                  <c:v>3.939034979972565E-3</c:v>
                </c:pt>
                <c:pt idx="840">
                  <c:v>4.0847722691133292E-3</c:v>
                </c:pt>
                <c:pt idx="841">
                  <c:v>4.2218312845094261E-3</c:v>
                </c:pt>
                <c:pt idx="842">
                  <c:v>4.4376358713026504E-3</c:v>
                </c:pt>
                <c:pt idx="843">
                  <c:v>4.6397610026913906E-3</c:v>
                </c:pt>
                <c:pt idx="844">
                  <c:v>4.8249084658862585E-3</c:v>
                </c:pt>
                <c:pt idx="845">
                  <c:v>5.0395266591869992E-3</c:v>
                </c:pt>
                <c:pt idx="846">
                  <c:v>5.2033099803174016E-3</c:v>
                </c:pt>
                <c:pt idx="847">
                  <c:v>5.3896685584196701E-3</c:v>
                </c:pt>
                <c:pt idx="848">
                  <c:v>5.5834559748641445E-3</c:v>
                </c:pt>
                <c:pt idx="849">
                  <c:v>5.7772478507186111E-3</c:v>
                </c:pt>
                <c:pt idx="850">
                  <c:v>5.916610720067458E-3</c:v>
                </c:pt>
                <c:pt idx="851">
                  <c:v>6.0669890859667407E-3</c:v>
                </c:pt>
                <c:pt idx="852">
                  <c:v>6.2032083847076746E-3</c:v>
                </c:pt>
                <c:pt idx="853">
                  <c:v>6.324149185195067E-3</c:v>
                </c:pt>
                <c:pt idx="854">
                  <c:v>4.2218312845094261E-3</c:v>
                </c:pt>
                <c:pt idx="855">
                  <c:v>4.3724063682786052E-3</c:v>
                </c:pt>
                <c:pt idx="856">
                  <c:v>4.5663437874842753E-3</c:v>
                </c:pt>
                <c:pt idx="857">
                  <c:v>4.7481740604642846E-3</c:v>
                </c:pt>
                <c:pt idx="858">
                  <c:v>4.9565050453464713E-3</c:v>
                </c:pt>
                <c:pt idx="859">
                  <c:v>5.1278057772770648E-3</c:v>
                </c:pt>
                <c:pt idx="860">
                  <c:v>5.3141655896681034E-3</c:v>
                </c:pt>
                <c:pt idx="861">
                  <c:v>5.5003358814596382E-3</c:v>
                </c:pt>
                <c:pt idx="862">
                  <c:v>5.6932325507400953E-3</c:v>
                </c:pt>
                <c:pt idx="863">
                  <c:v>5.8447592677740431E-3</c:v>
                </c:pt>
                <c:pt idx="864">
                  <c:v>5.9991868902027042E-3</c:v>
                </c:pt>
                <c:pt idx="865">
                  <c:v>6.1404819710822031E-3</c:v>
                </c:pt>
                <c:pt idx="866">
                  <c:v>6.2674617039474969E-3</c:v>
                </c:pt>
                <c:pt idx="867">
                  <c:v>6.3791721510245494E-3</c:v>
                </c:pt>
                <c:pt idx="868">
                  <c:v>6.4748571616191205E-3</c:v>
                </c:pt>
                <c:pt idx="869">
                  <c:v>6.5539293919926276E-3</c:v>
                </c:pt>
                <c:pt idx="870">
                  <c:v>6.6159445861280475E-3</c:v>
                </c:pt>
                <c:pt idx="871">
                  <c:v>6.6605798794811457E-3</c:v>
                </c:pt>
                <c:pt idx="872">
                  <c:v>6.7092881804497089E-3</c:v>
                </c:pt>
                <c:pt idx="873">
                  <c:v>6.7190386268021528E-3</c:v>
                </c:pt>
                <c:pt idx="874">
                  <c:v>6.7101823506747474E-3</c:v>
                </c:pt>
                <c:pt idx="875">
                  <c:v>6.6622841561035694E-3</c:v>
                </c:pt>
                <c:pt idx="876">
                  <c:v>6.6184909054328939E-3</c:v>
                </c:pt>
                <c:pt idx="877">
                  <c:v>6.5573049720938715E-3</c:v>
                </c:pt>
                <c:pt idx="878">
                  <c:v>6.4790438540317163E-3</c:v>
                </c:pt>
                <c:pt idx="879">
                  <c:v>6.3841455077398215E-3</c:v>
                </c:pt>
                <c:pt idx="880">
                  <c:v>6.3417357960211885E-3</c:v>
                </c:pt>
                <c:pt idx="881">
                  <c:v>6.4423479975277672E-3</c:v>
                </c:pt>
                <c:pt idx="882">
                  <c:v>6.5270455850745873E-3</c:v>
                </c:pt>
                <c:pt idx="883">
                  <c:v>6.5953542866484692E-3</c:v>
                </c:pt>
                <c:pt idx="884">
                  <c:v>6.6469215036258633E-3</c:v>
                </c:pt>
                <c:pt idx="885">
                  <c:v>6.7028858742838307E-3</c:v>
                </c:pt>
                <c:pt idx="886">
                  <c:v>6.7211339894909343E-3</c:v>
                </c:pt>
                <c:pt idx="887">
                  <c:v>6.7213455723719355E-3</c:v>
                </c:pt>
                <c:pt idx="888">
                  <c:v>6.7035190248828282E-3</c:v>
                </c:pt>
                <c:pt idx="889">
                  <c:v>6.6479268463867083E-3</c:v>
                </c:pt>
                <c:pt idx="890">
                  <c:v>6.5967552572633384E-3</c:v>
                </c:pt>
                <c:pt idx="891">
                  <c:v>6.52883522800467E-3</c:v>
                </c:pt>
                <c:pt idx="892">
                  <c:v>6.4445167366240673E-3</c:v>
                </c:pt>
                <c:pt idx="893">
                  <c:v>6.3442709691522783E-3</c:v>
                </c:pt>
                <c:pt idx="894">
                  <c:v>6.2287120644354274E-3</c:v>
                </c:pt>
                <c:pt idx="895">
                  <c:v>6.09862234159355E-3</c:v>
                </c:pt>
                <c:pt idx="896">
                  <c:v>5.9549802091281015E-3</c:v>
                </c:pt>
                <c:pt idx="897">
                  <c:v>5.7989895670990691E-3</c:v>
                </c:pt>
                <c:pt idx="898">
                  <c:v>5.6416004836748711E-3</c:v>
                </c:pt>
                <c:pt idx="899">
                  <c:v>5.4505044222655447E-3</c:v>
                </c:pt>
                <c:pt idx="900">
                  <c:v>5.2694183644017003E-3</c:v>
                </c:pt>
                <c:pt idx="901">
                  <c:v>5.0842943340334481E-3</c:v>
                </c:pt>
                <c:pt idx="902">
                  <c:v>4.9107015627287082E-3</c:v>
                </c:pt>
                <c:pt idx="903">
                  <c:v>4.6862327258054629E-3</c:v>
                </c:pt>
                <c:pt idx="904">
                  <c:v>4.5284664989492978E-3</c:v>
                </c:pt>
                <c:pt idx="905">
                  <c:v>4.3400300180439985E-3</c:v>
                </c:pt>
                <c:pt idx="906">
                  <c:v>6.3942593558388786E-3</c:v>
                </c:pt>
                <c:pt idx="907">
                  <c:v>6.2870283309796084E-3</c:v>
                </c:pt>
                <c:pt idx="908">
                  <c:v>6.1653071268453694E-3</c:v>
                </c:pt>
                <c:pt idx="909">
                  <c:v>6.0299372666058155E-3</c:v>
                </c:pt>
                <c:pt idx="910">
                  <c:v>5.8819596767597272E-3</c:v>
                </c:pt>
                <c:pt idx="911">
                  <c:v>5.7424948925703595E-3</c:v>
                </c:pt>
                <c:pt idx="912">
                  <c:v>5.5305989827073481E-3</c:v>
                </c:pt>
                <c:pt idx="913">
                  <c:v>5.3706642078485065E-3</c:v>
                </c:pt>
                <c:pt idx="914">
                  <c:v>5.1911027573441444E-3</c:v>
                </c:pt>
                <c:pt idx="915">
                  <c:v>5.0341590578747448E-3</c:v>
                </c:pt>
                <c:pt idx="916">
                  <c:v>4.8281362628352946E-3</c:v>
                </c:pt>
                <c:pt idx="917">
                  <c:v>4.6513770505795761E-3</c:v>
                </c:pt>
                <c:pt idx="918">
                  <c:v>4.4562274063995495E-3</c:v>
                </c:pt>
                <c:pt idx="919">
                  <c:v>4.2640495973545207E-3</c:v>
                </c:pt>
                <c:pt idx="920">
                  <c:v>4.1125608814562425E-3</c:v>
                </c:pt>
                <c:pt idx="921">
                  <c:v>3.9682459314671313E-3</c:v>
                </c:pt>
                <c:pt idx="922">
                  <c:v>3.8456817739288872E-3</c:v>
                </c:pt>
                <c:pt idx="923">
                  <c:v>3.7211205589994631E-3</c:v>
                </c:pt>
                <c:pt idx="924">
                  <c:v>3.6421835721592707E-3</c:v>
                </c:pt>
                <c:pt idx="925">
                  <c:v>3.5903503871058456E-3</c:v>
                </c:pt>
                <c:pt idx="926">
                  <c:v>3.5662899175273131E-3</c:v>
                </c:pt>
                <c:pt idx="927">
                  <c:v>3.5703121565917742E-3</c:v>
                </c:pt>
                <c:pt idx="928">
                  <c:v>3.6023653046035236E-3</c:v>
                </c:pt>
                <c:pt idx="929">
                  <c:v>3.6620362477748597E-3</c:v>
                </c:pt>
                <c:pt idx="930">
                  <c:v>3.7723859332551898E-3</c:v>
                </c:pt>
                <c:pt idx="931">
                  <c:v>3.8784246993323547E-3</c:v>
                </c:pt>
                <c:pt idx="932">
                  <c:v>4.3639566344973466E-3</c:v>
                </c:pt>
                <c:pt idx="933">
                  <c:v>4.2218312845094261E-3</c:v>
                </c:pt>
                <c:pt idx="934">
                  <c:v>4.0413363531061862E-3</c:v>
                </c:pt>
                <c:pt idx="935">
                  <c:v>3.9086957232452686E-3</c:v>
                </c:pt>
                <c:pt idx="936">
                  <c:v>3.7979887238570324E-3</c:v>
                </c:pt>
                <c:pt idx="937">
                  <c:v>3.6831728240529936E-3</c:v>
                </c:pt>
                <c:pt idx="938">
                  <c:v>3.616560231382719E-3</c:v>
                </c:pt>
                <c:pt idx="939">
                  <c:v>3.5766561045006058E-3</c:v>
                </c:pt>
                <c:pt idx="940">
                  <c:v>3.5639613845513899E-3</c:v>
                </c:pt>
                <c:pt idx="941">
                  <c:v>3.5786352599840796E-3</c:v>
                </c:pt>
                <c:pt idx="942">
                  <c:v>3.6204937165978139E-3</c:v>
                </c:pt>
                <c:pt idx="943">
                  <c:v>3.6890112140150408E-3</c:v>
                </c:pt>
                <c:pt idx="944">
                  <c:v>3.8052344106028362E-3</c:v>
                </c:pt>
                <c:pt idx="945">
                  <c:v>3.9175798472091822E-3</c:v>
                </c:pt>
                <c:pt idx="946">
                  <c:v>4.0517459787394921E-3</c:v>
                </c:pt>
                <c:pt idx="947">
                  <c:v>4.2218312845094261E-3</c:v>
                </c:pt>
                <c:pt idx="948">
                  <c:v>4.3768693239572675E-3</c:v>
                </c:pt>
                <c:pt idx="949">
                  <c:v>4.5633027289282962E-3</c:v>
                </c:pt>
                <c:pt idx="950">
                  <c:v>4.7371569309244922E-3</c:v>
                </c:pt>
                <c:pt idx="951">
                  <c:v>4.9366762097644377E-3</c:v>
                </c:pt>
                <c:pt idx="952">
                  <c:v>5.1027496692904826E-3</c:v>
                </c:pt>
                <c:pt idx="953">
                  <c:v>5.2826885745904349E-3</c:v>
                </c:pt>
                <c:pt idx="954">
                  <c:v>5.4595805270560701E-3</c:v>
                </c:pt>
                <c:pt idx="955">
                  <c:v>5.645780834290003E-3</c:v>
                </c:pt>
                <c:pt idx="956">
                  <c:v>5.79854504682623E-3</c:v>
                </c:pt>
                <c:pt idx="957">
                  <c:v>5.9509388770395818E-3</c:v>
                </c:pt>
                <c:pt idx="958">
                  <c:v>6.0917300260232765E-3</c:v>
                </c:pt>
                <c:pt idx="959">
                  <c:v>3.9822724127861978E-3</c:v>
                </c:pt>
                <c:pt idx="960">
                  <c:v>4.1248499189388997E-3</c:v>
                </c:pt>
                <c:pt idx="961">
                  <c:v>4.2640495973545207E-3</c:v>
                </c:pt>
                <c:pt idx="962">
                  <c:v>4.4616132518639036E-3</c:v>
                </c:pt>
                <c:pt idx="963">
                  <c:v>4.6520274124073023E-3</c:v>
                </c:pt>
                <c:pt idx="964">
                  <c:v>4.8236594331362579E-3</c:v>
                </c:pt>
                <c:pt idx="965">
                  <c:v>5.0241949598638334E-3</c:v>
                </c:pt>
                <c:pt idx="966">
                  <c:v>5.1778019735898521E-3</c:v>
                </c:pt>
                <c:pt idx="967">
                  <c:v>5.3533580686108235E-3</c:v>
                </c:pt>
                <c:pt idx="968">
                  <c:v>5.5305989827073481E-3</c:v>
                </c:pt>
                <c:pt idx="969">
                  <c:v>5.7151743201230313E-3</c:v>
                </c:pt>
                <c:pt idx="970">
                  <c:v>5.85540485581544E-3</c:v>
                </c:pt>
                <c:pt idx="971">
                  <c:v>6.0020474370593262E-3</c:v>
                </c:pt>
                <c:pt idx="972">
                  <c:v>6.1370067712835808E-3</c:v>
                </c:pt>
                <c:pt idx="973">
                  <c:v>6.2592833215958585E-3</c:v>
                </c:pt>
                <c:pt idx="974">
                  <c:v>6.3680622152619062E-3</c:v>
                </c:pt>
                <c:pt idx="975">
                  <c:v>6.4626891687751039E-3</c:v>
                </c:pt>
                <c:pt idx="976">
                  <c:v>6.542647837860004E-3</c:v>
                </c:pt>
                <c:pt idx="977">
                  <c:v>6.607539414491651E-3</c:v>
                </c:pt>
                <c:pt idx="978">
                  <c:v>6.6570650251780352E-3</c:v>
                </c:pt>
                <c:pt idx="979">
                  <c:v>6.7128475540614452E-3</c:v>
                </c:pt>
                <c:pt idx="980">
                  <c:v>6.731944892916235E-3</c:v>
                </c:pt>
                <c:pt idx="981">
                  <c:v>6.7345001299379372E-3</c:v>
                </c:pt>
                <c:pt idx="982">
                  <c:v>6.72049582019497E-3</c:v>
                </c:pt>
                <c:pt idx="983">
                  <c:v>6.6692035947284326E-3</c:v>
                </c:pt>
                <c:pt idx="984">
                  <c:v>6.6244636497550923E-3</c:v>
                </c:pt>
                <c:pt idx="985">
                  <c:v>6.5642833950785243E-3</c:v>
                </c:pt>
                <c:pt idx="986">
                  <c:v>6.199186160633462E-3</c:v>
                </c:pt>
                <c:pt idx="987">
                  <c:v>6.3137843297643966E-3</c:v>
                </c:pt>
                <c:pt idx="988">
                  <c:v>6.4149302497601181E-3</c:v>
                </c:pt>
                <c:pt idx="989">
                  <c:v>6.5020608624024147E-3</c:v>
                </c:pt>
                <c:pt idx="990">
                  <c:v>6.5747345827741575E-3</c:v>
                </c:pt>
                <c:pt idx="991">
                  <c:v>6.6326132495139901E-3</c:v>
                </c:pt>
                <c:pt idx="992">
                  <c:v>6.6754468334479494E-3</c:v>
                </c:pt>
                <c:pt idx="993">
                  <c:v>6.7254708610545036E-3</c:v>
                </c:pt>
                <c:pt idx="994">
                  <c:v>6.7383518384549505E-3</c:v>
                </c:pt>
                <c:pt idx="995">
                  <c:v>6.7351162448616884E-3</c:v>
                </c:pt>
                <c:pt idx="996">
                  <c:v>6.7157854800002047E-3</c:v>
                </c:pt>
                <c:pt idx="997">
                  <c:v>6.6600773004458604E-3</c:v>
                </c:pt>
                <c:pt idx="998">
                  <c:v>6.6111810021124663E-3</c:v>
                </c:pt>
                <c:pt idx="999">
                  <c:v>6.5473302290411876E-3</c:v>
                </c:pt>
                <c:pt idx="1000">
                  <c:v>6.4688087306147609E-3</c:v>
                </c:pt>
                <c:pt idx="1001">
                  <c:v>6.3759941744082199E-3</c:v>
                </c:pt>
                <c:pt idx="1002">
                  <c:v>6.2693745828094763E-3</c:v>
                </c:pt>
                <c:pt idx="1003">
                  <c:v>6.1495673843658663E-3</c:v>
                </c:pt>
                <c:pt idx="1004">
                  <c:v>6.0173405882090114E-3</c:v>
                </c:pt>
                <c:pt idx="1005">
                  <c:v>5.8736353521890274E-3</c:v>
                </c:pt>
                <c:pt idx="1006">
                  <c:v>5.7390626175664377E-3</c:v>
                </c:pt>
                <c:pt idx="1007">
                  <c:v>5.5305989827073481E-3</c:v>
                </c:pt>
                <c:pt idx="1008">
                  <c:v>5.3802142175623409E-3</c:v>
                </c:pt>
                <c:pt idx="1009">
                  <c:v>5.207722427906643E-3</c:v>
                </c:pt>
                <c:pt idx="1010">
                  <c:v>5.0304812452454818E-3</c:v>
                </c:pt>
                <c:pt idx="1011">
                  <c:v>4.8617370997656997E-3</c:v>
                </c:pt>
                <c:pt idx="1012">
                  <c:v>4.6862327258054629E-3</c:v>
                </c:pt>
                <c:pt idx="1013">
                  <c:v>6.5200960907188747E-3</c:v>
                </c:pt>
                <c:pt idx="1014">
                  <c:v>6.4368626467086968E-3</c:v>
                </c:pt>
                <c:pt idx="1015">
                  <c:v>6.3398808665857224E-3</c:v>
                </c:pt>
                <c:pt idx="1016">
                  <c:v>6.2296630331869851E-3</c:v>
                </c:pt>
                <c:pt idx="1017">
                  <c:v>6.1068513821946648E-3</c:v>
                </c:pt>
                <c:pt idx="1018">
                  <c:v>5.9722386028397013E-3</c:v>
                </c:pt>
                <c:pt idx="1019">
                  <c:v>5.8267893351769328E-3</c:v>
                </c:pt>
                <c:pt idx="1020">
                  <c:v>5.6854569766362825E-3</c:v>
                </c:pt>
                <c:pt idx="1021">
                  <c:v>5.5305989827073481E-3</c:v>
                </c:pt>
                <c:pt idx="1022">
                  <c:v>5.3332528918965845E-3</c:v>
                </c:pt>
                <c:pt idx="1023">
                  <c:v>5.1613600264919261E-3</c:v>
                </c:pt>
                <c:pt idx="1024">
                  <c:v>5.0103389472620843E-3</c:v>
                </c:pt>
                <c:pt idx="1025">
                  <c:v>4.8150782510562925E-3</c:v>
                </c:pt>
                <c:pt idx="1026">
                  <c:v>4.648213283382812E-3</c:v>
                </c:pt>
                <c:pt idx="1027">
                  <c:v>4.4625110945134385E-3</c:v>
                </c:pt>
                <c:pt idx="1028">
                  <c:v>4.2640495973545207E-3</c:v>
                </c:pt>
                <c:pt idx="1029">
                  <c:v>4.1329736538138172E-3</c:v>
                </c:pt>
                <c:pt idx="1030">
                  <c:v>3.9925520563359029E-3</c:v>
                </c:pt>
                <c:pt idx="1031">
                  <c:v>3.8714575904719708E-3</c:v>
                </c:pt>
                <c:pt idx="1032">
                  <c:v>3.7711158653886273E-3</c:v>
                </c:pt>
                <c:pt idx="1033">
                  <c:v>3.6642089900996463E-3</c:v>
                </c:pt>
                <c:pt idx="1034">
                  <c:v>3.6053883722596807E-3</c:v>
                </c:pt>
                <c:pt idx="1035">
                  <c:v>3.5714340296340817E-3</c:v>
                </c:pt>
                <c:pt idx="1036">
                  <c:v>3.5627406900079019E-3</c:v>
                </c:pt>
                <c:pt idx="1037">
                  <c:v>3.5794093324501013E-3</c:v>
                </c:pt>
                <c:pt idx="1038">
                  <c:v>3.6212463094830133E-3</c:v>
                </c:pt>
                <c:pt idx="1039">
                  <c:v>3.6877650319210864E-3</c:v>
                </c:pt>
                <c:pt idx="1040">
                  <c:v>3.8003825176937305E-3</c:v>
                </c:pt>
                <c:pt idx="1041">
                  <c:v>4.4050364443663278E-3</c:v>
                </c:pt>
                <c:pt idx="1042">
                  <c:v>4.2218312845094261E-3</c:v>
                </c:pt>
                <c:pt idx="1043">
                  <c:v>4.0887574903087573E-3</c:v>
                </c:pt>
                <c:pt idx="1044">
                  <c:v>3.955446410453263E-3</c:v>
                </c:pt>
                <c:pt idx="1045">
                  <c:v>3.8414214402289347E-3</c:v>
                </c:pt>
                <c:pt idx="1046">
                  <c:v>3.7574298432133889E-3</c:v>
                </c:pt>
                <c:pt idx="1047">
                  <c:v>3.6467620829804845E-3</c:v>
                </c:pt>
                <c:pt idx="1048">
                  <c:v>3.5945855662888352E-3</c:v>
                </c:pt>
                <c:pt idx="1049">
                  <c:v>3.5667952647112987E-3</c:v>
                </c:pt>
                <c:pt idx="1050">
                  <c:v>3.5637063498364448E-3</c:v>
                </c:pt>
                <c:pt idx="1051">
                  <c:v>3.5853538329213169E-3</c:v>
                </c:pt>
                <c:pt idx="1052">
                  <c:v>3.6314922653087793E-3</c:v>
                </c:pt>
                <c:pt idx="1053">
                  <c:v>3.7015978426557599E-3</c:v>
                </c:pt>
                <c:pt idx="1054">
                  <c:v>3.8161427558501878E-3</c:v>
                </c:pt>
                <c:pt idx="1055">
                  <c:v>3.9251440854499147E-3</c:v>
                </c:pt>
                <c:pt idx="1056">
                  <c:v>4.0537796420329168E-3</c:v>
                </c:pt>
                <c:pt idx="1057">
                  <c:v>4.2218312845094261E-3</c:v>
                </c:pt>
                <c:pt idx="1058">
                  <c:v>4.3623998047584754E-3</c:v>
                </c:pt>
                <c:pt idx="1059">
                  <c:v>4.5384285301752125E-3</c:v>
                </c:pt>
                <c:pt idx="1060">
                  <c:v>4.6862327258054629E-3</c:v>
                </c:pt>
                <c:pt idx="1061">
                  <c:v>4.890988223371205E-3</c:v>
                </c:pt>
                <c:pt idx="1062">
                  <c:v>5.0528522685467352E-3</c:v>
                </c:pt>
                <c:pt idx="1063">
                  <c:v>5.225475768596625E-3</c:v>
                </c:pt>
                <c:pt idx="1064">
                  <c:v>5.3933931927557799E-3</c:v>
                </c:pt>
                <c:pt idx="1065">
                  <c:v>5.5686820517809842E-3</c:v>
                </c:pt>
                <c:pt idx="1066">
                  <c:v>5.7446759652532882E-3</c:v>
                </c:pt>
                <c:pt idx="1067">
                  <c:v>5.8749467533069644E-3</c:v>
                </c:pt>
                <c:pt idx="1068">
                  <c:v>6.0155005224329398E-3</c:v>
                </c:pt>
                <c:pt idx="1069">
                  <c:v>3.9568887964291661E-3</c:v>
                </c:pt>
                <c:pt idx="1070">
                  <c:v>4.0887880044961494E-3</c:v>
                </c:pt>
                <c:pt idx="1071">
                  <c:v>4.2218312845094261E-3</c:v>
                </c:pt>
                <c:pt idx="1072">
                  <c:v>4.4010818442748222E-3</c:v>
                </c:pt>
                <c:pt idx="1073">
                  <c:v>4.577937471015852E-3</c:v>
                </c:pt>
                <c:pt idx="1074">
                  <c:v>4.740329247359289E-3</c:v>
                </c:pt>
                <c:pt idx="1075">
                  <c:v>4.927949979699039E-3</c:v>
                </c:pt>
                <c:pt idx="1076">
                  <c:v>5.0841708483966228E-3</c:v>
                </c:pt>
                <c:pt idx="1077">
                  <c:v>5.2541243544388851E-3</c:v>
                </c:pt>
                <c:pt idx="1078">
                  <c:v>5.4191795962840825E-3</c:v>
                </c:pt>
                <c:pt idx="1079">
                  <c:v>5.5944533295669762E-3</c:v>
                </c:pt>
                <c:pt idx="1080">
                  <c:v>5.7680037797511619E-3</c:v>
                </c:pt>
                <c:pt idx="1081">
                  <c:v>5.8927921878300918E-3</c:v>
                </c:pt>
                <c:pt idx="1082">
                  <c:v>6.0306123731677383E-3</c:v>
                </c:pt>
                <c:pt idx="1083">
                  <c:v>6.1577421077714974E-3</c:v>
                </c:pt>
                <c:pt idx="1084">
                  <c:v>6.273355108393143E-3</c:v>
                </c:pt>
                <c:pt idx="1085">
                  <c:v>6.3767731480317948E-3</c:v>
                </c:pt>
                <c:pt idx="1086">
                  <c:v>6.46744717284566E-3</c:v>
                </c:pt>
                <c:pt idx="1087">
                  <c:v>6.5449395519230642E-3</c:v>
                </c:pt>
                <c:pt idx="1088">
                  <c:v>6.6089080195506746E-3</c:v>
                </c:pt>
                <c:pt idx="1089">
                  <c:v>6.6590916916374381E-3</c:v>
                </c:pt>
                <c:pt idx="1090">
                  <c:v>6.7173420544324415E-3</c:v>
                </c:pt>
                <c:pt idx="1091">
                  <c:v>6.740506508589132E-3</c:v>
                </c:pt>
                <c:pt idx="1092">
                  <c:v>6.7488129111831193E-3</c:v>
                </c:pt>
                <c:pt idx="1093">
                  <c:v>6.7422110646281905E-3</c:v>
                </c:pt>
                <c:pt idx="1094">
                  <c:v>6.72074085727053E-3</c:v>
                </c:pt>
                <c:pt idx="1095">
                  <c:v>6.6639445094260072E-3</c:v>
                </c:pt>
                <c:pt idx="1096">
                  <c:v>6.6153511207245157E-3</c:v>
                </c:pt>
                <c:pt idx="1097">
                  <c:v>6.5529477322123853E-3</c:v>
                </c:pt>
                <c:pt idx="1098">
                  <c:v>6.2952505333819814E-3</c:v>
                </c:pt>
                <c:pt idx="1099">
                  <c:v>6.3952931736561535E-3</c:v>
                </c:pt>
                <c:pt idx="1100">
                  <c:v>6.4828239368123312E-3</c:v>
                </c:pt>
                <c:pt idx="1101">
                  <c:v>6.5574388775962895E-3</c:v>
                </c:pt>
                <c:pt idx="1102">
                  <c:v>6.6188223534346816E-3</c:v>
                </c:pt>
                <c:pt idx="1103">
                  <c:v>6.6667341538103582E-3</c:v>
                </c:pt>
                <c:pt idx="1104">
                  <c:v>6.7233134508724625E-3</c:v>
                </c:pt>
                <c:pt idx="1105">
                  <c:v>6.744804693685675E-3</c:v>
                </c:pt>
                <c:pt idx="1106">
                  <c:v>6.7517968182168875E-3</c:v>
                </c:pt>
                <c:pt idx="1107">
                  <c:v>6.7442487763199116E-3</c:v>
                </c:pt>
                <c:pt idx="1108">
                  <c:v>6.7222048827255357E-3</c:v>
                </c:pt>
                <c:pt idx="1109">
                  <c:v>6.665151534919745E-3</c:v>
                </c:pt>
                <c:pt idx="1110">
                  <c:v>6.6167208068362285E-3</c:v>
                </c:pt>
                <c:pt idx="1111">
                  <c:v>6.5548263398888919E-3</c:v>
                </c:pt>
                <c:pt idx="1112">
                  <c:v>6.4797110190875085E-3</c:v>
                </c:pt>
                <c:pt idx="1113">
                  <c:v>6.3916936146342423E-3</c:v>
                </c:pt>
                <c:pt idx="1114">
                  <c:v>6.2911817326799808E-3</c:v>
                </c:pt>
                <c:pt idx="1115">
                  <c:v>6.1786867343494225E-3</c:v>
                </c:pt>
                <c:pt idx="1116">
                  <c:v>6.0548402927469193E-3</c:v>
                </c:pt>
                <c:pt idx="1117">
                  <c:v>5.9204121014363792E-3</c:v>
                </c:pt>
                <c:pt idx="1118">
                  <c:v>5.7763280528523239E-3</c:v>
                </c:pt>
                <c:pt idx="1119">
                  <c:v>5.6323076255565792E-3</c:v>
                </c:pt>
                <c:pt idx="1120">
                  <c:v>5.4587297534045053E-3</c:v>
                </c:pt>
                <c:pt idx="1121">
                  <c:v>5.294094008170918E-3</c:v>
                </c:pt>
                <c:pt idx="1122">
                  <c:v>5.1270890687780783E-3</c:v>
                </c:pt>
                <c:pt idx="1123">
                  <c:v>4.9782834507617118E-3</c:v>
                </c:pt>
                <c:pt idx="1124">
                  <c:v>4.7908031393605654E-3</c:v>
                </c:pt>
                <c:pt idx="1125">
                  <c:v>4.6305062916816193E-3</c:v>
                </c:pt>
                <c:pt idx="1126">
                  <c:v>4.452126862870576E-3</c:v>
                </c:pt>
                <c:pt idx="1127">
                  <c:v>6.3849567148827769E-3</c:v>
                </c:pt>
                <c:pt idx="1128">
                  <c:v>6.2845326683687898E-3</c:v>
                </c:pt>
                <c:pt idx="1129">
                  <c:v>6.172456454537103E-3</c:v>
                </c:pt>
                <c:pt idx="1130">
                  <c:v>6.0493447394449488E-3</c:v>
                </c:pt>
                <c:pt idx="1131">
                  <c:v>5.915946842419203E-3</c:v>
                </c:pt>
                <c:pt idx="1132">
                  <c:v>5.7731619291207159E-3</c:v>
                </c:pt>
                <c:pt idx="1133">
                  <c:v>5.6305081796181643E-3</c:v>
                </c:pt>
                <c:pt idx="1134">
                  <c:v>5.4588302970757568E-3</c:v>
                </c:pt>
                <c:pt idx="1135">
                  <c:v>5.2960165357117265E-3</c:v>
                </c:pt>
                <c:pt idx="1136">
                  <c:v>5.1309488355537848E-3</c:v>
                </c:pt>
                <c:pt idx="1137">
                  <c:v>4.9847859617235162E-3</c:v>
                </c:pt>
                <c:pt idx="1138">
                  <c:v>4.7991323927525868E-3</c:v>
                </c:pt>
                <c:pt idx="1139">
                  <c:v>4.6409300294743957E-3</c:v>
                </c:pt>
                <c:pt idx="1140">
                  <c:v>4.4638332136117736E-3</c:v>
                </c:pt>
                <c:pt idx="1141">
                  <c:v>4.2990635235358749E-3</c:v>
                </c:pt>
                <c:pt idx="1142">
                  <c:v>4.1796129716643315E-3</c:v>
                </c:pt>
                <c:pt idx="1143">
                  <c:v>4.0114116634025225E-3</c:v>
                </c:pt>
                <c:pt idx="1144">
                  <c:v>3.8925182977717684E-3</c:v>
                </c:pt>
                <c:pt idx="1145">
                  <c:v>3.7922657261260026E-3</c:v>
                </c:pt>
                <c:pt idx="1146">
                  <c:v>3.6843422347904897E-3</c:v>
                </c:pt>
                <c:pt idx="1147">
                  <c:v>3.6208534692843729E-3</c:v>
                </c:pt>
                <c:pt idx="1148">
                  <c:v>3.5798053677292448E-3</c:v>
                </c:pt>
                <c:pt idx="1149">
                  <c:v>3.5616320258728983E-3</c:v>
                </c:pt>
                <c:pt idx="1150">
                  <c:v>3.5665254344995519E-3</c:v>
                </c:pt>
                <c:pt idx="1151">
                  <c:v>3.5944339095256351E-3</c:v>
                </c:pt>
                <c:pt idx="1152">
                  <c:v>3.6450625141030294E-3</c:v>
                </c:pt>
                <c:pt idx="1153">
                  <c:v>3.7178754746422932E-3</c:v>
                </c:pt>
                <c:pt idx="1154">
                  <c:v>3.8324176381924454E-3</c:v>
                </c:pt>
                <c:pt idx="1155">
                  <c:v>3.9407153410442285E-3</c:v>
                </c:pt>
                <c:pt idx="1156">
                  <c:v>4.0671388239971948E-3</c:v>
                </c:pt>
                <c:pt idx="1157">
                  <c:v>4.2218312845094261E-3</c:v>
                </c:pt>
                <c:pt idx="1158">
                  <c:v>4.3672928665549008E-3</c:v>
                </c:pt>
                <c:pt idx="1159">
                  <c:v>4.5375160887787206E-3</c:v>
                </c:pt>
                <c:pt idx="1160">
                  <c:v>4.6862327258054629E-3</c:v>
                </c:pt>
                <c:pt idx="1161">
                  <c:v>4.8769921540864833E-3</c:v>
                </c:pt>
                <c:pt idx="1162">
                  <c:v>5.0342197697806615E-3</c:v>
                </c:pt>
                <c:pt idx="1163">
                  <c:v>5.2014431550586751E-3</c:v>
                </c:pt>
                <c:pt idx="1164">
                  <c:v>5.364553411787547E-3</c:v>
                </c:pt>
                <c:pt idx="1165">
                  <c:v>5.5305989827073481E-3</c:v>
                </c:pt>
                <c:pt idx="1166">
                  <c:v>5.7026204590437052E-3</c:v>
                </c:pt>
                <c:pt idx="1167">
                  <c:v>5.8347764805569725E-3</c:v>
                </c:pt>
                <c:pt idx="1168">
                  <c:v>5.9737019433019093E-3</c:v>
                </c:pt>
                <c:pt idx="1169">
                  <c:v>6.1028398013623164E-3</c:v>
                </c:pt>
                <c:pt idx="1170">
                  <c:v>6.2213565078653929E-3</c:v>
                </c:pt>
                <c:pt idx="1171">
                  <c:v>6.3285610742273568E-3</c:v>
                </c:pt>
                <c:pt idx="1172">
                  <c:v>6.4238879548979269E-3</c:v>
                </c:pt>
                <c:pt idx="1173">
                  <c:v>6.5068806259324079E-3</c:v>
                </c:pt>
                <c:pt idx="1174">
                  <c:v>6.5771764165542812E-3</c:v>
                </c:pt>
                <c:pt idx="1175">
                  <c:v>6.63449298739571E-3</c:v>
                </c:pt>
                <c:pt idx="1176">
                  <c:v>6.6786167186156332E-3</c:v>
                </c:pt>
                <c:pt idx="1177">
                  <c:v>6.7321118333146749E-3</c:v>
                </c:pt>
                <c:pt idx="1178">
                  <c:v>6.7502853035048462E-3</c:v>
                </c:pt>
                <c:pt idx="1179">
                  <c:v>6.7542954250850084E-3</c:v>
                </c:pt>
                <c:pt idx="1180">
                  <c:v>6.7441193164090715E-3</c:v>
                </c:pt>
                <c:pt idx="1181">
                  <c:v>6.7198150861676334E-3</c:v>
                </c:pt>
                <c:pt idx="1182">
                  <c:v>6.6610633601782475E-3</c:v>
                </c:pt>
                <c:pt idx="1183">
                  <c:v>6.6111809426111293E-3</c:v>
                </c:pt>
                <c:pt idx="1184">
                  <c:v>6.5481907867859981E-3</c:v>
                </c:pt>
                <c:pt idx="1185">
                  <c:v>6.2969216787323729E-3</c:v>
                </c:pt>
                <c:pt idx="1186">
                  <c:v>6.3951302038512741E-3</c:v>
                </c:pt>
                <c:pt idx="1187">
                  <c:v>6.4814340679574568E-3</c:v>
                </c:pt>
                <c:pt idx="1188">
                  <c:v>6.5554552634794084E-3</c:v>
                </c:pt>
                <c:pt idx="1189">
                  <c:v>6.6168965008595055E-3</c:v>
                </c:pt>
                <c:pt idx="1190">
                  <c:v>6.6655295708989339E-3</c:v>
                </c:pt>
                <c:pt idx="1191">
                  <c:v>6.7235105840077582E-3</c:v>
                </c:pt>
                <c:pt idx="1192">
                  <c:v>6.7471669218349432E-3</c:v>
                </c:pt>
                <c:pt idx="1193">
                  <c:v>6.7570285819475587E-3</c:v>
                </c:pt>
                <c:pt idx="1194">
                  <c:v>6.7530407834334345E-3</c:v>
                </c:pt>
                <c:pt idx="1195">
                  <c:v>6.7352256621010754E-3</c:v>
                </c:pt>
                <c:pt idx="1196">
                  <c:v>6.6822506560101132E-3</c:v>
                </c:pt>
                <c:pt idx="1197">
                  <c:v>6.6391060451728937E-3</c:v>
                </c:pt>
                <c:pt idx="1198">
                  <c:v>6.58307486520553E-3</c:v>
                </c:pt>
                <c:pt idx="1199">
                  <c:v>6.514359074586612E-3</c:v>
                </c:pt>
                <c:pt idx="1200">
                  <c:v>6.4332253383928076E-3</c:v>
                </c:pt>
                <c:pt idx="1201">
                  <c:v>6.3400158806154322E-3</c:v>
                </c:pt>
                <c:pt idx="1202">
                  <c:v>6.2351611350594952E-3</c:v>
                </c:pt>
                <c:pt idx="1203">
                  <c:v>6.1191939620676705E-3</c:v>
                </c:pt>
                <c:pt idx="1204">
                  <c:v>5.99276508218698E-3</c:v>
                </c:pt>
                <c:pt idx="1205">
                  <c:v>5.8566592302068659E-3</c:v>
                </c:pt>
                <c:pt idx="1206">
                  <c:v>5.7303291768823284E-3</c:v>
                </c:pt>
                <c:pt idx="1207">
                  <c:v>5.5617833843742163E-3</c:v>
                </c:pt>
                <c:pt idx="1208">
                  <c:v>5.3942121145684682E-3</c:v>
                </c:pt>
                <c:pt idx="1209">
                  <c:v>5.2338522504907295E-3</c:v>
                </c:pt>
                <c:pt idx="1210">
                  <c:v>5.0691446657649547E-3</c:v>
                </c:pt>
                <c:pt idx="1211">
                  <c:v>4.9176039986293506E-3</c:v>
                </c:pt>
                <c:pt idx="1212">
                  <c:v>4.736520995041054E-3</c:v>
                </c:pt>
                <c:pt idx="1213">
                  <c:v>4.5802427539861036E-3</c:v>
                </c:pt>
                <c:pt idx="1214">
                  <c:v>4.4089166775467294E-3</c:v>
                </c:pt>
                <c:pt idx="1215">
                  <c:v>6.3896143417841635E-3</c:v>
                </c:pt>
                <c:pt idx="1216">
                  <c:v>6.2916291940165762E-3</c:v>
                </c:pt>
                <c:pt idx="1217">
                  <c:v>6.1825107145329506E-3</c:v>
                </c:pt>
                <c:pt idx="1218">
                  <c:v>6.0628252641622997E-3</c:v>
                </c:pt>
                <c:pt idx="1219">
                  <c:v>5.9332590042419312E-3</c:v>
                </c:pt>
                <c:pt idx="1220">
                  <c:v>5.7946333079328229E-3</c:v>
                </c:pt>
                <c:pt idx="1221">
                  <c:v>5.6590908582092462E-3</c:v>
                </c:pt>
                <c:pt idx="1222">
                  <c:v>5.4913904158292439E-3</c:v>
                </c:pt>
                <c:pt idx="1223">
                  <c:v>5.3301821878203263E-3</c:v>
                </c:pt>
                <c:pt idx="1224">
                  <c:v>5.1696537187698888E-3</c:v>
                </c:pt>
                <c:pt idx="1225">
                  <c:v>5.0329607690502666E-3</c:v>
                </c:pt>
                <c:pt idx="1226">
                  <c:v>4.8496426822361906E-3</c:v>
                </c:pt>
                <c:pt idx="1227">
                  <c:v>4.6862327258054629E-3</c:v>
                </c:pt>
                <c:pt idx="1228">
                  <c:v>4.5191711382214098E-3</c:v>
                </c:pt>
                <c:pt idx="1229">
                  <c:v>4.3538039663385854E-3</c:v>
                </c:pt>
                <c:pt idx="1230">
                  <c:v>4.2218312845094261E-3</c:v>
                </c:pt>
                <c:pt idx="1231">
                  <c:v>4.0618431184002409E-3</c:v>
                </c:pt>
                <c:pt idx="1232">
                  <c:v>3.9386097731203776E-3</c:v>
                </c:pt>
                <c:pt idx="1233">
                  <c:v>3.8327227540681632E-3</c:v>
                </c:pt>
                <c:pt idx="1234">
                  <c:v>3.7198448825299791E-3</c:v>
                </c:pt>
                <c:pt idx="1235">
                  <c:v>3.6477113895074316E-3</c:v>
                </c:pt>
                <c:pt idx="1236">
                  <c:v>3.5967545166764301E-3</c:v>
                </c:pt>
                <c:pt idx="1237">
                  <c:v>3.567489759568979E-3</c:v>
                </c:pt>
                <c:pt idx="1238">
                  <c:v>3.560212777283871E-3</c:v>
                </c:pt>
                <c:pt idx="1239">
                  <c:v>3.574997044074621E-3</c:v>
                </c:pt>
                <c:pt idx="1240">
                  <c:v>3.6116932675805415E-3</c:v>
                </c:pt>
                <c:pt idx="1241">
                  <c:v>3.6699305716891796E-3</c:v>
                </c:pt>
                <c:pt idx="1242">
                  <c:v>3.7729180936305392E-3</c:v>
                </c:pt>
                <c:pt idx="1243">
                  <c:v>3.8667634550462039E-3</c:v>
                </c:pt>
                <c:pt idx="1244">
                  <c:v>3.9786882902307051E-3</c:v>
                </c:pt>
                <c:pt idx="1245">
                  <c:v>4.1075496785403049E-3</c:v>
                </c:pt>
                <c:pt idx="1246">
                  <c:v>4.0071353803239019E-3</c:v>
                </c:pt>
                <c:pt idx="1247">
                  <c:v>3.8922913786563844E-3</c:v>
                </c:pt>
                <c:pt idx="1248">
                  <c:v>3.7948777997965913E-3</c:v>
                </c:pt>
                <c:pt idx="1249">
                  <c:v>3.6887276918392432E-3</c:v>
                </c:pt>
                <c:pt idx="1250">
                  <c:v>3.625399013850685E-3</c:v>
                </c:pt>
                <c:pt idx="1251">
                  <c:v>3.5830056864366985E-3</c:v>
                </c:pt>
                <c:pt idx="1252">
                  <c:v>3.5619669893890357E-3</c:v>
                </c:pt>
                <c:pt idx="1253">
                  <c:v>3.5624907873785809E-3</c:v>
                </c:pt>
                <c:pt idx="1254">
                  <c:v>3.5845719069367296E-3</c:v>
                </c:pt>
                <c:pt idx="1255">
                  <c:v>3.627992176780879E-3</c:v>
                </c:pt>
                <c:pt idx="1256">
                  <c:v>3.6923221316050793E-3</c:v>
                </c:pt>
                <c:pt idx="1257">
                  <c:v>3.7991857727825147E-3</c:v>
                </c:pt>
                <c:pt idx="1258">
                  <c:v>3.8974687586883754E-3</c:v>
                </c:pt>
                <c:pt idx="1259">
                  <c:v>4.0131305103606836E-3</c:v>
                </c:pt>
                <c:pt idx="1260">
                  <c:v>4.1450146490337892E-3</c:v>
                </c:pt>
                <c:pt idx="1261">
                  <c:v>4.2640495973545207E-3</c:v>
                </c:pt>
                <c:pt idx="1262">
                  <c:v>4.4497067528214704E-3</c:v>
                </c:pt>
                <c:pt idx="1263">
                  <c:v>4.6199886373617651E-3</c:v>
                </c:pt>
                <c:pt idx="1264">
                  <c:v>4.7723892023140294E-3</c:v>
                </c:pt>
                <c:pt idx="1265">
                  <c:v>4.9509311459417817E-3</c:v>
                </c:pt>
                <c:pt idx="1266">
                  <c:v>5.0954648786259073E-3</c:v>
                </c:pt>
                <c:pt idx="1267">
                  <c:v>5.256122645725377E-3</c:v>
                </c:pt>
                <c:pt idx="1268">
                  <c:v>5.4124179873143354E-3</c:v>
                </c:pt>
                <c:pt idx="1269">
                  <c:v>5.5778263494052713E-3</c:v>
                </c:pt>
                <c:pt idx="1270">
                  <c:v>5.7426137048724145E-3</c:v>
                </c:pt>
                <c:pt idx="1271">
                  <c:v>5.8640889088345484E-3</c:v>
                </c:pt>
                <c:pt idx="1272">
                  <c:v>5.9970436030028114E-3</c:v>
                </c:pt>
                <c:pt idx="1273">
                  <c:v>6.1207449634470244E-3</c:v>
                </c:pt>
                <c:pt idx="1274">
                  <c:v>6.2344635315193103E-3</c:v>
                </c:pt>
                <c:pt idx="1275">
                  <c:v>6.3375922207466167E-3</c:v>
                </c:pt>
                <c:pt idx="1276">
                  <c:v>6.4296318105268469E-3</c:v>
                </c:pt>
                <c:pt idx="1277">
                  <c:v>4.512202433125276E-3</c:v>
                </c:pt>
                <c:pt idx="1278">
                  <c:v>4.684531221154517E-3</c:v>
                </c:pt>
                <c:pt idx="1279">
                  <c:v>4.8347122263421539E-3</c:v>
                </c:pt>
                <c:pt idx="1280">
                  <c:v>5.0135960400783056E-3</c:v>
                </c:pt>
                <c:pt idx="1281">
                  <c:v>5.1492606852722453E-3</c:v>
                </c:pt>
                <c:pt idx="1282">
                  <c:v>5.3069917492038843E-3</c:v>
                </c:pt>
                <c:pt idx="1283">
                  <c:v>5.4632177138937638E-3</c:v>
                </c:pt>
                <c:pt idx="1284">
                  <c:v>5.6277339425044263E-3</c:v>
                </c:pt>
                <c:pt idx="1285">
                  <c:v>5.7899704075466615E-3</c:v>
                </c:pt>
                <c:pt idx="1286">
                  <c:v>5.9023212306889084E-3</c:v>
                </c:pt>
                <c:pt idx="1287">
                  <c:v>6.0315113729867594E-3</c:v>
                </c:pt>
                <c:pt idx="1288">
                  <c:v>6.1514537717080858E-3</c:v>
                </c:pt>
                <c:pt idx="1289">
                  <c:v>6.2614758599028441E-3</c:v>
                </c:pt>
                <c:pt idx="1290">
                  <c:v>6.3610185826885038E-3</c:v>
                </c:pt>
                <c:pt idx="1291">
                  <c:v>6.449622736277005E-3</c:v>
                </c:pt>
                <c:pt idx="1292">
                  <c:v>6.5269160049319782E-3</c:v>
                </c:pt>
                <c:pt idx="1293">
                  <c:v>6.5926010607935881E-3</c:v>
                </c:pt>
                <c:pt idx="1294">
                  <c:v>6.6464449828563619E-3</c:v>
                </c:pt>
                <c:pt idx="1295">
                  <c:v>6.7099850997727256E-3</c:v>
                </c:pt>
                <c:pt idx="1296">
                  <c:v>6.7410837747805645E-3</c:v>
                </c:pt>
                <c:pt idx="1297">
                  <c:v>6.7593865743944244E-3</c:v>
                </c:pt>
                <c:pt idx="1298">
                  <c:v>6.7647993751313272E-3</c:v>
                </c:pt>
                <c:pt idx="1299">
                  <c:v>6.7572944254118868E-3</c:v>
                </c:pt>
                <c:pt idx="1300">
                  <c:v>6.7369102135956382E-3</c:v>
                </c:pt>
                <c:pt idx="1301">
                  <c:v>6.6823152205975501E-3</c:v>
                </c:pt>
                <c:pt idx="1302">
                  <c:v>6.6385326928812315E-3</c:v>
                </c:pt>
                <c:pt idx="1303">
                  <c:v>6.5827567793641257E-3</c:v>
                </c:pt>
                <c:pt idx="1304">
                  <c:v>6.5151734960367681E-3</c:v>
                </c:pt>
                <c:pt idx="1305">
                  <c:v>6.4360255416153192E-3</c:v>
                </c:pt>
                <c:pt idx="1306">
                  <c:v>6.3456216385343244E-3</c:v>
                </c:pt>
                <c:pt idx="1307">
                  <c:v>6.2443473412866473E-3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74115648"/>
        <c:axId val="-1474125984"/>
      </c:scatterChart>
      <c:valAx>
        <c:axId val="-1474115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74125984"/>
        <c:crosses val="autoZero"/>
        <c:crossBetween val="midCat"/>
      </c:valAx>
      <c:valAx>
        <c:axId val="-147412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74115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Sheet2!$C$1</c:f>
              <c:strCache>
                <c:ptCount val="1"/>
                <c:pt idx="0">
                  <c:v>Phase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Sheet2!$A$2:$A$83</c:f>
              <c:numCache>
                <c:formatCode>General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</c:numCache>
            </c:numRef>
          </c:xVal>
          <c:yVal>
            <c:numRef>
              <c:f>Sheet2!$C$2:$C$83</c:f>
              <c:numCache>
                <c:formatCode>General</c:formatCode>
                <c:ptCount val="82"/>
                <c:pt idx="0">
                  <c:v>-49.101322099999997</c:v>
                </c:pt>
                <c:pt idx="1">
                  <c:v>-49.101322099999997</c:v>
                </c:pt>
                <c:pt idx="2">
                  <c:v>-49.085524100000001</c:v>
                </c:pt>
                <c:pt idx="3">
                  <c:v>-49.068842619999998</c:v>
                </c:pt>
                <c:pt idx="4">
                  <c:v>-49.03054238</c:v>
                </c:pt>
                <c:pt idx="5">
                  <c:v>-49.007562239999999</c:v>
                </c:pt>
                <c:pt idx="6">
                  <c:v>-48.976922049999999</c:v>
                </c:pt>
                <c:pt idx="7">
                  <c:v>-48.953941909999998</c:v>
                </c:pt>
                <c:pt idx="8">
                  <c:v>-48.923301719999998</c:v>
                </c:pt>
                <c:pt idx="9">
                  <c:v>-48.923301719999998</c:v>
                </c:pt>
                <c:pt idx="10">
                  <c:v>-48.877341430000001</c:v>
                </c:pt>
                <c:pt idx="11">
                  <c:v>-48.85436129</c:v>
                </c:pt>
                <c:pt idx="12">
                  <c:v>-48.85436129</c:v>
                </c:pt>
                <c:pt idx="13">
                  <c:v>-48.800740949999998</c:v>
                </c:pt>
                <c:pt idx="14">
                  <c:v>-48.785420860000002</c:v>
                </c:pt>
                <c:pt idx="15">
                  <c:v>-48.754780670000002</c:v>
                </c:pt>
                <c:pt idx="16">
                  <c:v>-48.739460569999999</c:v>
                </c:pt>
                <c:pt idx="17">
                  <c:v>-48.678180189999999</c:v>
                </c:pt>
                <c:pt idx="18">
                  <c:v>-48.655200049999998</c:v>
                </c:pt>
                <c:pt idx="19">
                  <c:v>-48.624559859999998</c:v>
                </c:pt>
                <c:pt idx="20">
                  <c:v>-48.609239760000001</c:v>
                </c:pt>
                <c:pt idx="21">
                  <c:v>-48.547959380000002</c:v>
                </c:pt>
                <c:pt idx="22">
                  <c:v>-48.517319190000002</c:v>
                </c:pt>
                <c:pt idx="23">
                  <c:v>-48.471358909999999</c:v>
                </c:pt>
                <c:pt idx="24">
                  <c:v>-48.417738569999997</c:v>
                </c:pt>
                <c:pt idx="25">
                  <c:v>-48.394758430000003</c:v>
                </c:pt>
                <c:pt idx="26">
                  <c:v>-48.341138100000002</c:v>
                </c:pt>
                <c:pt idx="27">
                  <c:v>-48.287517770000001</c:v>
                </c:pt>
                <c:pt idx="28">
                  <c:v>-48.218577340000003</c:v>
                </c:pt>
                <c:pt idx="29">
                  <c:v>-48.164957000000001</c:v>
                </c:pt>
                <c:pt idx="30">
                  <c:v>-48.11133667</c:v>
                </c:pt>
                <c:pt idx="31">
                  <c:v>-48.061336670000003</c:v>
                </c:pt>
                <c:pt idx="32">
                  <c:v>-48.019416100000001</c:v>
                </c:pt>
                <c:pt idx="33">
                  <c:v>-47.958135720000001</c:v>
                </c:pt>
                <c:pt idx="34">
                  <c:v>-47.850895049999998</c:v>
                </c:pt>
                <c:pt idx="35">
                  <c:v>-47.766634529999997</c:v>
                </c:pt>
                <c:pt idx="36">
                  <c:v>-47.63641372</c:v>
                </c:pt>
                <c:pt idx="37">
                  <c:v>-47.467892669999998</c:v>
                </c:pt>
                <c:pt idx="38">
                  <c:v>-47.299371630000003</c:v>
                </c:pt>
                <c:pt idx="39">
                  <c:v>-47.100210390000001</c:v>
                </c:pt>
                <c:pt idx="40">
                  <c:v>-47.001002100000001</c:v>
                </c:pt>
                <c:pt idx="41">
                  <c:v>-46.862748910000001</c:v>
                </c:pt>
                <c:pt idx="42">
                  <c:v>-46.579327149999997</c:v>
                </c:pt>
                <c:pt idx="43">
                  <c:v>-46.257605150000003</c:v>
                </c:pt>
                <c:pt idx="44">
                  <c:v>-45.943543200000001</c:v>
                </c:pt>
                <c:pt idx="45">
                  <c:v>-45.537560679999999</c:v>
                </c:pt>
                <c:pt idx="46">
                  <c:v>-45.11625806</c:v>
                </c:pt>
                <c:pt idx="47">
                  <c:v>-44.656655209999997</c:v>
                </c:pt>
                <c:pt idx="48">
                  <c:v>-44.232756500000001</c:v>
                </c:pt>
                <c:pt idx="49">
                  <c:v>-44.174072209999999</c:v>
                </c:pt>
                <c:pt idx="50">
                  <c:v>-43.706809309999997</c:v>
                </c:pt>
                <c:pt idx="51">
                  <c:v>-43.231886359999997</c:v>
                </c:pt>
                <c:pt idx="52">
                  <c:v>-42.741643310000001</c:v>
                </c:pt>
                <c:pt idx="53">
                  <c:v>-42.236080170000001</c:v>
                </c:pt>
                <c:pt idx="54">
                  <c:v>-41.753497170000003</c:v>
                </c:pt>
                <c:pt idx="55">
                  <c:v>-41.224953890000002</c:v>
                </c:pt>
                <c:pt idx="56">
                  <c:v>-40.711730699999997</c:v>
                </c:pt>
                <c:pt idx="57">
                  <c:v>-40.190847470000001</c:v>
                </c:pt>
                <c:pt idx="58">
                  <c:v>-39.708264470000003</c:v>
                </c:pt>
                <c:pt idx="59">
                  <c:v>-39.172061139999997</c:v>
                </c:pt>
                <c:pt idx="60">
                  <c:v>-38.635857809999997</c:v>
                </c:pt>
                <c:pt idx="61">
                  <c:v>-38.084334380000001</c:v>
                </c:pt>
                <c:pt idx="62">
                  <c:v>-37.548131050000002</c:v>
                </c:pt>
                <c:pt idx="63">
                  <c:v>-37.01958776</c:v>
                </c:pt>
                <c:pt idx="64">
                  <c:v>-36.491044479999999</c:v>
                </c:pt>
                <c:pt idx="65">
                  <c:v>-35.936967709999998</c:v>
                </c:pt>
                <c:pt idx="66">
                  <c:v>-35.36501749</c:v>
                </c:pt>
                <c:pt idx="67">
                  <c:v>-34.805834009999998</c:v>
                </c:pt>
                <c:pt idx="68">
                  <c:v>-34.238990489999999</c:v>
                </c:pt>
                <c:pt idx="69">
                  <c:v>-34.023899049999997</c:v>
                </c:pt>
                <c:pt idx="70">
                  <c:v>-33.679807019999998</c:v>
                </c:pt>
                <c:pt idx="71">
                  <c:v>-33.147433710000001</c:v>
                </c:pt>
                <c:pt idx="72">
                  <c:v>-32.553780019999998</c:v>
                </c:pt>
                <c:pt idx="73">
                  <c:v>-31.986936499999999</c:v>
                </c:pt>
                <c:pt idx="74">
                  <c:v>-31.42009298</c:v>
                </c:pt>
                <c:pt idx="75">
                  <c:v>-30.860909500000002</c:v>
                </c:pt>
                <c:pt idx="76">
                  <c:v>-30.27874589</c:v>
                </c:pt>
                <c:pt idx="77">
                  <c:v>-29.704242319999999</c:v>
                </c:pt>
                <c:pt idx="78">
                  <c:v>-29.129738750000001</c:v>
                </c:pt>
                <c:pt idx="79">
                  <c:v>-28.590982069999999</c:v>
                </c:pt>
                <c:pt idx="80">
                  <c:v>-28.174577710000001</c:v>
                </c:pt>
                <c:pt idx="81">
                  <c:v>-28.01745777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70763040"/>
        <c:axId val="-1470764672"/>
      </c:scatterChart>
      <c:valAx>
        <c:axId val="-1470763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70764672"/>
        <c:crosses val="autoZero"/>
        <c:crossBetween val="midCat"/>
      </c:valAx>
      <c:valAx>
        <c:axId val="-147076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70763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moulation (m)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Sheet2!$A$2:$A$83</c:f>
              <c:numCache>
                <c:formatCode>General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</c:numCache>
            </c:numRef>
          </c:xVal>
          <c:yVal>
            <c:numRef>
              <c:f>Sheet2!$B$2:$B$83</c:f>
              <c:numCache>
                <c:formatCode>General</c:formatCode>
                <c:ptCount val="82"/>
                <c:pt idx="0">
                  <c:v>1.0665914219999999</c:v>
                </c:pt>
                <c:pt idx="1">
                  <c:v>1.0654627539999999</c:v>
                </c:pt>
                <c:pt idx="2">
                  <c:v>1.0665914219999999</c:v>
                </c:pt>
                <c:pt idx="3">
                  <c:v>1.0665914219999999</c:v>
                </c:pt>
                <c:pt idx="4">
                  <c:v>1.0677200899999999</c:v>
                </c:pt>
                <c:pt idx="5">
                  <c:v>1.0688487579999999</c:v>
                </c:pt>
                <c:pt idx="6">
                  <c:v>1.069977427</c:v>
                </c:pt>
                <c:pt idx="7">
                  <c:v>1.072234763</c:v>
                </c:pt>
                <c:pt idx="8">
                  <c:v>1.073363431</c:v>
                </c:pt>
                <c:pt idx="9">
                  <c:v>1.075620767</c:v>
                </c:pt>
                <c:pt idx="10">
                  <c:v>1.0790067720000001</c:v>
                </c:pt>
                <c:pt idx="11">
                  <c:v>1.0801354400000001</c:v>
                </c:pt>
                <c:pt idx="12">
                  <c:v>1.0812641080000001</c:v>
                </c:pt>
                <c:pt idx="13">
                  <c:v>1.0823927769999999</c:v>
                </c:pt>
                <c:pt idx="14">
                  <c:v>1.0869074489999999</c:v>
                </c:pt>
                <c:pt idx="15">
                  <c:v>1.0880361169999999</c:v>
                </c:pt>
                <c:pt idx="16">
                  <c:v>1.089164786</c:v>
                </c:pt>
                <c:pt idx="17">
                  <c:v>1.091422122</c:v>
                </c:pt>
                <c:pt idx="18">
                  <c:v>1.0959367950000001</c:v>
                </c:pt>
                <c:pt idx="19">
                  <c:v>1.093679458</c:v>
                </c:pt>
                <c:pt idx="20">
                  <c:v>1.0981941310000001</c:v>
                </c:pt>
                <c:pt idx="21">
                  <c:v>1.0993227990000001</c:v>
                </c:pt>
                <c:pt idx="22">
                  <c:v>1.1038374719999999</c:v>
                </c:pt>
                <c:pt idx="23">
                  <c:v>1.1072234759999999</c:v>
                </c:pt>
                <c:pt idx="24">
                  <c:v>1.111738149</c:v>
                </c:pt>
                <c:pt idx="25">
                  <c:v>1.1162528220000001</c:v>
                </c:pt>
                <c:pt idx="26">
                  <c:v>1.1207674940000001</c:v>
                </c:pt>
                <c:pt idx="27">
                  <c:v>1.128668172</c:v>
                </c:pt>
                <c:pt idx="28">
                  <c:v>1.1388261850000001</c:v>
                </c:pt>
                <c:pt idx="29">
                  <c:v>1.14785553</c:v>
                </c:pt>
                <c:pt idx="30">
                  <c:v>1.1568848759999999</c:v>
                </c:pt>
                <c:pt idx="31">
                  <c:v>1.167042889</c:v>
                </c:pt>
                <c:pt idx="32">
                  <c:v>1.1738148980000001</c:v>
                </c:pt>
                <c:pt idx="33">
                  <c:v>1.18510158</c:v>
                </c:pt>
                <c:pt idx="34">
                  <c:v>1.1986455979999999</c:v>
                </c:pt>
                <c:pt idx="35">
                  <c:v>1.242663657</c:v>
                </c:pt>
                <c:pt idx="36">
                  <c:v>1.299097065</c:v>
                </c:pt>
                <c:pt idx="37">
                  <c:v>1.351015801</c:v>
                </c:pt>
                <c:pt idx="38">
                  <c:v>1.4006772009999999</c:v>
                </c:pt>
                <c:pt idx="39">
                  <c:v>1.448081264</c:v>
                </c:pt>
                <c:pt idx="40">
                  <c:v>1.4954853269999999</c:v>
                </c:pt>
                <c:pt idx="41">
                  <c:v>1.551918736</c:v>
                </c:pt>
                <c:pt idx="42">
                  <c:v>1.6015801350000001</c:v>
                </c:pt>
                <c:pt idx="43">
                  <c:v>1.6975169299999999</c:v>
                </c:pt>
                <c:pt idx="44">
                  <c:v>1.8024830700000001</c:v>
                </c:pt>
                <c:pt idx="45">
                  <c:v>1.8972911960000001</c:v>
                </c:pt>
                <c:pt idx="46">
                  <c:v>1.95</c:v>
                </c:pt>
                <c:pt idx="47">
                  <c:v>1.95</c:v>
                </c:pt>
                <c:pt idx="48">
                  <c:v>1.95</c:v>
                </c:pt>
                <c:pt idx="49">
                  <c:v>1.95</c:v>
                </c:pt>
                <c:pt idx="50">
                  <c:v>1.95</c:v>
                </c:pt>
                <c:pt idx="51">
                  <c:v>1.95</c:v>
                </c:pt>
                <c:pt idx="52">
                  <c:v>1.95</c:v>
                </c:pt>
                <c:pt idx="53">
                  <c:v>1.95</c:v>
                </c:pt>
                <c:pt idx="54">
                  <c:v>1.95</c:v>
                </c:pt>
                <c:pt idx="55">
                  <c:v>1.95</c:v>
                </c:pt>
                <c:pt idx="56">
                  <c:v>1.95</c:v>
                </c:pt>
                <c:pt idx="57">
                  <c:v>1.95</c:v>
                </c:pt>
                <c:pt idx="58">
                  <c:v>1.95</c:v>
                </c:pt>
                <c:pt idx="59">
                  <c:v>1.95</c:v>
                </c:pt>
                <c:pt idx="60">
                  <c:v>1.95</c:v>
                </c:pt>
                <c:pt idx="61">
                  <c:v>1.95</c:v>
                </c:pt>
                <c:pt idx="62">
                  <c:v>1.95</c:v>
                </c:pt>
                <c:pt idx="63">
                  <c:v>1.95</c:v>
                </c:pt>
                <c:pt idx="64">
                  <c:v>1.95</c:v>
                </c:pt>
                <c:pt idx="65">
                  <c:v>1.95</c:v>
                </c:pt>
                <c:pt idx="66">
                  <c:v>1.95</c:v>
                </c:pt>
                <c:pt idx="67">
                  <c:v>1.95</c:v>
                </c:pt>
                <c:pt idx="68">
                  <c:v>1.95</c:v>
                </c:pt>
                <c:pt idx="69">
                  <c:v>1.95</c:v>
                </c:pt>
                <c:pt idx="70">
                  <c:v>1.95</c:v>
                </c:pt>
                <c:pt idx="71">
                  <c:v>1.95</c:v>
                </c:pt>
                <c:pt idx="72">
                  <c:v>1.95</c:v>
                </c:pt>
                <c:pt idx="73">
                  <c:v>1.95</c:v>
                </c:pt>
                <c:pt idx="74">
                  <c:v>1.95</c:v>
                </c:pt>
                <c:pt idx="75">
                  <c:v>1.95</c:v>
                </c:pt>
                <c:pt idx="76">
                  <c:v>1.95</c:v>
                </c:pt>
                <c:pt idx="77">
                  <c:v>1.95</c:v>
                </c:pt>
                <c:pt idx="78">
                  <c:v>1.95</c:v>
                </c:pt>
                <c:pt idx="79">
                  <c:v>1.95</c:v>
                </c:pt>
                <c:pt idx="80">
                  <c:v>1.95</c:v>
                </c:pt>
                <c:pt idx="81">
                  <c:v>1.95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70760864"/>
        <c:axId val="-1470764128"/>
      </c:scatterChart>
      <c:valAx>
        <c:axId val="-1470760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70764128"/>
        <c:crosses val="autoZero"/>
        <c:crossBetween val="midCat"/>
      </c:valAx>
      <c:valAx>
        <c:axId val="-147076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70760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129540</xdr:colOff>
          <xdr:row>10</xdr:row>
          <xdr:rowOff>106680</xdr:rowOff>
        </xdr:from>
        <xdr:to>
          <xdr:col>21</xdr:col>
          <xdr:colOff>320040</xdr:colOff>
          <xdr:row>12</xdr:row>
          <xdr:rowOff>60960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SEEK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143434</xdr:colOff>
      <xdr:row>16</xdr:row>
      <xdr:rowOff>49307</xdr:rowOff>
    </xdr:from>
    <xdr:to>
      <xdr:col>135</xdr:col>
      <xdr:colOff>448235</xdr:colOff>
      <xdr:row>53</xdr:row>
      <xdr:rowOff>134470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</xdr:colOff>
      <xdr:row>1</xdr:row>
      <xdr:rowOff>3810</xdr:rowOff>
    </xdr:from>
    <xdr:to>
      <xdr:col>15</xdr:col>
      <xdr:colOff>60960</xdr:colOff>
      <xdr:row>20</xdr:row>
      <xdr:rowOff>167640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15240</xdr:colOff>
      <xdr:row>25</xdr:row>
      <xdr:rowOff>179070</xdr:rowOff>
    </xdr:from>
    <xdr:to>
      <xdr:col>15</xdr:col>
      <xdr:colOff>15240</xdr:colOff>
      <xdr:row>51</xdr:row>
      <xdr:rowOff>137160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Y1309"/>
  <sheetViews>
    <sheetView tabSelected="1" topLeftCell="A405" zoomScale="85" zoomScaleNormal="85" workbookViewId="0">
      <selection activeCell="S1" sqref="S1"/>
    </sheetView>
  </sheetViews>
  <sheetFormatPr defaultRowHeight="14.4" x14ac:dyDescent="0.3"/>
  <cols>
    <col min="3" max="3" width="16" customWidth="1"/>
    <col min="4" max="4" width="16.88671875" customWidth="1"/>
    <col min="6" max="6" width="8.88671875" customWidth="1"/>
    <col min="7" max="7" width="13.77734375" customWidth="1"/>
    <col min="13" max="13" width="11.88671875" customWidth="1"/>
    <col min="14" max="14" width="11.77734375" customWidth="1"/>
    <col min="17" max="17" width="28.6640625" customWidth="1"/>
    <col min="18" max="18" width="16.33203125" customWidth="1"/>
    <col min="19" max="19" width="17.44140625" customWidth="1"/>
    <col min="20" max="20" width="16.21875" customWidth="1"/>
    <col min="21" max="21" width="12.77734375" customWidth="1"/>
    <col min="24" max="24" width="17.88671875" customWidth="1"/>
    <col min="25" max="25" width="17.21875" customWidth="1"/>
  </cols>
  <sheetData>
    <row r="1" spans="1:25" ht="22.8" customHeight="1" x14ac:dyDescent="0.35">
      <c r="A1" s="3" t="s">
        <v>4</v>
      </c>
      <c r="B1" s="3" t="s">
        <v>21</v>
      </c>
      <c r="C1" s="3" t="s">
        <v>22</v>
      </c>
      <c r="D1" s="3" t="s">
        <v>20</v>
      </c>
      <c r="E1" s="3" t="s">
        <v>12</v>
      </c>
      <c r="F1" s="3" t="s">
        <v>23</v>
      </c>
      <c r="G1" s="3" t="s">
        <v>9</v>
      </c>
      <c r="H1" s="3" t="s">
        <v>1</v>
      </c>
      <c r="I1" s="3" t="s">
        <v>32</v>
      </c>
      <c r="J1" s="3" t="s">
        <v>33</v>
      </c>
      <c r="K1" s="3" t="s">
        <v>2</v>
      </c>
      <c r="L1" s="3" t="s">
        <v>3</v>
      </c>
      <c r="M1" s="3" t="s">
        <v>29</v>
      </c>
      <c r="N1" s="3" t="s">
        <v>30</v>
      </c>
      <c r="O1" s="3" t="s">
        <v>7</v>
      </c>
      <c r="P1" s="3" t="s">
        <v>8</v>
      </c>
      <c r="Q1" s="3" t="s">
        <v>31</v>
      </c>
      <c r="R1" s="3" t="s">
        <v>34</v>
      </c>
    </row>
    <row r="2" spans="1:25" x14ac:dyDescent="0.3">
      <c r="A2">
        <v>2E-3</v>
      </c>
      <c r="B2" s="4">
        <v>1</v>
      </c>
      <c r="C2">
        <v>-49.101322099999997</v>
      </c>
      <c r="D2">
        <v>1.0665914219999999</v>
      </c>
      <c r="E2">
        <v>8</v>
      </c>
      <c r="F2">
        <f>0.0462806*SQRT(E2/1000)</f>
        <v>4.1394627055790709E-3</v>
      </c>
      <c r="G2">
        <f>$U$3*F2/2</f>
        <v>1.2802461976017745E-2</v>
      </c>
      <c r="H2">
        <f>PI()/G2</f>
        <v>245.38972734109987</v>
      </c>
      <c r="I2">
        <f>BESSELI(H2*$Y$5,0)</f>
        <v>1.6199456811093704</v>
      </c>
      <c r="J2">
        <f>BESSELI(H2*D2*$Y$5,0)</f>
        <v>1.7183188589127107</v>
      </c>
      <c r="K2">
        <f>(D2^2-1)/(D2^2*I2+J2)</f>
        <v>3.8643540468598483E-2</v>
      </c>
      <c r="L2">
        <f>I2+J2/(D2^2*I2+J2)</f>
        <v>2.1024572762850835</v>
      </c>
      <c r="M2">
        <f>((L2*O2^2)/$Y$5^2)+(K2*BESSELI(O2*H2,0)*COS(H2*A2))</f>
        <v>1.0030953240823552</v>
      </c>
      <c r="N2">
        <f>((L2*P2^2)/$Y$5^2)-(K2*BESSELI(P2*H2,0)*COS(H2*A2))</f>
        <v>0.99708243296536703</v>
      </c>
      <c r="O2">
        <v>4.0544585954635625E-3</v>
      </c>
      <c r="P2">
        <v>4.2218312845094261E-3</v>
      </c>
      <c r="Q2">
        <f>PI()*K2*$U$4*J2*COS(C2*$Y$7)/(4*$Y$6)</f>
        <v>341.45100205662271</v>
      </c>
      <c r="R2">
        <f>Q2/1000</f>
        <v>0.34145100205662271</v>
      </c>
      <c r="T2" s="1" t="s">
        <v>24</v>
      </c>
      <c r="U2">
        <f>48.5*10^6</f>
        <v>48500000</v>
      </c>
      <c r="V2" t="s">
        <v>17</v>
      </c>
      <c r="X2" t="s">
        <v>15</v>
      </c>
      <c r="Y2" t="s">
        <v>16</v>
      </c>
    </row>
    <row r="3" spans="1:25" x14ac:dyDescent="0.3">
      <c r="A3">
        <v>4.0000000000000001E-3</v>
      </c>
      <c r="B3" s="4"/>
      <c r="C3">
        <v>-49.101322099999997</v>
      </c>
      <c r="D3">
        <v>1.0665914219999999</v>
      </c>
      <c r="E3">
        <v>8</v>
      </c>
      <c r="F3">
        <f t="shared" ref="F3:F66" si="0">0.0462806*SQRT(E3/1000)</f>
        <v>4.1394627055790709E-3</v>
      </c>
      <c r="G3">
        <f t="shared" ref="G3:G66" si="1">$U$3*F3/2</f>
        <v>1.2802461976017745E-2</v>
      </c>
      <c r="H3">
        <f t="shared" ref="H3:H66" si="2">PI()/G3</f>
        <v>245.38972734109987</v>
      </c>
      <c r="I3">
        <f t="shared" ref="I3:I66" si="3">BESSELI(H3*$Y$5,0)</f>
        <v>1.6199456811093704</v>
      </c>
      <c r="J3">
        <f t="shared" ref="J3:J66" si="4">BESSELI(H3*D3*$Y$5,0)</f>
        <v>1.7183188589127107</v>
      </c>
      <c r="K3">
        <f t="shared" ref="K3:K66" si="5">(D3^2-1)/(D3^2*I3+J3)</f>
        <v>3.8643540468598483E-2</v>
      </c>
      <c r="L3">
        <f t="shared" ref="L3:L66" si="6">I3+J3/(D3^2*I3+J3)</f>
        <v>2.1024572762850835</v>
      </c>
      <c r="M3">
        <f t="shared" ref="M3:M66" si="7">((L3*O3^2)/$Y$5^2)+(K3*BESSELI(O3*H3,0)*COS(H3*A3))</f>
        <v>1.0065876694365881</v>
      </c>
      <c r="N3">
        <f t="shared" ref="N3:N66" si="8">((L3*P3^2)/$Y$5^2)-(K3*BESSELI(P3*H3,0)*COS(H3*A3))</f>
        <v>0.99272181322303998</v>
      </c>
      <c r="O3">
        <v>4.095003181418198E-3</v>
      </c>
      <c r="P3">
        <v>4.1796129716643315E-3</v>
      </c>
      <c r="Q3">
        <f t="shared" ref="Q3:Q66" si="9">PI()*K3*$U$4*J3*COS(C3*$Y$7)/(4*$Y$6)</f>
        <v>341.45100205662271</v>
      </c>
      <c r="R3">
        <f t="shared" ref="R3:R66" si="10">Q3/1000</f>
        <v>0.34145100205662271</v>
      </c>
      <c r="T3" s="1" t="s">
        <v>25</v>
      </c>
      <c r="U3">
        <f>U5/(U2)</f>
        <v>6.1855670103092786</v>
      </c>
      <c r="V3" t="s">
        <v>0</v>
      </c>
      <c r="X3">
        <v>8</v>
      </c>
      <c r="Y3">
        <v>180</v>
      </c>
    </row>
    <row r="4" spans="1:25" x14ac:dyDescent="0.3">
      <c r="A4">
        <v>6.0000000000000001E-3</v>
      </c>
      <c r="B4" s="4"/>
      <c r="C4">
        <v>-49.101322099999997</v>
      </c>
      <c r="D4">
        <v>1.0665914219999999</v>
      </c>
      <c r="E4">
        <v>8</v>
      </c>
      <c r="F4">
        <f t="shared" si="0"/>
        <v>4.1394627055790709E-3</v>
      </c>
      <c r="G4">
        <f t="shared" si="1"/>
        <v>1.2802461976017745E-2</v>
      </c>
      <c r="H4">
        <f t="shared" si="2"/>
        <v>245.38972734109987</v>
      </c>
      <c r="I4">
        <f t="shared" si="3"/>
        <v>1.6199456811093704</v>
      </c>
      <c r="J4">
        <f t="shared" si="4"/>
        <v>1.7183188589127107</v>
      </c>
      <c r="K4">
        <f t="shared" si="5"/>
        <v>3.8643540468598483E-2</v>
      </c>
      <c r="L4">
        <f t="shared" si="6"/>
        <v>2.1024572762850835</v>
      </c>
      <c r="M4">
        <f t="shared" si="7"/>
        <v>1.0001434740899953</v>
      </c>
      <c r="N4">
        <f t="shared" si="8"/>
        <v>1.0001344679023614</v>
      </c>
      <c r="O4">
        <v>4.1282497709119528E-3</v>
      </c>
      <c r="P4">
        <v>4.1482694500562366E-3</v>
      </c>
      <c r="Q4">
        <f t="shared" si="9"/>
        <v>341.45100205662271</v>
      </c>
      <c r="R4">
        <f t="shared" si="10"/>
        <v>0.34145100205662271</v>
      </c>
      <c r="T4" s="1" t="s">
        <v>27</v>
      </c>
      <c r="U4">
        <v>60000</v>
      </c>
      <c r="V4" t="s">
        <v>10</v>
      </c>
    </row>
    <row r="5" spans="1:25" x14ac:dyDescent="0.3">
      <c r="A5">
        <v>8.0000000000000002E-3</v>
      </c>
      <c r="B5" s="4"/>
      <c r="C5">
        <v>-49.101322099999997</v>
      </c>
      <c r="D5">
        <v>1.0665914219999999</v>
      </c>
      <c r="E5">
        <v>8</v>
      </c>
      <c r="F5">
        <f t="shared" si="0"/>
        <v>4.1394627055790709E-3</v>
      </c>
      <c r="G5">
        <f t="shared" si="1"/>
        <v>1.2802461976017745E-2</v>
      </c>
      <c r="H5">
        <f t="shared" si="2"/>
        <v>245.38972734109987</v>
      </c>
      <c r="I5">
        <f t="shared" si="3"/>
        <v>1.6199456811093704</v>
      </c>
      <c r="J5">
        <f t="shared" si="4"/>
        <v>1.7183188589127107</v>
      </c>
      <c r="K5">
        <f t="shared" si="5"/>
        <v>3.8643540468598483E-2</v>
      </c>
      <c r="L5">
        <f t="shared" si="6"/>
        <v>2.1024572762850835</v>
      </c>
      <c r="M5">
        <f t="shared" si="7"/>
        <v>1.0005975295136986</v>
      </c>
      <c r="N5">
        <f t="shared" si="8"/>
        <v>1.0005675611850535</v>
      </c>
      <c r="O5">
        <v>4.178159887605992E-3</v>
      </c>
      <c r="P5">
        <v>4.1001660932701248E-3</v>
      </c>
      <c r="Q5">
        <f t="shared" si="9"/>
        <v>341.45100205662271</v>
      </c>
      <c r="R5">
        <f t="shared" si="10"/>
        <v>0.34145100205662271</v>
      </c>
      <c r="T5" s="1" t="s">
        <v>26</v>
      </c>
      <c r="U5">
        <v>300000000</v>
      </c>
      <c r="V5" t="s">
        <v>14</v>
      </c>
      <c r="X5" s="1" t="s">
        <v>28</v>
      </c>
      <c r="Y5" s="2">
        <f>6/1000</f>
        <v>6.0000000000000001E-3</v>
      </c>
    </row>
    <row r="6" spans="1:25" x14ac:dyDescent="0.3">
      <c r="A6">
        <v>0.01</v>
      </c>
      <c r="B6" s="4"/>
      <c r="C6">
        <v>-49.101322099999997</v>
      </c>
      <c r="D6">
        <v>1.0665914219999999</v>
      </c>
      <c r="E6">
        <v>8</v>
      </c>
      <c r="F6">
        <f t="shared" si="0"/>
        <v>4.1394627055790709E-3</v>
      </c>
      <c r="G6">
        <f t="shared" si="1"/>
        <v>1.2802461976017745E-2</v>
      </c>
      <c r="H6">
        <f t="shared" si="2"/>
        <v>245.38972734109987</v>
      </c>
      <c r="I6">
        <f t="shared" si="3"/>
        <v>1.6199456811093704</v>
      </c>
      <c r="J6">
        <f t="shared" si="4"/>
        <v>1.7183188589127107</v>
      </c>
      <c r="K6">
        <f t="shared" si="5"/>
        <v>3.8643540468598483E-2</v>
      </c>
      <c r="L6">
        <f t="shared" si="6"/>
        <v>2.1024572762850835</v>
      </c>
      <c r="M6">
        <f t="shared" si="7"/>
        <v>1.0011802377912582</v>
      </c>
      <c r="N6">
        <f t="shared" si="8"/>
        <v>1.0011183910375585</v>
      </c>
      <c r="O6">
        <v>4.2190985163914592E-3</v>
      </c>
      <c r="P6">
        <v>4.061478650747798E-3</v>
      </c>
      <c r="Q6">
        <f t="shared" si="9"/>
        <v>341.45100205662271</v>
      </c>
      <c r="R6">
        <f t="shared" si="10"/>
        <v>0.34145100205662271</v>
      </c>
      <c r="X6" s="1" t="s">
        <v>19</v>
      </c>
      <c r="Y6" s="2">
        <v>6</v>
      </c>
    </row>
    <row r="7" spans="1:25" x14ac:dyDescent="0.3">
      <c r="A7">
        <v>1.2E-2</v>
      </c>
      <c r="B7" s="4"/>
      <c r="C7">
        <v>-49.101322099999997</v>
      </c>
      <c r="D7">
        <v>1.0665914219999999</v>
      </c>
      <c r="E7">
        <v>8</v>
      </c>
      <c r="F7">
        <f t="shared" si="0"/>
        <v>4.1394627055790709E-3</v>
      </c>
      <c r="G7">
        <f t="shared" si="1"/>
        <v>1.2802461976017745E-2</v>
      </c>
      <c r="H7">
        <f t="shared" si="2"/>
        <v>245.38972734109987</v>
      </c>
      <c r="I7">
        <f t="shared" si="3"/>
        <v>1.6199456811093704</v>
      </c>
      <c r="J7">
        <f t="shared" si="4"/>
        <v>1.7183188589127107</v>
      </c>
      <c r="K7">
        <f t="shared" si="5"/>
        <v>3.8643540468598483E-2</v>
      </c>
      <c r="L7">
        <f t="shared" si="6"/>
        <v>2.1024572762850835</v>
      </c>
      <c r="M7">
        <f t="shared" si="7"/>
        <v>1.0015696481320508</v>
      </c>
      <c r="N7">
        <f t="shared" si="8"/>
        <v>1.0014839995521123</v>
      </c>
      <c r="O7">
        <v>4.2410561526659771E-3</v>
      </c>
      <c r="P7">
        <v>4.0410071924294379E-3</v>
      </c>
      <c r="Q7">
        <f t="shared" si="9"/>
        <v>341.45100205662271</v>
      </c>
      <c r="R7">
        <f t="shared" si="10"/>
        <v>0.34145100205662271</v>
      </c>
      <c r="T7" t="s">
        <v>11</v>
      </c>
      <c r="U7">
        <v>1</v>
      </c>
      <c r="X7" s="1" t="s">
        <v>18</v>
      </c>
      <c r="Y7" s="2">
        <f>PI()/180</f>
        <v>1.7453292519943295E-2</v>
      </c>
    </row>
    <row r="8" spans="1:25" x14ac:dyDescent="0.3">
      <c r="A8">
        <v>1.4E-2</v>
      </c>
      <c r="B8" s="4">
        <v>2</v>
      </c>
      <c r="C8">
        <v>-49.101322099999997</v>
      </c>
      <c r="D8">
        <v>1.0654627539999999</v>
      </c>
      <c r="E8">
        <f>$E$7+$R$2</f>
        <v>8.3414510020566226</v>
      </c>
      <c r="F8">
        <f t="shared" si="0"/>
        <v>4.226878673649047E-3</v>
      </c>
      <c r="G8">
        <f t="shared" si="1"/>
        <v>1.3072820640151693E-2</v>
      </c>
      <c r="H8">
        <f t="shared" si="2"/>
        <v>240.31482876317801</v>
      </c>
      <c r="I8">
        <f t="shared" si="3"/>
        <v>1.5913285941838033</v>
      </c>
      <c r="J8">
        <f t="shared" si="4"/>
        <v>1.6829961546218768</v>
      </c>
      <c r="K8">
        <f t="shared" si="5"/>
        <v>3.8748038316609314E-2</v>
      </c>
      <c r="L8">
        <f t="shared" si="6"/>
        <v>2.0736329724129527</v>
      </c>
      <c r="M8">
        <f t="shared" si="7"/>
        <v>1.0021594274110173</v>
      </c>
      <c r="N8">
        <f t="shared" si="8"/>
        <v>1.0009890616728705</v>
      </c>
      <c r="O8">
        <v>4.2706986412765716E-3</v>
      </c>
      <c r="P8">
        <v>4.0688446816692821E-3</v>
      </c>
      <c r="Q8">
        <f t="shared" si="9"/>
        <v>335.33630154905751</v>
      </c>
      <c r="R8">
        <f t="shared" si="10"/>
        <v>0.33533630154905752</v>
      </c>
    </row>
    <row r="9" spans="1:25" x14ac:dyDescent="0.3">
      <c r="A9">
        <v>1.6E-2</v>
      </c>
      <c r="B9" s="4"/>
      <c r="C9">
        <v>-49.101322099999997</v>
      </c>
      <c r="D9">
        <v>1.0654627539999999</v>
      </c>
      <c r="E9">
        <f t="shared" ref="E9:E13" si="11">$E$7+$R$2</f>
        <v>8.3414510020566226</v>
      </c>
      <c r="F9">
        <f t="shared" si="0"/>
        <v>4.226878673649047E-3</v>
      </c>
      <c r="G9">
        <f t="shared" si="1"/>
        <v>1.3072820640151693E-2</v>
      </c>
      <c r="H9">
        <f t="shared" si="2"/>
        <v>240.31482876317801</v>
      </c>
      <c r="I9">
        <f t="shared" si="3"/>
        <v>1.5913285941838033</v>
      </c>
      <c r="J9">
        <f t="shared" si="4"/>
        <v>1.6829961546218768</v>
      </c>
      <c r="K9">
        <f t="shared" si="5"/>
        <v>3.8748038316609314E-2</v>
      </c>
      <c r="L9">
        <f t="shared" si="6"/>
        <v>2.0736329724129527</v>
      </c>
      <c r="M9">
        <f t="shared" si="7"/>
        <v>1.0016886557568978</v>
      </c>
      <c r="N9">
        <f t="shared" si="8"/>
        <v>1.000687442081154</v>
      </c>
      <c r="O9">
        <v>4.2480333062799268E-3</v>
      </c>
      <c r="P9">
        <v>4.0900086503974564E-3</v>
      </c>
      <c r="Q9">
        <f t="shared" si="9"/>
        <v>335.33630154905751</v>
      </c>
      <c r="R9">
        <f t="shared" si="10"/>
        <v>0.33533630154905752</v>
      </c>
    </row>
    <row r="10" spans="1:25" x14ac:dyDescent="0.3">
      <c r="A10">
        <v>1.7999999999999999E-2</v>
      </c>
      <c r="B10" s="4"/>
      <c r="C10">
        <v>-49.101322099999997</v>
      </c>
      <c r="D10">
        <v>1.0654627539999999</v>
      </c>
      <c r="E10">
        <f t="shared" si="11"/>
        <v>8.3414510020566226</v>
      </c>
      <c r="F10">
        <f t="shared" si="0"/>
        <v>4.226878673649047E-3</v>
      </c>
      <c r="G10">
        <f t="shared" si="1"/>
        <v>1.3072820640151693E-2</v>
      </c>
      <c r="H10">
        <f t="shared" si="2"/>
        <v>240.31482876317801</v>
      </c>
      <c r="I10">
        <f t="shared" si="3"/>
        <v>1.5913285941838033</v>
      </c>
      <c r="J10">
        <f t="shared" si="4"/>
        <v>1.6829961546218768</v>
      </c>
      <c r="K10">
        <f t="shared" si="5"/>
        <v>3.8748038316609314E-2</v>
      </c>
      <c r="L10">
        <f t="shared" si="6"/>
        <v>2.0736329724129527</v>
      </c>
      <c r="M10">
        <f t="shared" si="7"/>
        <v>1.0009823814198016</v>
      </c>
      <c r="N10">
        <f t="shared" si="8"/>
        <v>1.0002751814206399</v>
      </c>
      <c r="O10">
        <v>4.2072201688504408E-3</v>
      </c>
      <c r="P10">
        <v>4.1286214063998086E-3</v>
      </c>
      <c r="Q10">
        <f t="shared" si="9"/>
        <v>335.33630154905751</v>
      </c>
      <c r="R10">
        <f t="shared" si="10"/>
        <v>0.33533630154905752</v>
      </c>
    </row>
    <row r="11" spans="1:25" x14ac:dyDescent="0.3">
      <c r="A11">
        <v>0.02</v>
      </c>
      <c r="B11" s="4"/>
      <c r="C11">
        <v>-49.101322099999997</v>
      </c>
      <c r="D11">
        <v>1.0654627539999999</v>
      </c>
      <c r="E11">
        <f t="shared" si="11"/>
        <v>8.3414510020566226</v>
      </c>
      <c r="F11">
        <f t="shared" si="0"/>
        <v>4.226878673649047E-3</v>
      </c>
      <c r="G11">
        <f t="shared" si="1"/>
        <v>1.3072820640151693E-2</v>
      </c>
      <c r="H11">
        <f t="shared" si="2"/>
        <v>240.31482876317801</v>
      </c>
      <c r="I11">
        <f t="shared" si="3"/>
        <v>1.5913285941838033</v>
      </c>
      <c r="J11">
        <f t="shared" si="4"/>
        <v>1.6829961546218768</v>
      </c>
      <c r="K11">
        <f t="shared" si="5"/>
        <v>3.8748038316609314E-2</v>
      </c>
      <c r="L11">
        <f t="shared" si="6"/>
        <v>2.0736329724129527</v>
      </c>
      <c r="M11">
        <f t="shared" si="7"/>
        <v>1.0003745091365688</v>
      </c>
      <c r="N11">
        <f t="shared" si="8"/>
        <v>1.0016306631618153</v>
      </c>
      <c r="O11">
        <v>4.1578244391394263E-3</v>
      </c>
      <c r="P11">
        <v>4.1796129716643315E-3</v>
      </c>
      <c r="Q11">
        <f t="shared" si="9"/>
        <v>335.33630154905751</v>
      </c>
      <c r="R11">
        <f t="shared" si="10"/>
        <v>0.33533630154905752</v>
      </c>
    </row>
    <row r="12" spans="1:25" x14ac:dyDescent="0.3">
      <c r="A12">
        <v>2.1999999999999999E-2</v>
      </c>
      <c r="B12" s="4"/>
      <c r="C12">
        <v>-49.101322099999997</v>
      </c>
      <c r="D12">
        <v>1.0654627539999999</v>
      </c>
      <c r="E12">
        <f t="shared" si="11"/>
        <v>8.3414510020566226</v>
      </c>
      <c r="F12">
        <f t="shared" si="0"/>
        <v>4.226878673649047E-3</v>
      </c>
      <c r="G12">
        <f t="shared" si="1"/>
        <v>1.3072820640151693E-2</v>
      </c>
      <c r="H12">
        <f t="shared" si="2"/>
        <v>240.31482876317801</v>
      </c>
      <c r="I12">
        <f t="shared" si="3"/>
        <v>1.5913285941838033</v>
      </c>
      <c r="J12">
        <f t="shared" si="4"/>
        <v>1.6829961546218768</v>
      </c>
      <c r="K12">
        <f t="shared" si="5"/>
        <v>3.8748038316609314E-2</v>
      </c>
      <c r="L12">
        <f t="shared" si="6"/>
        <v>2.0736329724129527</v>
      </c>
      <c r="M12">
        <f t="shared" si="7"/>
        <v>0.99238537786338676</v>
      </c>
      <c r="N12">
        <f t="shared" si="8"/>
        <v>0.99983551724730924</v>
      </c>
      <c r="O12">
        <v>4.095003181418198E-3</v>
      </c>
      <c r="P12">
        <v>4.2218312845094261E-3</v>
      </c>
      <c r="Q12">
        <f t="shared" si="9"/>
        <v>335.33630154905751</v>
      </c>
      <c r="R12">
        <f t="shared" si="10"/>
        <v>0.33533630154905752</v>
      </c>
    </row>
    <row r="13" spans="1:25" x14ac:dyDescent="0.3">
      <c r="A13">
        <v>2.4E-2</v>
      </c>
      <c r="B13" s="4"/>
      <c r="C13">
        <v>-49.101322099999997</v>
      </c>
      <c r="D13">
        <v>1.0654627539999999</v>
      </c>
      <c r="E13">
        <f t="shared" si="11"/>
        <v>8.3414510020566226</v>
      </c>
      <c r="F13">
        <f t="shared" si="0"/>
        <v>4.226878673649047E-3</v>
      </c>
      <c r="G13">
        <f t="shared" si="1"/>
        <v>1.3072820640151693E-2</v>
      </c>
      <c r="H13">
        <f t="shared" si="2"/>
        <v>240.31482876317801</v>
      </c>
      <c r="I13">
        <f t="shared" si="3"/>
        <v>1.5913285941838033</v>
      </c>
      <c r="J13">
        <f t="shared" si="4"/>
        <v>1.6829961546218768</v>
      </c>
      <c r="K13">
        <f t="shared" si="5"/>
        <v>3.8748038316609314E-2</v>
      </c>
      <c r="L13">
        <f t="shared" si="6"/>
        <v>2.0736329724129527</v>
      </c>
      <c r="M13">
        <f t="shared" si="7"/>
        <v>1.0082917970727245</v>
      </c>
      <c r="N13">
        <f t="shared" si="8"/>
        <v>1.0041493779731112</v>
      </c>
      <c r="O13">
        <v>4.095003181418198E-3</v>
      </c>
      <c r="P13">
        <v>4.2640495973545207E-3</v>
      </c>
      <c r="Q13">
        <f t="shared" si="9"/>
        <v>335.33630154905751</v>
      </c>
      <c r="R13">
        <f t="shared" si="10"/>
        <v>0.33533630154905752</v>
      </c>
    </row>
    <row r="14" spans="1:25" x14ac:dyDescent="0.3">
      <c r="A14">
        <v>2.5999999999999999E-2</v>
      </c>
      <c r="B14" s="4">
        <v>3</v>
      </c>
      <c r="C14">
        <v>-49.0855240969627</v>
      </c>
      <c r="D14">
        <v>1.0665914219999999</v>
      </c>
      <c r="E14">
        <f>$E$13+$R$13</f>
        <v>8.6767873036056802</v>
      </c>
      <c r="F14">
        <f t="shared" si="0"/>
        <v>4.3110043044142787E-3</v>
      </c>
      <c r="G14">
        <f t="shared" si="1"/>
        <v>1.3333003003343131E-2</v>
      </c>
      <c r="H14">
        <f t="shared" si="2"/>
        <v>235.62528657662995</v>
      </c>
      <c r="I14">
        <f t="shared" si="3"/>
        <v>1.5656677264878494</v>
      </c>
      <c r="J14">
        <f t="shared" si="4"/>
        <v>1.6545048980506953</v>
      </c>
      <c r="K14">
        <f t="shared" si="5"/>
        <v>4.0055838375249987E-2</v>
      </c>
      <c r="L14">
        <f t="shared" si="6"/>
        <v>2.0472394426572773</v>
      </c>
      <c r="M14">
        <f t="shared" si="7"/>
        <v>1.0029404171812928</v>
      </c>
      <c r="N14">
        <f t="shared" si="8"/>
        <v>1.0001452537829367</v>
      </c>
      <c r="O14">
        <v>4.095003181418198E-3</v>
      </c>
      <c r="P14">
        <v>4.2980310294746136E-3</v>
      </c>
      <c r="Q14">
        <f t="shared" si="9"/>
        <v>340.89436045089207</v>
      </c>
      <c r="R14">
        <f t="shared" si="10"/>
        <v>0.34089436045089205</v>
      </c>
    </row>
    <row r="15" spans="1:25" x14ac:dyDescent="0.3">
      <c r="A15">
        <v>2.8000000000000001E-2</v>
      </c>
      <c r="B15" s="4"/>
      <c r="C15">
        <v>-49.0855240969627</v>
      </c>
      <c r="D15">
        <v>1.0665914219999999</v>
      </c>
      <c r="E15">
        <f t="shared" ref="E15:E20" si="12">$E$13+$R$13</f>
        <v>8.6767873036056802</v>
      </c>
      <c r="F15">
        <f t="shared" si="0"/>
        <v>4.3110043044142787E-3</v>
      </c>
      <c r="G15">
        <f t="shared" si="1"/>
        <v>1.3333003003343131E-2</v>
      </c>
      <c r="H15">
        <f t="shared" si="2"/>
        <v>235.62528657662995</v>
      </c>
      <c r="I15">
        <f t="shared" si="3"/>
        <v>1.5656677264878494</v>
      </c>
      <c r="J15">
        <f t="shared" si="4"/>
        <v>1.6545048980506953</v>
      </c>
      <c r="K15">
        <f t="shared" si="5"/>
        <v>4.0055838375249987E-2</v>
      </c>
      <c r="L15">
        <f t="shared" si="6"/>
        <v>2.0472394426572773</v>
      </c>
      <c r="M15">
        <f t="shared" si="7"/>
        <v>1.0011074766737988</v>
      </c>
      <c r="N15">
        <f t="shared" si="8"/>
        <v>1.000121946779829</v>
      </c>
      <c r="O15">
        <v>4.095003181418198E-3</v>
      </c>
      <c r="P15">
        <v>4.2941104788392706E-3</v>
      </c>
      <c r="Q15">
        <f t="shared" si="9"/>
        <v>340.89436045089207</v>
      </c>
      <c r="R15">
        <f t="shared" si="10"/>
        <v>0.34089436045089205</v>
      </c>
    </row>
    <row r="16" spans="1:25" x14ac:dyDescent="0.3">
      <c r="A16">
        <v>0.03</v>
      </c>
      <c r="B16" s="4"/>
      <c r="C16">
        <v>-49.0855240969627</v>
      </c>
      <c r="D16">
        <v>1.0665914219999999</v>
      </c>
      <c r="E16">
        <f t="shared" si="12"/>
        <v>8.6767873036056802</v>
      </c>
      <c r="F16">
        <f t="shared" si="0"/>
        <v>4.3110043044142787E-3</v>
      </c>
      <c r="G16">
        <f t="shared" si="1"/>
        <v>1.3333003003343131E-2</v>
      </c>
      <c r="H16">
        <f t="shared" si="2"/>
        <v>235.62528657662995</v>
      </c>
      <c r="I16">
        <f t="shared" si="3"/>
        <v>1.5656677264878494</v>
      </c>
      <c r="J16">
        <f t="shared" si="4"/>
        <v>1.6545048980506953</v>
      </c>
      <c r="K16">
        <f t="shared" si="5"/>
        <v>4.0055838375249987E-2</v>
      </c>
      <c r="L16">
        <f t="shared" si="6"/>
        <v>2.0472394426572773</v>
      </c>
      <c r="M16">
        <f t="shared" si="7"/>
        <v>1.0000875088490644</v>
      </c>
      <c r="N16">
        <f t="shared" si="8"/>
        <v>0.99804723180152966</v>
      </c>
      <c r="O16">
        <v>4.118723287845156E-3</v>
      </c>
      <c r="P16">
        <v>4.2640495973545207E-3</v>
      </c>
      <c r="Q16">
        <f t="shared" si="9"/>
        <v>340.89436045089207</v>
      </c>
      <c r="R16">
        <f t="shared" si="10"/>
        <v>0.34089436045089205</v>
      </c>
    </row>
    <row r="17" spans="1:18" x14ac:dyDescent="0.3">
      <c r="A17">
        <v>3.2000000000000001E-2</v>
      </c>
      <c r="B17" s="4"/>
      <c r="C17">
        <v>-49.0855240969627</v>
      </c>
      <c r="D17">
        <v>1.0665914219999999</v>
      </c>
      <c r="E17">
        <f t="shared" si="12"/>
        <v>8.6767873036056802</v>
      </c>
      <c r="F17">
        <f t="shared" si="0"/>
        <v>4.3110043044142787E-3</v>
      </c>
      <c r="G17">
        <f t="shared" si="1"/>
        <v>1.3333003003343131E-2</v>
      </c>
      <c r="H17">
        <f t="shared" si="2"/>
        <v>235.62528657662995</v>
      </c>
      <c r="I17">
        <f t="shared" si="3"/>
        <v>1.5656677264878494</v>
      </c>
      <c r="J17">
        <f t="shared" si="4"/>
        <v>1.6545048980506953</v>
      </c>
      <c r="K17">
        <f t="shared" si="5"/>
        <v>4.0055838375249987E-2</v>
      </c>
      <c r="L17">
        <f t="shared" si="6"/>
        <v>2.0472394426572773</v>
      </c>
      <c r="M17">
        <f t="shared" si="7"/>
        <v>1.0004072676149816</v>
      </c>
      <c r="N17">
        <f t="shared" si="8"/>
        <v>0.99797717428216171</v>
      </c>
      <c r="O17">
        <v>4.1615815529439113E-3</v>
      </c>
      <c r="P17">
        <v>4.2218312845094261E-3</v>
      </c>
      <c r="Q17">
        <f t="shared" si="9"/>
        <v>340.89436045089207</v>
      </c>
      <c r="R17">
        <f t="shared" si="10"/>
        <v>0.34089436045089205</v>
      </c>
    </row>
    <row r="18" spans="1:18" x14ac:dyDescent="0.3">
      <c r="A18">
        <v>3.4000000000000002E-2</v>
      </c>
      <c r="B18" s="4"/>
      <c r="C18">
        <v>-49.0855240969627</v>
      </c>
      <c r="D18">
        <v>1.0665914219999999</v>
      </c>
      <c r="E18">
        <f t="shared" si="12"/>
        <v>8.6767873036056802</v>
      </c>
      <c r="F18">
        <f t="shared" si="0"/>
        <v>4.3110043044142787E-3</v>
      </c>
      <c r="G18">
        <f t="shared" si="1"/>
        <v>1.3333003003343131E-2</v>
      </c>
      <c r="H18">
        <f t="shared" si="2"/>
        <v>235.62528657662995</v>
      </c>
      <c r="I18">
        <f t="shared" si="3"/>
        <v>1.5656677264878494</v>
      </c>
      <c r="J18">
        <f t="shared" si="4"/>
        <v>1.6545048980506953</v>
      </c>
      <c r="K18">
        <f t="shared" si="5"/>
        <v>4.0055838375249987E-2</v>
      </c>
      <c r="L18">
        <f t="shared" si="6"/>
        <v>2.0472394426572773</v>
      </c>
      <c r="M18">
        <f t="shared" si="7"/>
        <v>1.0010484873917691</v>
      </c>
      <c r="N18">
        <f t="shared" si="8"/>
        <v>1.0013222421450654</v>
      </c>
      <c r="O18">
        <v>4.2121616826413816E-3</v>
      </c>
      <c r="P18">
        <v>4.1796129716643315E-3</v>
      </c>
      <c r="Q18">
        <f t="shared" si="9"/>
        <v>340.89436045089207</v>
      </c>
      <c r="R18">
        <f t="shared" si="10"/>
        <v>0.34089436045089205</v>
      </c>
    </row>
    <row r="19" spans="1:18" x14ac:dyDescent="0.3">
      <c r="A19">
        <v>3.5999999999999997E-2</v>
      </c>
      <c r="B19" s="4"/>
      <c r="C19">
        <v>-49.0855240969627</v>
      </c>
      <c r="D19">
        <v>1.0665914219999999</v>
      </c>
      <c r="E19">
        <f t="shared" si="12"/>
        <v>8.6767873036056802</v>
      </c>
      <c r="F19">
        <f t="shared" si="0"/>
        <v>4.3110043044142787E-3</v>
      </c>
      <c r="G19">
        <f t="shared" si="1"/>
        <v>1.3333003003343131E-2</v>
      </c>
      <c r="H19">
        <f t="shared" si="2"/>
        <v>235.62528657662995</v>
      </c>
      <c r="I19">
        <f t="shared" si="3"/>
        <v>1.5656677264878494</v>
      </c>
      <c r="J19">
        <f t="shared" si="4"/>
        <v>1.6545048980506953</v>
      </c>
      <c r="K19">
        <f t="shared" si="5"/>
        <v>4.0055838375249987E-2</v>
      </c>
      <c r="L19">
        <f t="shared" si="6"/>
        <v>2.0472394426572773</v>
      </c>
      <c r="M19">
        <f t="shared" si="7"/>
        <v>1.0019027404076222</v>
      </c>
      <c r="N19">
        <f t="shared" si="8"/>
        <v>1.0002476980720594</v>
      </c>
      <c r="O19">
        <v>4.2594945674464422E-3</v>
      </c>
      <c r="P19">
        <v>4.1316801694302793E-3</v>
      </c>
      <c r="Q19">
        <f t="shared" si="9"/>
        <v>340.89436045089207</v>
      </c>
      <c r="R19">
        <f t="shared" si="10"/>
        <v>0.34089436045089205</v>
      </c>
    </row>
    <row r="20" spans="1:18" x14ac:dyDescent="0.3">
      <c r="A20">
        <v>3.7999999999999999E-2</v>
      </c>
      <c r="B20" s="4"/>
      <c r="C20">
        <v>-49.0855240969627</v>
      </c>
      <c r="D20">
        <v>1.0665914219999999</v>
      </c>
      <c r="E20">
        <f t="shared" si="12"/>
        <v>8.6767873036056802</v>
      </c>
      <c r="F20">
        <f t="shared" si="0"/>
        <v>4.3110043044142787E-3</v>
      </c>
      <c r="G20">
        <f t="shared" si="1"/>
        <v>1.3333003003343131E-2</v>
      </c>
      <c r="H20">
        <f t="shared" si="2"/>
        <v>235.62528657662995</v>
      </c>
      <c r="I20">
        <f t="shared" si="3"/>
        <v>1.5656677264878494</v>
      </c>
      <c r="J20">
        <f t="shared" si="4"/>
        <v>1.6545048980506953</v>
      </c>
      <c r="K20">
        <f t="shared" si="5"/>
        <v>4.0055838375249987E-2</v>
      </c>
      <c r="L20">
        <f t="shared" si="6"/>
        <v>2.0472394426572773</v>
      </c>
      <c r="M20">
        <f t="shared" si="7"/>
        <v>1.0026543238543308</v>
      </c>
      <c r="N20">
        <f t="shared" si="8"/>
        <v>1.0005560717045596</v>
      </c>
      <c r="O20">
        <v>4.2930320940615359E-3</v>
      </c>
      <c r="P20">
        <v>4.100187431569112E-3</v>
      </c>
      <c r="Q20">
        <f t="shared" si="9"/>
        <v>340.89436045089207</v>
      </c>
      <c r="R20">
        <f t="shared" si="10"/>
        <v>0.34089436045089205</v>
      </c>
    </row>
    <row r="21" spans="1:18" x14ac:dyDescent="0.3">
      <c r="A21">
        <v>0.04</v>
      </c>
      <c r="B21" s="4">
        <v>4</v>
      </c>
      <c r="C21">
        <v>-49.068842619207302</v>
      </c>
      <c r="D21">
        <v>1.0665914219999999</v>
      </c>
      <c r="E21">
        <f>$E$20+$R$20</f>
        <v>9.0176816640565729</v>
      </c>
      <c r="F21">
        <f t="shared" si="0"/>
        <v>4.394874022798324E-3</v>
      </c>
      <c r="G21">
        <f t="shared" si="1"/>
        <v>1.3592393884943271E-2</v>
      </c>
      <c r="H21">
        <f t="shared" si="2"/>
        <v>231.12872391594212</v>
      </c>
      <c r="I21">
        <f t="shared" si="3"/>
        <v>1.5417544507433512</v>
      </c>
      <c r="J21">
        <f t="shared" si="4"/>
        <v>1.6264406745321576</v>
      </c>
      <c r="K21">
        <f t="shared" si="5"/>
        <v>4.0710743937032244E-2</v>
      </c>
      <c r="L21">
        <f t="shared" si="6"/>
        <v>2.0228976526618085</v>
      </c>
      <c r="M21">
        <f t="shared" si="7"/>
        <v>1.0036406583997215</v>
      </c>
      <c r="N21">
        <f t="shared" si="8"/>
        <v>1.0004084488072258</v>
      </c>
      <c r="O21">
        <v>4.3317465801394096E-3</v>
      </c>
      <c r="P21">
        <v>4.1134252041854606E-3</v>
      </c>
      <c r="Q21">
        <f t="shared" si="9"/>
        <v>340.70542717114233</v>
      </c>
      <c r="R21">
        <f t="shared" si="10"/>
        <v>0.34070542717114233</v>
      </c>
    </row>
    <row r="22" spans="1:18" x14ac:dyDescent="0.3">
      <c r="A22">
        <v>4.2000000000000003E-2</v>
      </c>
      <c r="B22" s="4"/>
      <c r="C22">
        <v>-49.068842619207302</v>
      </c>
      <c r="D22">
        <v>1.0665914219999999</v>
      </c>
      <c r="E22">
        <f t="shared" ref="E22:E26" si="13">$E$20+$R$20</f>
        <v>9.0176816640565729</v>
      </c>
      <c r="F22">
        <f t="shared" si="0"/>
        <v>4.394874022798324E-3</v>
      </c>
      <c r="G22">
        <f t="shared" si="1"/>
        <v>1.3592393884943271E-2</v>
      </c>
      <c r="H22">
        <f t="shared" si="2"/>
        <v>231.12872391594212</v>
      </c>
      <c r="I22">
        <f t="shared" si="3"/>
        <v>1.5417544507433512</v>
      </c>
      <c r="J22">
        <f t="shared" si="4"/>
        <v>1.6264406745321576</v>
      </c>
      <c r="K22">
        <f t="shared" si="5"/>
        <v>4.0710743937032244E-2</v>
      </c>
      <c r="L22">
        <f t="shared" si="6"/>
        <v>2.0228976526618085</v>
      </c>
      <c r="M22">
        <f t="shared" si="7"/>
        <v>1.0035657569385894</v>
      </c>
      <c r="N22">
        <f t="shared" si="8"/>
        <v>1.0003839000430392</v>
      </c>
      <c r="O22">
        <v>4.3290653725421907E-3</v>
      </c>
      <c r="P22">
        <v>4.1159189242682866E-3</v>
      </c>
      <c r="Q22">
        <f t="shared" si="9"/>
        <v>340.70542717114233</v>
      </c>
      <c r="R22">
        <f t="shared" si="10"/>
        <v>0.34070542717114233</v>
      </c>
    </row>
    <row r="23" spans="1:18" x14ac:dyDescent="0.3">
      <c r="A23">
        <v>4.3999999999999997E-2</v>
      </c>
      <c r="B23" s="4"/>
      <c r="C23">
        <v>-49.068842619207302</v>
      </c>
      <c r="D23">
        <v>1.0665914219999999</v>
      </c>
      <c r="E23">
        <f t="shared" si="13"/>
        <v>9.0176816640565729</v>
      </c>
      <c r="F23">
        <f t="shared" si="0"/>
        <v>4.394874022798324E-3</v>
      </c>
      <c r="G23">
        <f t="shared" si="1"/>
        <v>1.3592393884943271E-2</v>
      </c>
      <c r="H23">
        <f t="shared" si="2"/>
        <v>231.12872391594212</v>
      </c>
      <c r="I23">
        <f t="shared" si="3"/>
        <v>1.5417544507433512</v>
      </c>
      <c r="J23">
        <f t="shared" si="4"/>
        <v>1.6264406745321576</v>
      </c>
      <c r="K23">
        <f t="shared" si="5"/>
        <v>4.0710743937032244E-2</v>
      </c>
      <c r="L23">
        <f t="shared" si="6"/>
        <v>2.0228976526618085</v>
      </c>
      <c r="M23">
        <f t="shared" si="7"/>
        <v>1.002890263402366</v>
      </c>
      <c r="N23">
        <f t="shared" si="8"/>
        <v>1.0001853759469217</v>
      </c>
      <c r="O23">
        <v>4.3035370079989891E-3</v>
      </c>
      <c r="P23">
        <v>4.139790395567066E-3</v>
      </c>
      <c r="Q23">
        <f t="shared" si="9"/>
        <v>340.70542717114233</v>
      </c>
      <c r="R23">
        <f t="shared" si="10"/>
        <v>0.34070542717114233</v>
      </c>
    </row>
    <row r="24" spans="1:18" x14ac:dyDescent="0.3">
      <c r="A24">
        <v>4.5999999999999999E-2</v>
      </c>
      <c r="B24" s="4"/>
      <c r="C24">
        <v>-49.068842619207302</v>
      </c>
      <c r="D24">
        <v>1.0665914219999999</v>
      </c>
      <c r="E24">
        <f t="shared" si="13"/>
        <v>9.0176816640565729</v>
      </c>
      <c r="F24">
        <f t="shared" si="0"/>
        <v>4.394874022798324E-3</v>
      </c>
      <c r="G24">
        <f t="shared" si="1"/>
        <v>1.3592393884943271E-2</v>
      </c>
      <c r="H24">
        <f t="shared" si="2"/>
        <v>231.12872391594212</v>
      </c>
      <c r="I24">
        <f t="shared" si="3"/>
        <v>1.5417544507433512</v>
      </c>
      <c r="J24">
        <f t="shared" si="4"/>
        <v>1.6264406745321576</v>
      </c>
      <c r="K24">
        <f t="shared" si="5"/>
        <v>4.0710743937032244E-2</v>
      </c>
      <c r="L24">
        <f t="shared" si="6"/>
        <v>2.0228976526618085</v>
      </c>
      <c r="M24">
        <f t="shared" si="7"/>
        <v>1.0019132096697303</v>
      </c>
      <c r="N24">
        <f t="shared" si="8"/>
        <v>0.99968131909811964</v>
      </c>
      <c r="O24">
        <v>4.2607944825295884E-3</v>
      </c>
      <c r="P24">
        <v>4.1796129716643315E-3</v>
      </c>
      <c r="Q24">
        <f t="shared" si="9"/>
        <v>340.70542717114233</v>
      </c>
      <c r="R24">
        <f t="shared" si="10"/>
        <v>0.34070542717114233</v>
      </c>
    </row>
    <row r="25" spans="1:18" x14ac:dyDescent="0.3">
      <c r="A25">
        <v>4.8000000000000001E-2</v>
      </c>
      <c r="B25" s="4"/>
      <c r="C25">
        <v>-49.068842619207302</v>
      </c>
      <c r="D25">
        <v>1.0665914219999999</v>
      </c>
      <c r="E25">
        <f t="shared" si="13"/>
        <v>9.0176816640565729</v>
      </c>
      <c r="F25">
        <f t="shared" si="0"/>
        <v>4.394874022798324E-3</v>
      </c>
      <c r="G25">
        <f t="shared" si="1"/>
        <v>1.3592393884943271E-2</v>
      </c>
      <c r="H25">
        <f t="shared" si="2"/>
        <v>231.12872391594212</v>
      </c>
      <c r="I25">
        <f t="shared" si="3"/>
        <v>1.5417544507433512</v>
      </c>
      <c r="J25">
        <f t="shared" si="4"/>
        <v>1.6264406745321576</v>
      </c>
      <c r="K25">
        <f t="shared" si="5"/>
        <v>4.0710743937032244E-2</v>
      </c>
      <c r="L25">
        <f t="shared" si="6"/>
        <v>2.0228976526618085</v>
      </c>
      <c r="M25">
        <f t="shared" si="7"/>
        <v>1.0010079433910217</v>
      </c>
      <c r="N25">
        <f t="shared" si="8"/>
        <v>0.9965311414526099</v>
      </c>
      <c r="O25">
        <v>4.2101020100113185E-3</v>
      </c>
      <c r="P25">
        <v>4.2218312845094261E-3</v>
      </c>
      <c r="Q25">
        <f t="shared" si="9"/>
        <v>340.70542717114233</v>
      </c>
      <c r="R25">
        <f t="shared" si="10"/>
        <v>0.34070542717114233</v>
      </c>
    </row>
    <row r="26" spans="1:18" x14ac:dyDescent="0.3">
      <c r="A26">
        <v>0.05</v>
      </c>
      <c r="B26" s="4"/>
      <c r="C26">
        <v>-49.068842619207302</v>
      </c>
      <c r="D26">
        <v>1.0665914219999999</v>
      </c>
      <c r="E26">
        <f t="shared" si="13"/>
        <v>9.0176816640565729</v>
      </c>
      <c r="F26">
        <f t="shared" si="0"/>
        <v>4.394874022798324E-3</v>
      </c>
      <c r="G26">
        <f t="shared" si="1"/>
        <v>1.3592393884943271E-2</v>
      </c>
      <c r="H26">
        <f t="shared" si="2"/>
        <v>231.12872391594212</v>
      </c>
      <c r="I26">
        <f t="shared" si="3"/>
        <v>1.5417544507433512</v>
      </c>
      <c r="J26">
        <f t="shared" si="4"/>
        <v>1.6264406745321576</v>
      </c>
      <c r="K26">
        <f t="shared" si="5"/>
        <v>4.0710743937032244E-2</v>
      </c>
      <c r="L26">
        <f t="shared" si="6"/>
        <v>2.0228976526618085</v>
      </c>
      <c r="M26">
        <f t="shared" si="7"/>
        <v>1.000409436818199</v>
      </c>
      <c r="N26">
        <f t="shared" si="8"/>
        <v>0.99444143077370639</v>
      </c>
      <c r="O26">
        <v>4.1621768476835484E-3</v>
      </c>
      <c r="P26">
        <v>4.2640495973545207E-3</v>
      </c>
      <c r="Q26">
        <f t="shared" si="9"/>
        <v>340.70542717114233</v>
      </c>
      <c r="R26">
        <f t="shared" si="10"/>
        <v>0.34070542717114233</v>
      </c>
    </row>
    <row r="27" spans="1:18" x14ac:dyDescent="0.3">
      <c r="A27">
        <v>5.1999999999999998E-2</v>
      </c>
      <c r="B27" s="4">
        <v>5</v>
      </c>
      <c r="C27">
        <v>-49.030542381271701</v>
      </c>
      <c r="D27">
        <v>1.0677200899999999</v>
      </c>
      <c r="E27">
        <f>$E$26+$R$26</f>
        <v>9.3583870912277156</v>
      </c>
      <c r="F27">
        <f t="shared" si="0"/>
        <v>4.4771277137033222E-3</v>
      </c>
      <c r="G27">
        <f t="shared" si="1"/>
        <v>1.3846786743412337E-2</v>
      </c>
      <c r="H27">
        <f t="shared" si="2"/>
        <v>226.88243213425801</v>
      </c>
      <c r="I27">
        <f t="shared" si="3"/>
        <v>1.5197815247294728</v>
      </c>
      <c r="J27">
        <f t="shared" si="4"/>
        <v>1.6021187223208269</v>
      </c>
      <c r="K27">
        <f t="shared" si="5"/>
        <v>4.199052183730926E-2</v>
      </c>
      <c r="L27">
        <f t="shared" si="6"/>
        <v>2.0002187980160278</v>
      </c>
      <c r="M27">
        <f t="shared" si="7"/>
        <v>1.0004180948377372</v>
      </c>
      <c r="N27">
        <f t="shared" si="8"/>
        <v>1.0003257868694055</v>
      </c>
      <c r="O27">
        <v>4.1634198141823238E-3</v>
      </c>
      <c r="P27">
        <v>4.322728035198631E-3</v>
      </c>
      <c r="Q27">
        <f t="shared" si="9"/>
        <v>346.42745524701905</v>
      </c>
      <c r="R27">
        <f t="shared" si="10"/>
        <v>0.34642745524701907</v>
      </c>
    </row>
    <row r="28" spans="1:18" x14ac:dyDescent="0.3">
      <c r="A28">
        <v>5.3999999999999999E-2</v>
      </c>
      <c r="B28" s="4"/>
      <c r="C28">
        <v>-49.030542381271701</v>
      </c>
      <c r="D28">
        <v>1.0677200899999999</v>
      </c>
      <c r="E28">
        <f t="shared" ref="E28:E33" si="14">$E$26+$R$26</f>
        <v>9.3583870912277156</v>
      </c>
      <c r="F28">
        <f t="shared" si="0"/>
        <v>4.4771277137033222E-3</v>
      </c>
      <c r="G28">
        <f t="shared" si="1"/>
        <v>1.3846786743412337E-2</v>
      </c>
      <c r="H28">
        <f t="shared" si="2"/>
        <v>226.88243213425801</v>
      </c>
      <c r="I28">
        <f t="shared" si="3"/>
        <v>1.5197815247294728</v>
      </c>
      <c r="J28">
        <f t="shared" si="4"/>
        <v>1.6021187223208269</v>
      </c>
      <c r="K28">
        <f t="shared" si="5"/>
        <v>4.199052183730926E-2</v>
      </c>
      <c r="L28">
        <f t="shared" si="6"/>
        <v>2.0002187980160278</v>
      </c>
      <c r="M28">
        <f t="shared" si="7"/>
        <v>1.0001957944394904</v>
      </c>
      <c r="N28">
        <f t="shared" si="8"/>
        <v>1.0005917201384029</v>
      </c>
      <c r="O28">
        <v>4.1371138024384139E-3</v>
      </c>
      <c r="P28">
        <v>4.3489252163590878E-3</v>
      </c>
      <c r="Q28">
        <f t="shared" si="9"/>
        <v>346.42745524701905</v>
      </c>
      <c r="R28">
        <f t="shared" si="10"/>
        <v>0.34642745524701907</v>
      </c>
    </row>
    <row r="29" spans="1:18" x14ac:dyDescent="0.3">
      <c r="A29">
        <v>5.6000000000000001E-2</v>
      </c>
      <c r="B29" s="4"/>
      <c r="C29">
        <v>-49.030542381271701</v>
      </c>
      <c r="D29">
        <v>1.0677200899999999</v>
      </c>
      <c r="E29">
        <f t="shared" si="14"/>
        <v>9.3583870912277156</v>
      </c>
      <c r="F29">
        <f t="shared" si="0"/>
        <v>4.4771277137033222E-3</v>
      </c>
      <c r="G29">
        <f t="shared" si="1"/>
        <v>1.3846786743412337E-2</v>
      </c>
      <c r="H29">
        <f t="shared" si="2"/>
        <v>226.88243213425801</v>
      </c>
      <c r="I29">
        <f t="shared" si="3"/>
        <v>1.5197815247294728</v>
      </c>
      <c r="J29">
        <f t="shared" si="4"/>
        <v>1.6021187223208269</v>
      </c>
      <c r="K29">
        <f t="shared" si="5"/>
        <v>4.199052183730926E-2</v>
      </c>
      <c r="L29">
        <f t="shared" si="6"/>
        <v>2.0002187980160278</v>
      </c>
      <c r="M29">
        <f t="shared" si="7"/>
        <v>1.0001656727525936</v>
      </c>
      <c r="N29">
        <f t="shared" si="8"/>
        <v>1.000644459206834</v>
      </c>
      <c r="O29">
        <v>4.132650305287997E-3</v>
      </c>
      <c r="P29">
        <v>4.3533965048562061E-3</v>
      </c>
      <c r="Q29">
        <f t="shared" si="9"/>
        <v>346.42745524701905</v>
      </c>
      <c r="R29">
        <f t="shared" si="10"/>
        <v>0.34642745524701907</v>
      </c>
    </row>
    <row r="30" spans="1:18" x14ac:dyDescent="0.3">
      <c r="A30">
        <v>5.8000000000000003E-2</v>
      </c>
      <c r="B30" s="4"/>
      <c r="C30">
        <v>-49.030542381271701</v>
      </c>
      <c r="D30">
        <v>1.0677200899999999</v>
      </c>
      <c r="E30">
        <f t="shared" si="14"/>
        <v>9.3583870912277156</v>
      </c>
      <c r="F30">
        <f t="shared" si="0"/>
        <v>4.4771277137033222E-3</v>
      </c>
      <c r="G30">
        <f t="shared" si="1"/>
        <v>1.3846786743412337E-2</v>
      </c>
      <c r="H30">
        <f t="shared" si="2"/>
        <v>226.88243213425801</v>
      </c>
      <c r="I30">
        <f t="shared" si="3"/>
        <v>1.5197815247294728</v>
      </c>
      <c r="J30">
        <f t="shared" si="4"/>
        <v>1.6021187223208269</v>
      </c>
      <c r="K30">
        <f t="shared" si="5"/>
        <v>4.199052183730926E-2</v>
      </c>
      <c r="L30">
        <f t="shared" si="6"/>
        <v>2.0002187980160278</v>
      </c>
      <c r="M30">
        <f t="shared" si="7"/>
        <v>1.0003025978611406</v>
      </c>
      <c r="N30">
        <f t="shared" si="8"/>
        <v>1.0004430253263918</v>
      </c>
      <c r="O30">
        <v>4.1508800894780691E-3</v>
      </c>
      <c r="P30">
        <v>4.3351829935159014E-3</v>
      </c>
      <c r="Q30">
        <f t="shared" si="9"/>
        <v>346.42745524701905</v>
      </c>
      <c r="R30">
        <f t="shared" si="10"/>
        <v>0.34642745524701907</v>
      </c>
    </row>
    <row r="31" spans="1:18" x14ac:dyDescent="0.3">
      <c r="A31">
        <v>0.06</v>
      </c>
      <c r="B31" s="4"/>
      <c r="C31">
        <v>-49.030542381271701</v>
      </c>
      <c r="D31">
        <v>1.0677200899999999</v>
      </c>
      <c r="E31">
        <f t="shared" si="14"/>
        <v>9.3583870912277156</v>
      </c>
      <c r="F31">
        <f t="shared" si="0"/>
        <v>4.4771277137033222E-3</v>
      </c>
      <c r="G31">
        <f t="shared" si="1"/>
        <v>1.3846786743412337E-2</v>
      </c>
      <c r="H31">
        <f t="shared" si="2"/>
        <v>226.88243213425801</v>
      </c>
      <c r="I31">
        <f t="shared" si="3"/>
        <v>1.5197815247294728</v>
      </c>
      <c r="J31">
        <f t="shared" si="4"/>
        <v>1.6021187223208269</v>
      </c>
      <c r="K31">
        <f t="shared" si="5"/>
        <v>4.199052183730926E-2</v>
      </c>
      <c r="L31">
        <f t="shared" si="6"/>
        <v>2.0002187980160278</v>
      </c>
      <c r="M31">
        <f t="shared" si="7"/>
        <v>1.000698540379984</v>
      </c>
      <c r="N31">
        <f t="shared" si="8"/>
        <v>1.0001437942520415</v>
      </c>
      <c r="O31">
        <v>4.1883153450948448E-3</v>
      </c>
      <c r="P31">
        <v>4.2981766243428698E-3</v>
      </c>
      <c r="Q31">
        <f t="shared" si="9"/>
        <v>346.42745524701905</v>
      </c>
      <c r="R31">
        <f t="shared" si="10"/>
        <v>0.34642745524701907</v>
      </c>
    </row>
    <row r="32" spans="1:18" x14ac:dyDescent="0.3">
      <c r="A32">
        <v>6.2E-2</v>
      </c>
      <c r="B32" s="4"/>
      <c r="C32">
        <v>-49.030542381271701</v>
      </c>
      <c r="D32">
        <v>1.0677200899999999</v>
      </c>
      <c r="E32">
        <f t="shared" si="14"/>
        <v>9.3583870912277156</v>
      </c>
      <c r="F32">
        <f t="shared" si="0"/>
        <v>4.4771277137033222E-3</v>
      </c>
      <c r="G32">
        <f t="shared" si="1"/>
        <v>1.3846786743412337E-2</v>
      </c>
      <c r="H32">
        <f t="shared" si="2"/>
        <v>226.88243213425801</v>
      </c>
      <c r="I32">
        <f t="shared" si="3"/>
        <v>1.5197815247294728</v>
      </c>
      <c r="J32">
        <f t="shared" si="4"/>
        <v>1.6021187223208269</v>
      </c>
      <c r="K32">
        <f t="shared" si="5"/>
        <v>4.199052183730926E-2</v>
      </c>
      <c r="L32">
        <f t="shared" si="6"/>
        <v>2.0002187980160278</v>
      </c>
      <c r="M32">
        <f t="shared" si="7"/>
        <v>1.0014538879323995</v>
      </c>
      <c r="N32">
        <f t="shared" si="8"/>
        <v>1.0065389889322782</v>
      </c>
      <c r="O32">
        <v>4.2376846459361329E-3</v>
      </c>
      <c r="P32">
        <v>4.2640495973545207E-3</v>
      </c>
      <c r="Q32">
        <f t="shared" si="9"/>
        <v>346.42745524701905</v>
      </c>
      <c r="R32">
        <f t="shared" si="10"/>
        <v>0.34642745524701907</v>
      </c>
    </row>
    <row r="33" spans="1:18" x14ac:dyDescent="0.3">
      <c r="A33">
        <v>6.4000000000000001E-2</v>
      </c>
      <c r="B33" s="4"/>
      <c r="C33">
        <v>-49.030542381271701</v>
      </c>
      <c r="D33">
        <v>1.0677200899999999</v>
      </c>
      <c r="E33">
        <f t="shared" si="14"/>
        <v>9.3583870912277156</v>
      </c>
      <c r="F33">
        <f t="shared" si="0"/>
        <v>4.4771277137033222E-3</v>
      </c>
      <c r="G33">
        <f t="shared" si="1"/>
        <v>1.3846786743412337E-2</v>
      </c>
      <c r="H33">
        <f t="shared" si="2"/>
        <v>226.88243213425801</v>
      </c>
      <c r="I33">
        <f t="shared" si="3"/>
        <v>1.5197815247294728</v>
      </c>
      <c r="J33">
        <f t="shared" si="4"/>
        <v>1.6021187223208269</v>
      </c>
      <c r="K33">
        <f t="shared" si="5"/>
        <v>4.199052183730926E-2</v>
      </c>
      <c r="L33">
        <f t="shared" si="6"/>
        <v>2.0002187980160278</v>
      </c>
      <c r="M33">
        <f t="shared" si="7"/>
        <v>1.0025197323720354</v>
      </c>
      <c r="N33">
        <f t="shared" si="8"/>
        <v>1.0098408208179275</v>
      </c>
      <c r="O33">
        <v>4.2891730615744247E-3</v>
      </c>
      <c r="P33">
        <v>4.2218312845094261E-3</v>
      </c>
      <c r="Q33">
        <f t="shared" si="9"/>
        <v>346.42745524701905</v>
      </c>
      <c r="R33">
        <f t="shared" si="10"/>
        <v>0.34642745524701907</v>
      </c>
    </row>
    <row r="34" spans="1:18" x14ac:dyDescent="0.3">
      <c r="A34">
        <v>6.6000000000000003E-2</v>
      </c>
      <c r="B34" s="4">
        <v>6</v>
      </c>
      <c r="C34">
        <v>-49.007562238510403</v>
      </c>
      <c r="D34">
        <v>1.0688487579999999</v>
      </c>
      <c r="E34">
        <f>$E$33+$R$33</f>
        <v>9.7048145464747346</v>
      </c>
      <c r="F34">
        <f t="shared" si="0"/>
        <v>4.5592415411549051E-3</v>
      </c>
      <c r="G34">
        <f t="shared" si="1"/>
        <v>1.4100747034499707E-2</v>
      </c>
      <c r="H34">
        <f t="shared" si="2"/>
        <v>222.79618561366925</v>
      </c>
      <c r="I34">
        <f t="shared" si="3"/>
        <v>1.4991852428907477</v>
      </c>
      <c r="J34">
        <f t="shared" si="4"/>
        <v>1.5793104900927508</v>
      </c>
      <c r="K34">
        <f t="shared" si="5"/>
        <v>4.3267345678851363E-2</v>
      </c>
      <c r="L34">
        <f t="shared" si="6"/>
        <v>1.978921917317582</v>
      </c>
      <c r="M34">
        <f t="shared" si="7"/>
        <v>1.0036536960053568</v>
      </c>
      <c r="N34">
        <f t="shared" si="8"/>
        <v>1.008466192861138</v>
      </c>
      <c r="O34">
        <v>4.3342489145844869E-3</v>
      </c>
      <c r="P34">
        <v>4.2218312845094261E-3</v>
      </c>
      <c r="Q34">
        <f t="shared" si="9"/>
        <v>352.04211607626286</v>
      </c>
      <c r="R34">
        <f t="shared" si="10"/>
        <v>0.35204211607626285</v>
      </c>
    </row>
    <row r="35" spans="1:18" x14ac:dyDescent="0.3">
      <c r="A35">
        <v>6.8000000000000005E-2</v>
      </c>
      <c r="B35" s="4"/>
      <c r="C35">
        <v>-49.007562238510403</v>
      </c>
      <c r="D35">
        <v>1.0688487579999999</v>
      </c>
      <c r="E35">
        <f t="shared" ref="E35:E40" si="15">$E$33+$R$33</f>
        <v>9.7048145464747346</v>
      </c>
      <c r="F35">
        <f t="shared" si="0"/>
        <v>4.5592415411549051E-3</v>
      </c>
      <c r="G35">
        <f t="shared" si="1"/>
        <v>1.4100747034499707E-2</v>
      </c>
      <c r="H35">
        <f t="shared" si="2"/>
        <v>222.79618561366925</v>
      </c>
      <c r="I35">
        <f t="shared" si="3"/>
        <v>1.4991852428907477</v>
      </c>
      <c r="J35">
        <f t="shared" si="4"/>
        <v>1.5793104900927508</v>
      </c>
      <c r="K35">
        <f t="shared" si="5"/>
        <v>4.3267345678851363E-2</v>
      </c>
      <c r="L35">
        <f t="shared" si="6"/>
        <v>1.978921917317582</v>
      </c>
      <c r="M35">
        <f t="shared" si="7"/>
        <v>1.0047817940290849</v>
      </c>
      <c r="N35">
        <f t="shared" si="8"/>
        <v>1.0053889630812876</v>
      </c>
      <c r="O35">
        <v>4.3720187724137632E-3</v>
      </c>
      <c r="P35">
        <v>4.1796129716643315E-3</v>
      </c>
      <c r="Q35">
        <f t="shared" si="9"/>
        <v>352.04211607626286</v>
      </c>
      <c r="R35">
        <f t="shared" si="10"/>
        <v>0.35204211607626285</v>
      </c>
    </row>
    <row r="36" spans="1:18" x14ac:dyDescent="0.3">
      <c r="A36">
        <v>7.0000000000000007E-2</v>
      </c>
      <c r="B36" s="4"/>
      <c r="C36">
        <v>-49.007562238510403</v>
      </c>
      <c r="D36">
        <v>1.0688487579999999</v>
      </c>
      <c r="E36">
        <f t="shared" si="15"/>
        <v>9.7048145464747346</v>
      </c>
      <c r="F36">
        <f t="shared" si="0"/>
        <v>4.5592415411549051E-3</v>
      </c>
      <c r="G36">
        <f t="shared" si="1"/>
        <v>1.4100747034499707E-2</v>
      </c>
      <c r="H36">
        <f t="shared" si="2"/>
        <v>222.79618561366925</v>
      </c>
      <c r="I36">
        <f t="shared" si="3"/>
        <v>1.4991852428907477</v>
      </c>
      <c r="J36">
        <f t="shared" si="4"/>
        <v>1.5793104900927508</v>
      </c>
      <c r="K36">
        <f t="shared" si="5"/>
        <v>4.3267345678851363E-2</v>
      </c>
      <c r="L36">
        <f t="shared" si="6"/>
        <v>1.978921917317582</v>
      </c>
      <c r="M36">
        <f t="shared" si="7"/>
        <v>1.0053616591699936</v>
      </c>
      <c r="N36">
        <f t="shared" si="8"/>
        <v>1.0001099966005453</v>
      </c>
      <c r="O36">
        <v>4.3897537176515932E-3</v>
      </c>
      <c r="P36">
        <v>4.1515203279391703E-3</v>
      </c>
      <c r="Q36">
        <f t="shared" si="9"/>
        <v>352.04211607626286</v>
      </c>
      <c r="R36">
        <f t="shared" si="10"/>
        <v>0.35204211607626285</v>
      </c>
    </row>
    <row r="37" spans="1:18" x14ac:dyDescent="0.3">
      <c r="A37">
        <v>7.1999999999999995E-2</v>
      </c>
      <c r="B37" s="4"/>
      <c r="C37">
        <v>-49.007562238510403</v>
      </c>
      <c r="D37">
        <v>1.0688487579999999</v>
      </c>
      <c r="E37">
        <f t="shared" si="15"/>
        <v>9.7048145464747346</v>
      </c>
      <c r="F37">
        <f t="shared" si="0"/>
        <v>4.5592415411549051E-3</v>
      </c>
      <c r="G37">
        <f t="shared" si="1"/>
        <v>1.4100747034499707E-2</v>
      </c>
      <c r="H37">
        <f t="shared" si="2"/>
        <v>222.79618561366925</v>
      </c>
      <c r="I37">
        <f t="shared" si="3"/>
        <v>1.4991852428907477</v>
      </c>
      <c r="J37">
        <f t="shared" si="4"/>
        <v>1.5793104900927508</v>
      </c>
      <c r="K37">
        <f t="shared" si="5"/>
        <v>4.3267345678851363E-2</v>
      </c>
      <c r="L37">
        <f t="shared" si="6"/>
        <v>1.978921917317582</v>
      </c>
      <c r="M37">
        <f t="shared" si="7"/>
        <v>1.005163300226795</v>
      </c>
      <c r="N37">
        <f t="shared" si="8"/>
        <v>1.0000812871582156</v>
      </c>
      <c r="O37">
        <v>4.3837957327619399E-3</v>
      </c>
      <c r="P37">
        <v>4.1570620929124984E-3</v>
      </c>
      <c r="Q37">
        <f t="shared" si="9"/>
        <v>352.04211607626286</v>
      </c>
      <c r="R37">
        <f t="shared" si="10"/>
        <v>0.35204211607626285</v>
      </c>
    </row>
    <row r="38" spans="1:18" x14ac:dyDescent="0.3">
      <c r="A38">
        <v>7.3999999999999996E-2</v>
      </c>
      <c r="B38" s="4"/>
      <c r="C38">
        <v>-49.007562238510403</v>
      </c>
      <c r="D38">
        <v>1.0688487579999999</v>
      </c>
      <c r="E38">
        <f t="shared" si="15"/>
        <v>9.7048145464747346</v>
      </c>
      <c r="F38">
        <f t="shared" si="0"/>
        <v>4.5592415411549051E-3</v>
      </c>
      <c r="G38">
        <f t="shared" si="1"/>
        <v>1.4100747034499707E-2</v>
      </c>
      <c r="H38">
        <f t="shared" si="2"/>
        <v>222.79618561366925</v>
      </c>
      <c r="I38">
        <f t="shared" si="3"/>
        <v>1.4991852428907477</v>
      </c>
      <c r="J38">
        <f t="shared" si="4"/>
        <v>1.5793104900927508</v>
      </c>
      <c r="K38">
        <f t="shared" si="5"/>
        <v>4.3267345678851363E-2</v>
      </c>
      <c r="L38">
        <f t="shared" si="6"/>
        <v>1.978921917317582</v>
      </c>
      <c r="M38">
        <f t="shared" si="7"/>
        <v>1.0042667618634156</v>
      </c>
      <c r="N38">
        <f t="shared" si="8"/>
        <v>0.99811767272252749</v>
      </c>
      <c r="O38">
        <v>4.3553772328195342E-3</v>
      </c>
      <c r="P38">
        <v>4.1796129716643315E-3</v>
      </c>
      <c r="Q38">
        <f t="shared" si="9"/>
        <v>352.04211607626286</v>
      </c>
      <c r="R38">
        <f t="shared" si="10"/>
        <v>0.35204211607626285</v>
      </c>
    </row>
    <row r="39" spans="1:18" x14ac:dyDescent="0.3">
      <c r="A39">
        <v>7.5999999999999998E-2</v>
      </c>
      <c r="B39" s="4"/>
      <c r="C39">
        <v>-49.007562238510403</v>
      </c>
      <c r="D39">
        <v>1.0688487579999999</v>
      </c>
      <c r="E39">
        <f t="shared" si="15"/>
        <v>9.7048145464747346</v>
      </c>
      <c r="F39">
        <f t="shared" si="0"/>
        <v>4.5592415411549051E-3</v>
      </c>
      <c r="G39">
        <f t="shared" si="1"/>
        <v>1.4100747034499707E-2</v>
      </c>
      <c r="H39">
        <f t="shared" si="2"/>
        <v>222.79618561366925</v>
      </c>
      <c r="I39">
        <f t="shared" si="3"/>
        <v>1.4991852428907477</v>
      </c>
      <c r="J39">
        <f t="shared" si="4"/>
        <v>1.5793104900927508</v>
      </c>
      <c r="K39">
        <f t="shared" si="5"/>
        <v>4.3267345678851363E-2</v>
      </c>
      <c r="L39">
        <f t="shared" si="6"/>
        <v>1.978921917317582</v>
      </c>
      <c r="M39">
        <f t="shared" si="7"/>
        <v>1.0030151078552239</v>
      </c>
      <c r="N39">
        <f t="shared" si="8"/>
        <v>0.99789414065287352</v>
      </c>
      <c r="O39">
        <v>4.3103276565191377E-3</v>
      </c>
      <c r="P39">
        <v>4.2218312845094261E-3</v>
      </c>
      <c r="Q39">
        <f t="shared" si="9"/>
        <v>352.04211607626286</v>
      </c>
      <c r="R39">
        <f t="shared" si="10"/>
        <v>0.35204211607626285</v>
      </c>
    </row>
    <row r="40" spans="1:18" x14ac:dyDescent="0.3">
      <c r="A40">
        <v>7.8E-2</v>
      </c>
      <c r="B40" s="4"/>
      <c r="C40">
        <v>-49.007562238510403</v>
      </c>
      <c r="D40">
        <v>1.0688487579999999</v>
      </c>
      <c r="E40">
        <f t="shared" si="15"/>
        <v>9.7048145464747346</v>
      </c>
      <c r="F40">
        <f t="shared" si="0"/>
        <v>4.5592415411549051E-3</v>
      </c>
      <c r="G40">
        <f t="shared" si="1"/>
        <v>1.4100747034499707E-2</v>
      </c>
      <c r="H40">
        <f t="shared" si="2"/>
        <v>222.79618561366925</v>
      </c>
      <c r="I40">
        <f t="shared" si="3"/>
        <v>1.4991852428907477</v>
      </c>
      <c r="J40">
        <f t="shared" si="4"/>
        <v>1.5793104900927508</v>
      </c>
      <c r="K40">
        <f t="shared" si="5"/>
        <v>4.3267345678851363E-2</v>
      </c>
      <c r="L40">
        <f t="shared" si="6"/>
        <v>1.978921917317582</v>
      </c>
      <c r="M40">
        <f t="shared" si="7"/>
        <v>1.00182049073878</v>
      </c>
      <c r="N40">
        <f t="shared" si="8"/>
        <v>0.99415656809545805</v>
      </c>
      <c r="O40">
        <v>4.2577226058460836E-3</v>
      </c>
      <c r="P40">
        <v>4.2640495973545207E-3</v>
      </c>
      <c r="Q40">
        <f t="shared" si="9"/>
        <v>352.04211607626286</v>
      </c>
      <c r="R40">
        <f t="shared" si="10"/>
        <v>0.35204211607626285</v>
      </c>
    </row>
    <row r="41" spans="1:18" x14ac:dyDescent="0.3">
      <c r="A41">
        <v>0.08</v>
      </c>
      <c r="B41" s="4">
        <v>7</v>
      </c>
      <c r="C41">
        <v>-48.976922048161903</v>
      </c>
      <c r="D41">
        <v>1.069977427</v>
      </c>
      <c r="E41">
        <f>$E$40+$R$40</f>
        <v>10.056856662550997</v>
      </c>
      <c r="F41">
        <f t="shared" si="0"/>
        <v>4.6411981539640863E-3</v>
      </c>
      <c r="G41">
        <f t="shared" si="1"/>
        <v>1.4354221094734288E-2</v>
      </c>
      <c r="H41">
        <f t="shared" si="2"/>
        <v>218.86193843999359</v>
      </c>
      <c r="I41">
        <f t="shared" si="3"/>
        <v>1.4798544073671782</v>
      </c>
      <c r="J41">
        <f t="shared" si="4"/>
        <v>1.5578940953941995</v>
      </c>
      <c r="K41">
        <f t="shared" si="5"/>
        <v>4.4540863283011781E-2</v>
      </c>
      <c r="L41">
        <f t="shared" si="6"/>
        <v>1.958895734793163</v>
      </c>
      <c r="M41">
        <f t="shared" si="7"/>
        <v>1.0019372099234269</v>
      </c>
      <c r="N41">
        <f t="shared" si="8"/>
        <v>1.0002520086785793</v>
      </c>
      <c r="O41">
        <v>4.2642228263090462E-3</v>
      </c>
      <c r="P41">
        <v>4.3142912291063802E-3</v>
      </c>
      <c r="Q41">
        <f t="shared" si="9"/>
        <v>357.70952890166564</v>
      </c>
      <c r="R41">
        <f t="shared" si="10"/>
        <v>0.35770952890166563</v>
      </c>
    </row>
    <row r="42" spans="1:18" x14ac:dyDescent="0.3">
      <c r="A42">
        <v>8.2000000000000003E-2</v>
      </c>
      <c r="B42" s="4"/>
      <c r="C42">
        <v>-48.976922048161903</v>
      </c>
      <c r="D42">
        <v>1.069977427</v>
      </c>
      <c r="E42">
        <f t="shared" ref="E42:E46" si="16">$E$40+$R$40</f>
        <v>10.056856662550997</v>
      </c>
      <c r="F42">
        <f t="shared" si="0"/>
        <v>4.6411981539640863E-3</v>
      </c>
      <c r="G42">
        <f t="shared" si="1"/>
        <v>1.4354221094734288E-2</v>
      </c>
      <c r="H42">
        <f t="shared" si="2"/>
        <v>218.86193843999359</v>
      </c>
      <c r="I42">
        <f t="shared" si="3"/>
        <v>1.4798544073671782</v>
      </c>
      <c r="J42">
        <f t="shared" si="4"/>
        <v>1.5578940953941995</v>
      </c>
      <c r="K42">
        <f t="shared" si="5"/>
        <v>4.4540863283011781E-2</v>
      </c>
      <c r="L42">
        <f t="shared" si="6"/>
        <v>1.958895734793163</v>
      </c>
      <c r="M42">
        <f t="shared" si="7"/>
        <v>1.001075853620772</v>
      </c>
      <c r="N42">
        <f t="shared" si="8"/>
        <v>1.0007311010844855</v>
      </c>
      <c r="O42">
        <v>4.2162411467547662E-3</v>
      </c>
      <c r="P42">
        <v>4.3612307161489056E-3</v>
      </c>
      <c r="Q42">
        <f t="shared" si="9"/>
        <v>357.70952890166564</v>
      </c>
      <c r="R42">
        <f t="shared" si="10"/>
        <v>0.35770952890166563</v>
      </c>
    </row>
    <row r="43" spans="1:18" x14ac:dyDescent="0.3">
      <c r="A43">
        <v>8.4000000000000005E-2</v>
      </c>
      <c r="B43" s="4"/>
      <c r="C43">
        <v>-48.976922048161903</v>
      </c>
      <c r="D43">
        <v>1.069977427</v>
      </c>
      <c r="E43">
        <f t="shared" si="16"/>
        <v>10.056856662550997</v>
      </c>
      <c r="F43">
        <f t="shared" si="0"/>
        <v>4.6411981539640863E-3</v>
      </c>
      <c r="G43">
        <f t="shared" si="1"/>
        <v>1.4354221094734288E-2</v>
      </c>
      <c r="H43">
        <f t="shared" si="2"/>
        <v>218.86193843999359</v>
      </c>
      <c r="I43">
        <f t="shared" si="3"/>
        <v>1.4798544073671782</v>
      </c>
      <c r="J43">
        <f t="shared" si="4"/>
        <v>1.5578940953941995</v>
      </c>
      <c r="K43">
        <f t="shared" si="5"/>
        <v>4.4540863283011781E-2</v>
      </c>
      <c r="L43">
        <f t="shared" si="6"/>
        <v>1.958895734793163</v>
      </c>
      <c r="M43">
        <f t="shared" si="7"/>
        <v>1.0006205144049589</v>
      </c>
      <c r="N43">
        <f t="shared" si="8"/>
        <v>1.001209471532166</v>
      </c>
      <c r="O43">
        <v>4.1828240219135325E-3</v>
      </c>
      <c r="P43">
        <v>4.3943977985235966E-3</v>
      </c>
      <c r="Q43">
        <f t="shared" si="9"/>
        <v>357.70952890166564</v>
      </c>
      <c r="R43">
        <f t="shared" si="10"/>
        <v>0.35770952890166563</v>
      </c>
    </row>
    <row r="44" spans="1:18" x14ac:dyDescent="0.3">
      <c r="A44">
        <v>8.5999999999999993E-2</v>
      </c>
      <c r="B44" s="4"/>
      <c r="C44">
        <v>-48.976922048161903</v>
      </c>
      <c r="D44">
        <v>1.069977427</v>
      </c>
      <c r="E44">
        <f t="shared" si="16"/>
        <v>10.056856662550997</v>
      </c>
      <c r="F44">
        <f t="shared" si="0"/>
        <v>4.6411981539640863E-3</v>
      </c>
      <c r="G44">
        <f t="shared" si="1"/>
        <v>1.4354221094734288E-2</v>
      </c>
      <c r="H44">
        <f t="shared" si="2"/>
        <v>218.86193843999359</v>
      </c>
      <c r="I44">
        <f t="shared" si="3"/>
        <v>1.4798544073671782</v>
      </c>
      <c r="J44">
        <f t="shared" si="4"/>
        <v>1.5578940953941995</v>
      </c>
      <c r="K44">
        <f t="shared" si="5"/>
        <v>4.4540863283011781E-2</v>
      </c>
      <c r="L44">
        <f t="shared" si="6"/>
        <v>1.958895734793163</v>
      </c>
      <c r="M44">
        <f t="shared" si="7"/>
        <v>1.0004774317369145</v>
      </c>
      <c r="N44">
        <f t="shared" si="8"/>
        <v>1.001425613996302</v>
      </c>
      <c r="O44">
        <v>4.1699831827657786E-3</v>
      </c>
      <c r="P44">
        <v>4.407248211434971E-3</v>
      </c>
      <c r="Q44">
        <f t="shared" si="9"/>
        <v>357.70952890166564</v>
      </c>
      <c r="R44">
        <f t="shared" si="10"/>
        <v>0.35770952890166563</v>
      </c>
    </row>
    <row r="45" spans="1:18" x14ac:dyDescent="0.3">
      <c r="A45">
        <v>8.7999999999999995E-2</v>
      </c>
      <c r="B45" s="4"/>
      <c r="C45">
        <v>-48.976922048161903</v>
      </c>
      <c r="D45">
        <v>1.069977427</v>
      </c>
      <c r="E45">
        <f t="shared" si="16"/>
        <v>10.056856662550997</v>
      </c>
      <c r="F45">
        <f t="shared" si="0"/>
        <v>4.6411981539640863E-3</v>
      </c>
      <c r="G45">
        <f t="shared" si="1"/>
        <v>1.4354221094734288E-2</v>
      </c>
      <c r="H45">
        <f t="shared" si="2"/>
        <v>218.86193843999359</v>
      </c>
      <c r="I45">
        <f t="shared" si="3"/>
        <v>1.4798544073671782</v>
      </c>
      <c r="J45">
        <f t="shared" si="4"/>
        <v>1.5578940953941995</v>
      </c>
      <c r="K45">
        <f t="shared" si="5"/>
        <v>4.4540863283011781E-2</v>
      </c>
      <c r="L45">
        <f t="shared" si="6"/>
        <v>1.958895734793163</v>
      </c>
      <c r="M45">
        <f t="shared" si="7"/>
        <v>1.0005875403332469</v>
      </c>
      <c r="N45">
        <f t="shared" si="8"/>
        <v>1.0012554285336657</v>
      </c>
      <c r="O45">
        <v>4.180001538458808E-3</v>
      </c>
      <c r="P45">
        <v>4.397217324086853E-3</v>
      </c>
      <c r="Q45">
        <f t="shared" si="9"/>
        <v>357.70952890166564</v>
      </c>
      <c r="R45">
        <f t="shared" si="10"/>
        <v>0.35770952890166563</v>
      </c>
    </row>
    <row r="46" spans="1:18" x14ac:dyDescent="0.3">
      <c r="A46">
        <v>0.09</v>
      </c>
      <c r="B46" s="4"/>
      <c r="C46">
        <v>-48.976922048161903</v>
      </c>
      <c r="D46">
        <v>1.069977427</v>
      </c>
      <c r="E46">
        <f t="shared" si="16"/>
        <v>10.056856662550997</v>
      </c>
      <c r="F46">
        <f t="shared" si="0"/>
        <v>4.6411981539640863E-3</v>
      </c>
      <c r="G46">
        <f t="shared" si="1"/>
        <v>1.4354221094734288E-2</v>
      </c>
      <c r="H46">
        <f t="shared" si="2"/>
        <v>218.86193843999359</v>
      </c>
      <c r="I46">
        <f t="shared" si="3"/>
        <v>1.4798544073671782</v>
      </c>
      <c r="J46">
        <f t="shared" si="4"/>
        <v>1.5578940953941995</v>
      </c>
      <c r="K46">
        <f t="shared" si="5"/>
        <v>4.4540863283011781E-2</v>
      </c>
      <c r="L46">
        <f t="shared" si="6"/>
        <v>1.958895734793163</v>
      </c>
      <c r="M46">
        <f t="shared" si="7"/>
        <v>1.0009980203770519</v>
      </c>
      <c r="N46">
        <f t="shared" si="8"/>
        <v>1.000796874088091</v>
      </c>
      <c r="O46">
        <v>4.2110992659144635E-3</v>
      </c>
      <c r="P46">
        <v>4.3663084516391577E-3</v>
      </c>
      <c r="Q46">
        <f t="shared" si="9"/>
        <v>357.70952890166564</v>
      </c>
      <c r="R46">
        <f t="shared" si="10"/>
        <v>0.35770952890166563</v>
      </c>
    </row>
    <row r="47" spans="1:18" x14ac:dyDescent="0.3">
      <c r="A47">
        <v>9.1999999999999998E-2</v>
      </c>
      <c r="B47" s="4">
        <v>8</v>
      </c>
      <c r="C47">
        <v>-48.953941905400598</v>
      </c>
      <c r="D47">
        <v>1.072234763</v>
      </c>
      <c r="E47">
        <f>$E$46+$R$46</f>
        <v>10.414566191452662</v>
      </c>
      <c r="F47">
        <f t="shared" si="0"/>
        <v>4.7230176979651808E-3</v>
      </c>
      <c r="G47">
        <f t="shared" si="1"/>
        <v>1.4607271230820148E-2</v>
      </c>
      <c r="H47">
        <f t="shared" si="2"/>
        <v>215.07046757379911</v>
      </c>
      <c r="I47">
        <f t="shared" si="3"/>
        <v>1.4616807823505897</v>
      </c>
      <c r="J47">
        <f t="shared" si="4"/>
        <v>1.5390180090400758</v>
      </c>
      <c r="K47">
        <f t="shared" si="5"/>
        <v>4.649407281366618E-2</v>
      </c>
      <c r="L47">
        <f t="shared" si="6"/>
        <v>1.9397118096455275</v>
      </c>
      <c r="M47">
        <f t="shared" si="7"/>
        <v>1.0014303254082444</v>
      </c>
      <c r="N47">
        <f t="shared" si="8"/>
        <v>1.001022751184083</v>
      </c>
      <c r="O47">
        <v>4.2382934863215305E-3</v>
      </c>
      <c r="P47">
        <v>4.382864203528525E-3</v>
      </c>
      <c r="Q47">
        <f t="shared" si="9"/>
        <v>369.0416434924544</v>
      </c>
      <c r="R47">
        <f t="shared" si="10"/>
        <v>0.36904164349245439</v>
      </c>
    </row>
    <row r="48" spans="1:18" x14ac:dyDescent="0.3">
      <c r="A48">
        <v>9.4E-2</v>
      </c>
      <c r="B48" s="4"/>
      <c r="C48">
        <v>-48.953941905400598</v>
      </c>
      <c r="D48">
        <v>1.072234763</v>
      </c>
      <c r="E48">
        <f t="shared" ref="E48:E53" si="17">$E$46+$R$46</f>
        <v>10.414566191452662</v>
      </c>
      <c r="F48">
        <f t="shared" si="0"/>
        <v>4.7230176979651808E-3</v>
      </c>
      <c r="G48">
        <f t="shared" si="1"/>
        <v>1.4607271230820148E-2</v>
      </c>
      <c r="H48">
        <f t="shared" si="2"/>
        <v>215.07046757379911</v>
      </c>
      <c r="I48">
        <f t="shared" si="3"/>
        <v>1.4616807823505897</v>
      </c>
      <c r="J48">
        <f t="shared" si="4"/>
        <v>1.5390180090400758</v>
      </c>
      <c r="K48">
        <f t="shared" si="5"/>
        <v>4.649407281366618E-2</v>
      </c>
      <c r="L48">
        <f t="shared" si="6"/>
        <v>1.9397118096455275</v>
      </c>
      <c r="M48">
        <f t="shared" si="7"/>
        <v>1.0024462509747114</v>
      </c>
      <c r="N48">
        <f t="shared" si="8"/>
        <v>1.0004197092140152</v>
      </c>
      <c r="O48">
        <v>4.2884873849694336E-3</v>
      </c>
      <c r="P48">
        <v>4.3338042717020412E-3</v>
      </c>
      <c r="Q48">
        <f t="shared" si="9"/>
        <v>369.0416434924544</v>
      </c>
      <c r="R48">
        <f t="shared" si="10"/>
        <v>0.36904164349245439</v>
      </c>
    </row>
    <row r="49" spans="1:18" x14ac:dyDescent="0.3">
      <c r="A49">
        <v>9.6000000000000002E-2</v>
      </c>
      <c r="B49" s="4"/>
      <c r="C49">
        <v>-48.953941905400598</v>
      </c>
      <c r="D49">
        <v>1.072234763</v>
      </c>
      <c r="E49">
        <f t="shared" si="17"/>
        <v>10.414566191452662</v>
      </c>
      <c r="F49">
        <f t="shared" si="0"/>
        <v>4.7230176979651808E-3</v>
      </c>
      <c r="G49">
        <f t="shared" si="1"/>
        <v>1.4607271230820148E-2</v>
      </c>
      <c r="H49">
        <f t="shared" si="2"/>
        <v>215.07046757379911</v>
      </c>
      <c r="I49">
        <f t="shared" si="3"/>
        <v>1.4616807823505897</v>
      </c>
      <c r="J49">
        <f t="shared" si="4"/>
        <v>1.5390180090400758</v>
      </c>
      <c r="K49">
        <f t="shared" si="5"/>
        <v>4.649407281366618E-2</v>
      </c>
      <c r="L49">
        <f t="shared" si="6"/>
        <v>1.9397118096455275</v>
      </c>
      <c r="M49">
        <f t="shared" si="7"/>
        <v>1.0038707326273897</v>
      </c>
      <c r="N49">
        <f t="shared" si="8"/>
        <v>0.99241831053485563</v>
      </c>
      <c r="O49">
        <v>4.3439192923997215E-3</v>
      </c>
      <c r="P49">
        <v>4.2640495973545207E-3</v>
      </c>
      <c r="Q49">
        <f t="shared" si="9"/>
        <v>369.0416434924544</v>
      </c>
      <c r="R49">
        <f t="shared" si="10"/>
        <v>0.36904164349245439</v>
      </c>
    </row>
    <row r="50" spans="1:18" x14ac:dyDescent="0.3">
      <c r="A50">
        <v>9.8000000000000004E-2</v>
      </c>
      <c r="B50" s="4"/>
      <c r="C50">
        <v>-48.953941905400598</v>
      </c>
      <c r="D50">
        <v>1.072234763</v>
      </c>
      <c r="E50">
        <f t="shared" si="17"/>
        <v>10.414566191452662</v>
      </c>
      <c r="F50">
        <f t="shared" si="0"/>
        <v>4.7230176979651808E-3</v>
      </c>
      <c r="G50">
        <f t="shared" si="1"/>
        <v>1.4607271230820148E-2</v>
      </c>
      <c r="H50">
        <f t="shared" si="2"/>
        <v>215.07046757379911</v>
      </c>
      <c r="I50">
        <f t="shared" si="3"/>
        <v>1.4616807823505897</v>
      </c>
      <c r="J50">
        <f t="shared" si="4"/>
        <v>1.5390180090400758</v>
      </c>
      <c r="K50">
        <f t="shared" si="5"/>
        <v>4.649407281366618E-2</v>
      </c>
      <c r="L50">
        <f t="shared" si="6"/>
        <v>1.9397118096455275</v>
      </c>
      <c r="M50">
        <f t="shared" si="7"/>
        <v>1.005442790051017</v>
      </c>
      <c r="N50">
        <f t="shared" si="8"/>
        <v>0.99490259914159074</v>
      </c>
      <c r="O50">
        <v>4.3944893120632768E-3</v>
      </c>
      <c r="P50">
        <v>4.2218312845094261E-3</v>
      </c>
      <c r="Q50">
        <f t="shared" si="9"/>
        <v>369.0416434924544</v>
      </c>
      <c r="R50">
        <f t="shared" si="10"/>
        <v>0.36904164349245439</v>
      </c>
    </row>
    <row r="51" spans="1:18" x14ac:dyDescent="0.3">
      <c r="A51">
        <v>0.1</v>
      </c>
      <c r="B51" s="4"/>
      <c r="C51">
        <v>-48.953941905400598</v>
      </c>
      <c r="D51">
        <v>1.072234763</v>
      </c>
      <c r="E51">
        <f t="shared" si="17"/>
        <v>10.414566191452662</v>
      </c>
      <c r="F51">
        <f t="shared" si="0"/>
        <v>4.7230176979651808E-3</v>
      </c>
      <c r="G51">
        <f t="shared" si="1"/>
        <v>1.4607271230820148E-2</v>
      </c>
      <c r="H51">
        <f t="shared" si="2"/>
        <v>215.07046757379911</v>
      </c>
      <c r="I51">
        <f t="shared" si="3"/>
        <v>1.4616807823505897</v>
      </c>
      <c r="J51">
        <f t="shared" si="4"/>
        <v>1.5390180090400758</v>
      </c>
      <c r="K51">
        <f t="shared" si="5"/>
        <v>4.649407281366618E-2</v>
      </c>
      <c r="L51">
        <f t="shared" si="6"/>
        <v>1.9397118096455275</v>
      </c>
      <c r="M51">
        <f t="shared" si="7"/>
        <v>1.0067277172400291</v>
      </c>
      <c r="N51">
        <f t="shared" si="8"/>
        <v>0.99114803976604227</v>
      </c>
      <c r="O51">
        <v>4.43075024091567E-3</v>
      </c>
      <c r="P51">
        <v>4.1796129716643315E-3</v>
      </c>
      <c r="Q51">
        <f t="shared" si="9"/>
        <v>369.0416434924544</v>
      </c>
      <c r="R51">
        <f t="shared" si="10"/>
        <v>0.36904164349245439</v>
      </c>
    </row>
    <row r="52" spans="1:18" x14ac:dyDescent="0.3">
      <c r="A52">
        <v>0.10199999999999999</v>
      </c>
      <c r="B52" s="4"/>
      <c r="C52">
        <v>-48.953941905400598</v>
      </c>
      <c r="D52">
        <v>1.072234763</v>
      </c>
      <c r="E52">
        <f t="shared" si="17"/>
        <v>10.414566191452662</v>
      </c>
      <c r="F52">
        <f t="shared" si="0"/>
        <v>4.7230176979651808E-3</v>
      </c>
      <c r="G52">
        <f t="shared" si="1"/>
        <v>1.4607271230820148E-2</v>
      </c>
      <c r="H52">
        <f t="shared" si="2"/>
        <v>215.07046757379911</v>
      </c>
      <c r="I52">
        <f t="shared" si="3"/>
        <v>1.4616807823505897</v>
      </c>
      <c r="J52">
        <f t="shared" si="4"/>
        <v>1.5390180090400758</v>
      </c>
      <c r="K52">
        <f t="shared" si="5"/>
        <v>4.649407281366618E-2</v>
      </c>
      <c r="L52">
        <f t="shared" si="6"/>
        <v>1.9397118096455275</v>
      </c>
      <c r="M52">
        <f t="shared" si="7"/>
        <v>1.0072989006080457</v>
      </c>
      <c r="N52">
        <f t="shared" si="8"/>
        <v>0.99754344732812827</v>
      </c>
      <c r="O52">
        <v>4.445790316838563E-3</v>
      </c>
      <c r="P52">
        <v>4.1796129716643315E-3</v>
      </c>
      <c r="Q52">
        <f t="shared" si="9"/>
        <v>369.0416434924544</v>
      </c>
      <c r="R52">
        <f t="shared" si="10"/>
        <v>0.36904164349245439</v>
      </c>
    </row>
    <row r="53" spans="1:18" x14ac:dyDescent="0.3">
      <c r="A53">
        <v>0.104</v>
      </c>
      <c r="B53" s="4"/>
      <c r="C53">
        <v>-48.953941905400598</v>
      </c>
      <c r="D53">
        <v>1.072234763</v>
      </c>
      <c r="E53">
        <f t="shared" si="17"/>
        <v>10.414566191452662</v>
      </c>
      <c r="F53">
        <f t="shared" si="0"/>
        <v>4.7230176979651808E-3</v>
      </c>
      <c r="G53">
        <f t="shared" si="1"/>
        <v>1.4607271230820148E-2</v>
      </c>
      <c r="H53">
        <f t="shared" si="2"/>
        <v>215.07046757379911</v>
      </c>
      <c r="I53">
        <f t="shared" si="3"/>
        <v>1.4616807823505897</v>
      </c>
      <c r="J53">
        <f t="shared" si="4"/>
        <v>1.5390180090400758</v>
      </c>
      <c r="K53">
        <f t="shared" si="5"/>
        <v>4.649407281366618E-2</v>
      </c>
      <c r="L53">
        <f t="shared" si="6"/>
        <v>1.9397118096455275</v>
      </c>
      <c r="M53">
        <f t="shared" si="7"/>
        <v>1.0069513406179058</v>
      </c>
      <c r="N53">
        <f t="shared" si="8"/>
        <v>0.99368370876968726</v>
      </c>
      <c r="O53">
        <v>4.4367088479612691E-3</v>
      </c>
      <c r="P53">
        <v>4.1796129716643315E-3</v>
      </c>
      <c r="Q53">
        <f t="shared" si="9"/>
        <v>369.0416434924544</v>
      </c>
      <c r="R53">
        <f t="shared" si="10"/>
        <v>0.36904164349245439</v>
      </c>
    </row>
    <row r="54" spans="1:18" x14ac:dyDescent="0.3">
      <c r="A54">
        <v>0.106</v>
      </c>
      <c r="B54" s="4">
        <v>9</v>
      </c>
      <c r="C54">
        <v>-48.923301715052197</v>
      </c>
      <c r="D54">
        <v>1.073363431</v>
      </c>
      <c r="E54">
        <f>$E$47+$R$47</f>
        <v>10.783607834945117</v>
      </c>
      <c r="F54">
        <f t="shared" si="0"/>
        <v>4.8059696455297271E-3</v>
      </c>
      <c r="G54">
        <f t="shared" si="1"/>
        <v>1.4863823645968229E-2</v>
      </c>
      <c r="H54">
        <f t="shared" si="2"/>
        <v>211.35831051399359</v>
      </c>
      <c r="I54">
        <f t="shared" si="3"/>
        <v>1.4443136347270524</v>
      </c>
      <c r="J54">
        <f t="shared" si="4"/>
        <v>1.5196888556141706</v>
      </c>
      <c r="K54">
        <f t="shared" si="5"/>
        <v>4.777751099897206E-2</v>
      </c>
      <c r="L54">
        <f t="shared" si="6"/>
        <v>1.9216484719611595</v>
      </c>
      <c r="M54">
        <f t="shared" si="7"/>
        <v>1.0078109308892418</v>
      </c>
      <c r="N54">
        <f t="shared" si="8"/>
        <v>1.0043403879033437</v>
      </c>
      <c r="O54">
        <v>4.4601145242930485E-3</v>
      </c>
      <c r="P54">
        <v>4.2218312845094261E-3</v>
      </c>
      <c r="Q54">
        <f t="shared" si="9"/>
        <v>374.69584429195925</v>
      </c>
      <c r="R54">
        <f t="shared" si="10"/>
        <v>0.37469584429195923</v>
      </c>
    </row>
    <row r="55" spans="1:18" x14ac:dyDescent="0.3">
      <c r="A55">
        <v>0.108</v>
      </c>
      <c r="B55" s="4"/>
      <c r="C55">
        <v>-48.923301715052197</v>
      </c>
      <c r="D55">
        <v>1.073363431</v>
      </c>
      <c r="E55">
        <f t="shared" ref="E55:E60" si="18">$E$47+$R$47</f>
        <v>10.783607834945117</v>
      </c>
      <c r="F55">
        <f t="shared" si="0"/>
        <v>4.8059696455297271E-3</v>
      </c>
      <c r="G55">
        <f t="shared" si="1"/>
        <v>1.4863823645968229E-2</v>
      </c>
      <c r="H55">
        <f t="shared" si="2"/>
        <v>211.35831051399359</v>
      </c>
      <c r="I55">
        <f t="shared" si="3"/>
        <v>1.4443136347270524</v>
      </c>
      <c r="J55">
        <f t="shared" si="4"/>
        <v>1.5196888556141706</v>
      </c>
      <c r="K55">
        <f t="shared" si="5"/>
        <v>4.777751099897206E-2</v>
      </c>
      <c r="L55">
        <f t="shared" si="6"/>
        <v>1.9216484719611595</v>
      </c>
      <c r="M55">
        <f t="shared" si="7"/>
        <v>1.0065317731554686</v>
      </c>
      <c r="N55">
        <f t="shared" si="8"/>
        <v>0.99017370446700914</v>
      </c>
      <c r="O55">
        <v>4.42667094686714E-3</v>
      </c>
      <c r="P55">
        <v>4.2218312845094261E-3</v>
      </c>
      <c r="Q55">
        <f t="shared" si="9"/>
        <v>374.69584429195925</v>
      </c>
      <c r="R55">
        <f t="shared" si="10"/>
        <v>0.37469584429195923</v>
      </c>
    </row>
    <row r="56" spans="1:18" x14ac:dyDescent="0.3">
      <c r="A56">
        <v>0.11</v>
      </c>
      <c r="B56" s="4"/>
      <c r="C56">
        <v>-48.923301715052197</v>
      </c>
      <c r="D56">
        <v>1.073363431</v>
      </c>
      <c r="E56">
        <f t="shared" si="18"/>
        <v>10.783607834945117</v>
      </c>
      <c r="F56">
        <f t="shared" si="0"/>
        <v>4.8059696455297271E-3</v>
      </c>
      <c r="G56">
        <f t="shared" si="1"/>
        <v>1.4863823645968229E-2</v>
      </c>
      <c r="H56">
        <f t="shared" si="2"/>
        <v>211.35831051399359</v>
      </c>
      <c r="I56">
        <f t="shared" si="3"/>
        <v>1.4443136347270524</v>
      </c>
      <c r="J56">
        <f t="shared" si="4"/>
        <v>1.5196888556141706</v>
      </c>
      <c r="K56">
        <f t="shared" si="5"/>
        <v>4.777751099897206E-2</v>
      </c>
      <c r="L56">
        <f t="shared" si="6"/>
        <v>1.9216484719611595</v>
      </c>
      <c r="M56">
        <f t="shared" si="7"/>
        <v>1.0048502062357672</v>
      </c>
      <c r="N56">
        <f t="shared" si="8"/>
        <v>1.0000929532948719</v>
      </c>
      <c r="O56">
        <v>4.3774538286063787E-3</v>
      </c>
      <c r="P56">
        <v>4.2896301883907579E-3</v>
      </c>
      <c r="Q56">
        <f t="shared" si="9"/>
        <v>374.69584429195925</v>
      </c>
      <c r="R56">
        <f t="shared" si="10"/>
        <v>0.37469584429195923</v>
      </c>
    </row>
    <row r="57" spans="1:18" x14ac:dyDescent="0.3">
      <c r="A57">
        <v>0.112</v>
      </c>
      <c r="B57" s="4"/>
      <c r="C57">
        <v>-48.923301715052197</v>
      </c>
      <c r="D57">
        <v>1.073363431</v>
      </c>
      <c r="E57">
        <f t="shared" si="18"/>
        <v>10.783607834945117</v>
      </c>
      <c r="F57">
        <f t="shared" si="0"/>
        <v>4.8059696455297271E-3</v>
      </c>
      <c r="G57">
        <f t="shared" si="1"/>
        <v>1.4863823645968229E-2</v>
      </c>
      <c r="H57">
        <f t="shared" si="2"/>
        <v>211.35831051399359</v>
      </c>
      <c r="I57">
        <f t="shared" si="3"/>
        <v>1.4443136347270524</v>
      </c>
      <c r="J57">
        <f t="shared" si="4"/>
        <v>1.5196888556141706</v>
      </c>
      <c r="K57">
        <f t="shared" si="5"/>
        <v>4.777751099897206E-2</v>
      </c>
      <c r="L57">
        <f t="shared" si="6"/>
        <v>1.9216484719611595</v>
      </c>
      <c r="M57">
        <f t="shared" si="7"/>
        <v>1.0032302335457957</v>
      </c>
      <c r="N57">
        <f t="shared" si="8"/>
        <v>1.000512535591346</v>
      </c>
      <c r="O57">
        <v>4.3213868788521325E-3</v>
      </c>
      <c r="P57">
        <v>4.3432469261238419E-3</v>
      </c>
      <c r="Q57">
        <f t="shared" si="9"/>
        <v>374.69584429195925</v>
      </c>
      <c r="R57">
        <f t="shared" si="10"/>
        <v>0.37469584429195923</v>
      </c>
    </row>
    <row r="58" spans="1:18" x14ac:dyDescent="0.3">
      <c r="A58">
        <v>0.114</v>
      </c>
      <c r="B58" s="4"/>
      <c r="C58">
        <v>-48.923301715052197</v>
      </c>
      <c r="D58">
        <v>1.073363431</v>
      </c>
      <c r="E58">
        <f t="shared" si="18"/>
        <v>10.783607834945117</v>
      </c>
      <c r="F58">
        <f t="shared" si="0"/>
        <v>4.8059696455297271E-3</v>
      </c>
      <c r="G58">
        <f t="shared" si="1"/>
        <v>1.4863823645968229E-2</v>
      </c>
      <c r="H58">
        <f t="shared" si="2"/>
        <v>211.35831051399359</v>
      </c>
      <c r="I58">
        <f t="shared" si="3"/>
        <v>1.4443136347270524</v>
      </c>
      <c r="J58">
        <f t="shared" si="4"/>
        <v>1.5196888556141706</v>
      </c>
      <c r="K58">
        <f t="shared" si="5"/>
        <v>4.777751099897206E-2</v>
      </c>
      <c r="L58">
        <f t="shared" si="6"/>
        <v>1.9216484719611595</v>
      </c>
      <c r="M58">
        <f t="shared" si="7"/>
        <v>1.0019931868374681</v>
      </c>
      <c r="N58">
        <f t="shared" si="8"/>
        <v>1.0011997156252741</v>
      </c>
      <c r="O58">
        <v>4.2683949270243314E-3</v>
      </c>
      <c r="P58">
        <v>4.3948399155610543E-3</v>
      </c>
      <c r="Q58">
        <f t="shared" si="9"/>
        <v>374.69584429195925</v>
      </c>
      <c r="R58">
        <f t="shared" si="10"/>
        <v>0.37469584429195923</v>
      </c>
    </row>
    <row r="59" spans="1:18" x14ac:dyDescent="0.3">
      <c r="A59">
        <v>0.11600000000000001</v>
      </c>
      <c r="B59" s="4"/>
      <c r="C59">
        <v>-48.923301715052197</v>
      </c>
      <c r="D59">
        <v>1.073363431</v>
      </c>
      <c r="E59">
        <f t="shared" si="18"/>
        <v>10.783607834945117</v>
      </c>
      <c r="F59">
        <f t="shared" si="0"/>
        <v>4.8059696455297271E-3</v>
      </c>
      <c r="G59">
        <f t="shared" si="1"/>
        <v>1.4863823645968229E-2</v>
      </c>
      <c r="H59">
        <f t="shared" si="2"/>
        <v>211.35831051399359</v>
      </c>
      <c r="I59">
        <f t="shared" si="3"/>
        <v>1.4443136347270524</v>
      </c>
      <c r="J59">
        <f t="shared" si="4"/>
        <v>1.5196888556141706</v>
      </c>
      <c r="K59">
        <f t="shared" si="5"/>
        <v>4.777751099897206E-2</v>
      </c>
      <c r="L59">
        <f t="shared" si="6"/>
        <v>1.9216484719611595</v>
      </c>
      <c r="M59">
        <f t="shared" si="7"/>
        <v>1.0012388866386106</v>
      </c>
      <c r="N59">
        <f t="shared" si="8"/>
        <v>1.0019272638482859</v>
      </c>
      <c r="O59">
        <v>4.2276241011792517E-3</v>
      </c>
      <c r="P59">
        <v>4.4351560671832164E-3</v>
      </c>
      <c r="Q59">
        <f t="shared" si="9"/>
        <v>374.69584429195925</v>
      </c>
      <c r="R59">
        <f t="shared" si="10"/>
        <v>0.37469584429195923</v>
      </c>
    </row>
    <row r="60" spans="1:18" x14ac:dyDescent="0.3">
      <c r="A60">
        <v>0.11799999999999999</v>
      </c>
      <c r="B60" s="4"/>
      <c r="C60">
        <v>-48.923301715052197</v>
      </c>
      <c r="D60">
        <v>1.073363431</v>
      </c>
      <c r="E60">
        <f t="shared" si="18"/>
        <v>10.783607834945117</v>
      </c>
      <c r="F60">
        <f t="shared" si="0"/>
        <v>4.8059696455297271E-3</v>
      </c>
      <c r="G60">
        <f t="shared" si="1"/>
        <v>1.4863823645968229E-2</v>
      </c>
      <c r="H60">
        <f t="shared" si="2"/>
        <v>211.35831051399359</v>
      </c>
      <c r="I60">
        <f t="shared" si="3"/>
        <v>1.4443136347270524</v>
      </c>
      <c r="J60">
        <f t="shared" si="4"/>
        <v>1.5196888556141706</v>
      </c>
      <c r="K60">
        <f t="shared" si="5"/>
        <v>4.777751099897206E-2</v>
      </c>
      <c r="L60">
        <f t="shared" si="6"/>
        <v>1.9216484719611595</v>
      </c>
      <c r="M60">
        <f t="shared" si="7"/>
        <v>1.0009087083680457</v>
      </c>
      <c r="N60">
        <f t="shared" si="8"/>
        <v>1.0023861308397497</v>
      </c>
      <c r="O60">
        <v>4.2059570974306727E-3</v>
      </c>
      <c r="P60">
        <v>4.4568056956494134E-3</v>
      </c>
      <c r="Q60">
        <f t="shared" si="9"/>
        <v>374.69584429195925</v>
      </c>
      <c r="R60">
        <f t="shared" si="10"/>
        <v>0.37469584429195923</v>
      </c>
    </row>
    <row r="61" spans="1:18" x14ac:dyDescent="0.3">
      <c r="A61">
        <v>0.12</v>
      </c>
      <c r="B61" s="4">
        <v>10</v>
      </c>
      <c r="C61">
        <v>-48.923301715052197</v>
      </c>
      <c r="D61">
        <v>1.075620767</v>
      </c>
      <c r="E61">
        <f>$E$60+$R$60</f>
        <v>11.158303679237077</v>
      </c>
      <c r="F61">
        <f t="shared" si="0"/>
        <v>4.8887527029520903E-3</v>
      </c>
      <c r="G61">
        <f t="shared" si="1"/>
        <v>1.5119853720470384E-2</v>
      </c>
      <c r="H61">
        <f t="shared" si="2"/>
        <v>207.77930207991835</v>
      </c>
      <c r="I61">
        <f t="shared" si="3"/>
        <v>1.427962574664962</v>
      </c>
      <c r="J61">
        <f t="shared" si="4"/>
        <v>1.5026535015818689</v>
      </c>
      <c r="K61">
        <f t="shared" si="5"/>
        <v>4.975357084809149E-2</v>
      </c>
      <c r="L61">
        <f t="shared" si="6"/>
        <v>1.9042773113180249</v>
      </c>
      <c r="M61">
        <f t="shared" si="7"/>
        <v>1.0011265740913573</v>
      </c>
      <c r="N61">
        <f t="shared" si="8"/>
        <v>1.0029761835254498</v>
      </c>
      <c r="O61">
        <v>4.2211507650707211E-3</v>
      </c>
      <c r="P61">
        <v>4.4826457559658701E-3</v>
      </c>
      <c r="Q61">
        <f t="shared" si="9"/>
        <v>385.81915021966205</v>
      </c>
      <c r="R61">
        <f t="shared" si="10"/>
        <v>0.38581915021966207</v>
      </c>
    </row>
    <row r="62" spans="1:18" x14ac:dyDescent="0.3">
      <c r="A62">
        <v>0.122</v>
      </c>
      <c r="B62" s="4"/>
      <c r="C62">
        <v>-48.923301715052197</v>
      </c>
      <c r="D62">
        <v>1.075620767</v>
      </c>
      <c r="E62">
        <f t="shared" ref="E62:E68" si="19">$E$60+$R$60</f>
        <v>11.158303679237077</v>
      </c>
      <c r="F62">
        <f t="shared" si="0"/>
        <v>4.8887527029520903E-3</v>
      </c>
      <c r="G62">
        <f t="shared" si="1"/>
        <v>1.5119853720470384E-2</v>
      </c>
      <c r="H62">
        <f t="shared" si="2"/>
        <v>207.77930207991835</v>
      </c>
      <c r="I62">
        <f t="shared" si="3"/>
        <v>1.427962574664962</v>
      </c>
      <c r="J62">
        <f t="shared" si="4"/>
        <v>1.5026535015818689</v>
      </c>
      <c r="K62">
        <f t="shared" si="5"/>
        <v>4.975357084809149E-2</v>
      </c>
      <c r="L62">
        <f t="shared" si="6"/>
        <v>1.9042773113180249</v>
      </c>
      <c r="M62">
        <f t="shared" si="7"/>
        <v>1.0011341310763786</v>
      </c>
      <c r="N62">
        <f t="shared" si="8"/>
        <v>1.0029641830038247</v>
      </c>
      <c r="O62">
        <v>4.2216349192582339E-3</v>
      </c>
      <c r="P62">
        <v>4.4821600374684613E-3</v>
      </c>
      <c r="Q62">
        <f t="shared" si="9"/>
        <v>385.81915021966205</v>
      </c>
      <c r="R62">
        <f t="shared" si="10"/>
        <v>0.38581915021966207</v>
      </c>
    </row>
    <row r="63" spans="1:18" x14ac:dyDescent="0.3">
      <c r="A63">
        <v>0.124</v>
      </c>
      <c r="B63" s="4"/>
      <c r="C63">
        <v>-48.923301715052197</v>
      </c>
      <c r="D63">
        <v>1.075620767</v>
      </c>
      <c r="E63">
        <f t="shared" si="19"/>
        <v>11.158303679237077</v>
      </c>
      <c r="F63">
        <f t="shared" si="0"/>
        <v>4.8887527029520903E-3</v>
      </c>
      <c r="G63">
        <f t="shared" si="1"/>
        <v>1.5119853720470384E-2</v>
      </c>
      <c r="H63">
        <f t="shared" si="2"/>
        <v>207.77930207991835</v>
      </c>
      <c r="I63">
        <f t="shared" si="3"/>
        <v>1.427962574664962</v>
      </c>
      <c r="J63">
        <f t="shared" si="4"/>
        <v>1.5026535015818689</v>
      </c>
      <c r="K63">
        <f t="shared" si="5"/>
        <v>4.975357084809149E-2</v>
      </c>
      <c r="L63">
        <f t="shared" si="6"/>
        <v>1.9042773113180249</v>
      </c>
      <c r="M63">
        <f t="shared" si="7"/>
        <v>1.0015272597053009</v>
      </c>
      <c r="N63">
        <f t="shared" si="8"/>
        <v>1.0024156874799122</v>
      </c>
      <c r="O63">
        <v>4.2449701867911076E-3</v>
      </c>
      <c r="P63">
        <v>4.4588395276634494E-3</v>
      </c>
      <c r="Q63">
        <f t="shared" si="9"/>
        <v>385.81915021966205</v>
      </c>
      <c r="R63">
        <f t="shared" si="10"/>
        <v>0.38581915021966207</v>
      </c>
    </row>
    <row r="64" spans="1:18" x14ac:dyDescent="0.3">
      <c r="A64">
        <v>0.126</v>
      </c>
      <c r="B64" s="4"/>
      <c r="C64">
        <v>-48.923301715052197</v>
      </c>
      <c r="D64">
        <v>1.075620767</v>
      </c>
      <c r="E64">
        <f t="shared" si="19"/>
        <v>11.158303679237077</v>
      </c>
      <c r="F64">
        <f t="shared" si="0"/>
        <v>4.8887527029520903E-3</v>
      </c>
      <c r="G64">
        <f t="shared" si="1"/>
        <v>1.5119853720470384E-2</v>
      </c>
      <c r="H64">
        <f t="shared" si="2"/>
        <v>207.77930207991835</v>
      </c>
      <c r="I64">
        <f t="shared" si="3"/>
        <v>1.427962574664962</v>
      </c>
      <c r="J64">
        <f t="shared" si="4"/>
        <v>1.5026535015818689</v>
      </c>
      <c r="K64">
        <f t="shared" si="5"/>
        <v>4.975357084809149E-2</v>
      </c>
      <c r="L64">
        <f t="shared" si="6"/>
        <v>1.9042773113180249</v>
      </c>
      <c r="M64">
        <f t="shared" si="7"/>
        <v>1.0023863540804006</v>
      </c>
      <c r="N64">
        <f t="shared" si="8"/>
        <v>1.0015662609655402</v>
      </c>
      <c r="O64">
        <v>4.2874055733211182E-3</v>
      </c>
      <c r="P64">
        <v>4.4168788543158853E-3</v>
      </c>
      <c r="Q64">
        <f t="shared" si="9"/>
        <v>385.81915021966205</v>
      </c>
      <c r="R64">
        <f t="shared" si="10"/>
        <v>0.38581915021966207</v>
      </c>
    </row>
    <row r="65" spans="1:18" x14ac:dyDescent="0.3">
      <c r="A65">
        <v>0.128</v>
      </c>
      <c r="B65" s="4"/>
      <c r="C65">
        <v>-48.923301715052197</v>
      </c>
      <c r="D65">
        <v>1.075620767</v>
      </c>
      <c r="E65">
        <f t="shared" si="19"/>
        <v>11.158303679237077</v>
      </c>
      <c r="F65">
        <f t="shared" si="0"/>
        <v>4.8887527029520903E-3</v>
      </c>
      <c r="G65">
        <f t="shared" si="1"/>
        <v>1.5119853720470384E-2</v>
      </c>
      <c r="H65">
        <f t="shared" si="2"/>
        <v>207.77930207991835</v>
      </c>
      <c r="I65">
        <f t="shared" si="3"/>
        <v>1.427962574664962</v>
      </c>
      <c r="J65">
        <f t="shared" si="4"/>
        <v>1.5026535015818689</v>
      </c>
      <c r="K65">
        <f t="shared" si="5"/>
        <v>4.975357084809149E-2</v>
      </c>
      <c r="L65">
        <f t="shared" si="6"/>
        <v>1.9042773113180249</v>
      </c>
      <c r="M65">
        <f t="shared" si="7"/>
        <v>1.00376254728058</v>
      </c>
      <c r="N65">
        <f t="shared" si="8"/>
        <v>1.0007469275022616</v>
      </c>
      <c r="O65">
        <v>4.3420148135956786E-3</v>
      </c>
      <c r="P65">
        <v>4.3637146406821509E-3</v>
      </c>
      <c r="Q65">
        <f t="shared" si="9"/>
        <v>385.81915021966205</v>
      </c>
      <c r="R65">
        <f t="shared" si="10"/>
        <v>0.38581915021966207</v>
      </c>
    </row>
    <row r="66" spans="1:18" x14ac:dyDescent="0.3">
      <c r="A66">
        <v>0.13</v>
      </c>
      <c r="B66" s="4"/>
      <c r="C66">
        <v>-48.923301715052197</v>
      </c>
      <c r="D66">
        <v>1.075620767</v>
      </c>
      <c r="E66">
        <f t="shared" si="19"/>
        <v>11.158303679237077</v>
      </c>
      <c r="F66">
        <f t="shared" si="0"/>
        <v>4.8887527029520903E-3</v>
      </c>
      <c r="G66">
        <f t="shared" si="1"/>
        <v>1.5119853720470384E-2</v>
      </c>
      <c r="H66">
        <f t="shared" si="2"/>
        <v>207.77930207991835</v>
      </c>
      <c r="I66">
        <f t="shared" si="3"/>
        <v>1.427962574664962</v>
      </c>
      <c r="J66">
        <f t="shared" si="4"/>
        <v>1.5026535015818689</v>
      </c>
      <c r="K66">
        <f t="shared" si="5"/>
        <v>4.975357084809149E-2</v>
      </c>
      <c r="L66">
        <f t="shared" si="6"/>
        <v>1.9042773113180249</v>
      </c>
      <c r="M66">
        <f t="shared" si="7"/>
        <v>1.0055416400309098</v>
      </c>
      <c r="N66">
        <f t="shared" si="8"/>
        <v>1.0002050598260386</v>
      </c>
      <c r="O66">
        <v>4.3996842410779311E-3</v>
      </c>
      <c r="P66">
        <v>4.3085654953405328E-3</v>
      </c>
      <c r="Q66">
        <f t="shared" si="9"/>
        <v>385.81915021966205</v>
      </c>
      <c r="R66">
        <f t="shared" si="10"/>
        <v>0.38581915021966207</v>
      </c>
    </row>
    <row r="67" spans="1:18" x14ac:dyDescent="0.3">
      <c r="A67">
        <v>0.13200000000000001</v>
      </c>
      <c r="B67" s="4"/>
      <c r="C67">
        <v>-48.923301715052197</v>
      </c>
      <c r="D67">
        <v>1.075620767</v>
      </c>
      <c r="E67">
        <f t="shared" si="19"/>
        <v>11.158303679237077</v>
      </c>
      <c r="F67">
        <f t="shared" ref="F67:F130" si="20">0.0462806*SQRT(E67/1000)</f>
        <v>4.8887527029520903E-3</v>
      </c>
      <c r="G67">
        <f t="shared" ref="G67:G130" si="21">$U$3*F67/2</f>
        <v>1.5119853720470384E-2</v>
      </c>
      <c r="H67">
        <f t="shared" ref="H67:H130" si="22">PI()/G67</f>
        <v>207.77930207991835</v>
      </c>
      <c r="I67">
        <f t="shared" ref="I67:I130" si="23">BESSELI(H67*$Y$5,0)</f>
        <v>1.427962574664962</v>
      </c>
      <c r="J67">
        <f t="shared" ref="J67:J130" si="24">BESSELI(H67*D67*$Y$5,0)</f>
        <v>1.5026535015818689</v>
      </c>
      <c r="K67">
        <f t="shared" ref="K67:K130" si="25">(D67^2-1)/(D67^2*I67+J67)</f>
        <v>4.975357084809149E-2</v>
      </c>
      <c r="L67">
        <f t="shared" ref="L67:L130" si="26">I67+J67/(D67^2*I67+J67)</f>
        <v>1.9042773113180249</v>
      </c>
      <c r="M67">
        <f t="shared" ref="M67:M130" si="27">((L67*O67^2)/$Y$5^2)+(K67*BESSELI(O67*H67,0)*COS(H67*A67))</f>
        <v>1.0073839766229149</v>
      </c>
      <c r="N67">
        <f t="shared" ref="N67:N130" si="28">((L67*P67^2)/$Y$5^2)-(K67*BESSELI(P67*H67,0)*COS(H67*A67))</f>
        <v>1.0014897319931477</v>
      </c>
      <c r="O67">
        <v>4.4505431838936082E-3</v>
      </c>
      <c r="P67">
        <v>4.2640495973545207E-3</v>
      </c>
      <c r="Q67">
        <f t="shared" ref="Q67:Q130" si="29">PI()*K67*$U$4*J67*COS(C67*$Y$7)/(4*$Y$6)</f>
        <v>385.81915021966205</v>
      </c>
      <c r="R67">
        <f t="shared" ref="R67:R130" si="30">Q67/1000</f>
        <v>0.38581915021966207</v>
      </c>
    </row>
    <row r="68" spans="1:18" x14ac:dyDescent="0.3">
      <c r="A68">
        <v>0.13400000000000001</v>
      </c>
      <c r="B68" s="4"/>
      <c r="C68">
        <v>-48.923301715052197</v>
      </c>
      <c r="D68">
        <v>1.075620767</v>
      </c>
      <c r="E68">
        <f t="shared" si="19"/>
        <v>11.158303679237077</v>
      </c>
      <c r="F68">
        <f t="shared" si="20"/>
        <v>4.8887527029520903E-3</v>
      </c>
      <c r="G68">
        <f t="shared" si="21"/>
        <v>1.5119853720470384E-2</v>
      </c>
      <c r="H68">
        <f t="shared" si="22"/>
        <v>207.77930207991835</v>
      </c>
      <c r="I68">
        <f t="shared" si="23"/>
        <v>1.427962574664962</v>
      </c>
      <c r="J68">
        <f t="shared" si="24"/>
        <v>1.5026535015818689</v>
      </c>
      <c r="K68">
        <f t="shared" si="25"/>
        <v>4.975357084809149E-2</v>
      </c>
      <c r="L68">
        <f t="shared" si="26"/>
        <v>1.9042773113180249</v>
      </c>
      <c r="M68">
        <f t="shared" si="27"/>
        <v>1.0088041436359592</v>
      </c>
      <c r="N68">
        <f t="shared" si="28"/>
        <v>0.99712550475321693</v>
      </c>
      <c r="O68">
        <v>4.4856754058303907E-3</v>
      </c>
      <c r="P68">
        <v>4.2218312845094261E-3</v>
      </c>
      <c r="Q68">
        <f t="shared" si="29"/>
        <v>385.81915021966205</v>
      </c>
      <c r="R68">
        <f t="shared" si="30"/>
        <v>0.38581915021966207</v>
      </c>
    </row>
    <row r="69" spans="1:18" x14ac:dyDescent="0.3">
      <c r="A69">
        <v>0.13600000000000001</v>
      </c>
      <c r="B69" s="4">
        <v>11</v>
      </c>
      <c r="C69">
        <v>-48.877341429529501</v>
      </c>
      <c r="D69">
        <v>1.0790067720000001</v>
      </c>
      <c r="E69">
        <f>$E$68+$R$68</f>
        <v>11.54412282945674</v>
      </c>
      <c r="F69">
        <f t="shared" si="20"/>
        <v>4.9725533369696937E-3</v>
      </c>
      <c r="G69">
        <f t="shared" si="21"/>
        <v>1.5379030939081528E-2</v>
      </c>
      <c r="H69">
        <f t="shared" si="22"/>
        <v>204.27767302335738</v>
      </c>
      <c r="I69">
        <f t="shared" si="23"/>
        <v>1.4123329676830072</v>
      </c>
      <c r="J69">
        <f t="shared" si="24"/>
        <v>1.4874371325160138</v>
      </c>
      <c r="K69">
        <f t="shared" si="25"/>
        <v>5.2448445426874359E-2</v>
      </c>
      <c r="L69">
        <f t="shared" si="26"/>
        <v>1.8872863854717601</v>
      </c>
      <c r="M69">
        <f t="shared" si="27"/>
        <v>1.0053042410037822</v>
      </c>
      <c r="N69">
        <f t="shared" si="28"/>
        <v>1.008594496047716</v>
      </c>
      <c r="O69">
        <v>4.5004490409645539E-3</v>
      </c>
      <c r="P69">
        <v>4.2640495973545207E-3</v>
      </c>
      <c r="Q69">
        <f t="shared" si="29"/>
        <v>402.96865692655382</v>
      </c>
      <c r="R69">
        <f t="shared" si="30"/>
        <v>0.40296865692655381</v>
      </c>
    </row>
    <row r="70" spans="1:18" x14ac:dyDescent="0.3">
      <c r="A70">
        <v>0.13800000000000001</v>
      </c>
      <c r="B70" s="4"/>
      <c r="C70">
        <v>-48.877341429529501</v>
      </c>
      <c r="D70">
        <v>1.0790067720000001</v>
      </c>
      <c r="E70">
        <f t="shared" ref="E70:E75" si="31">$E$68+$R$68</f>
        <v>11.54412282945674</v>
      </c>
      <c r="F70">
        <f t="shared" si="20"/>
        <v>4.9725533369696937E-3</v>
      </c>
      <c r="G70">
        <f t="shared" si="21"/>
        <v>1.5379030939081528E-2</v>
      </c>
      <c r="H70">
        <f t="shared" si="22"/>
        <v>204.27767302335738</v>
      </c>
      <c r="I70">
        <f t="shared" si="23"/>
        <v>1.4123329676830072</v>
      </c>
      <c r="J70">
        <f t="shared" si="24"/>
        <v>1.4874371325160138</v>
      </c>
      <c r="K70">
        <f t="shared" si="25"/>
        <v>5.2448445426874359E-2</v>
      </c>
      <c r="L70">
        <f t="shared" si="26"/>
        <v>1.8872863854717601</v>
      </c>
      <c r="M70">
        <f t="shared" si="27"/>
        <v>0.99790668427867346</v>
      </c>
      <c r="N70">
        <f t="shared" si="28"/>
        <v>0.99685184249561887</v>
      </c>
      <c r="O70">
        <v>4.5004490409645539E-3</v>
      </c>
      <c r="P70">
        <v>4.2218312845094261E-3</v>
      </c>
      <c r="Q70">
        <f t="shared" si="29"/>
        <v>402.96865692655382</v>
      </c>
      <c r="R70">
        <f t="shared" si="30"/>
        <v>0.40296865692655381</v>
      </c>
    </row>
    <row r="71" spans="1:18" x14ac:dyDescent="0.3">
      <c r="A71">
        <v>0.14000000000000001</v>
      </c>
      <c r="B71" s="4"/>
      <c r="C71">
        <v>-48.877341429529501</v>
      </c>
      <c r="D71">
        <v>1.0790067720000001</v>
      </c>
      <c r="E71">
        <f t="shared" si="31"/>
        <v>11.54412282945674</v>
      </c>
      <c r="F71">
        <f t="shared" si="20"/>
        <v>4.9725533369696937E-3</v>
      </c>
      <c r="G71">
        <f t="shared" si="21"/>
        <v>1.5379030939081528E-2</v>
      </c>
      <c r="H71">
        <f t="shared" si="22"/>
        <v>204.27767302335738</v>
      </c>
      <c r="I71">
        <f t="shared" si="23"/>
        <v>1.4123329676830072</v>
      </c>
      <c r="J71">
        <f t="shared" si="24"/>
        <v>1.4874371325160138</v>
      </c>
      <c r="K71">
        <f t="shared" si="25"/>
        <v>5.2448445426874359E-2</v>
      </c>
      <c r="L71">
        <f t="shared" si="26"/>
        <v>1.8872863854717601</v>
      </c>
      <c r="M71">
        <f t="shared" si="27"/>
        <v>1.001028237876592</v>
      </c>
      <c r="N71">
        <f t="shared" si="28"/>
        <v>0.99380165691554312</v>
      </c>
      <c r="O71">
        <v>4.5004490409645539E-3</v>
      </c>
      <c r="P71">
        <v>4.2218312845094261E-3</v>
      </c>
      <c r="Q71">
        <f t="shared" si="29"/>
        <v>402.96865692655382</v>
      </c>
      <c r="R71">
        <f t="shared" si="30"/>
        <v>0.40296865692655381</v>
      </c>
    </row>
    <row r="72" spans="1:18" x14ac:dyDescent="0.3">
      <c r="A72">
        <v>0.14199999999999999</v>
      </c>
      <c r="B72" s="4"/>
      <c r="C72">
        <v>-48.877341429529501</v>
      </c>
      <c r="D72">
        <v>1.0790067720000001</v>
      </c>
      <c r="E72">
        <f t="shared" si="31"/>
        <v>11.54412282945674</v>
      </c>
      <c r="F72">
        <f t="shared" si="20"/>
        <v>4.9725533369696937E-3</v>
      </c>
      <c r="G72">
        <f t="shared" si="21"/>
        <v>1.5379030939081528E-2</v>
      </c>
      <c r="H72">
        <f t="shared" si="22"/>
        <v>204.27767302335738</v>
      </c>
      <c r="I72">
        <f t="shared" si="23"/>
        <v>1.4123329676830072</v>
      </c>
      <c r="J72">
        <f t="shared" si="24"/>
        <v>1.4874371325160138</v>
      </c>
      <c r="K72">
        <f t="shared" si="25"/>
        <v>5.2448445426874359E-2</v>
      </c>
      <c r="L72">
        <f t="shared" si="26"/>
        <v>1.8872863854717601</v>
      </c>
      <c r="M72">
        <f t="shared" si="27"/>
        <v>1.0088936183377153</v>
      </c>
      <c r="N72">
        <f t="shared" si="28"/>
        <v>0.99991635040277527</v>
      </c>
      <c r="O72">
        <v>4.4891879606649334E-3</v>
      </c>
      <c r="P72">
        <v>4.2640495973545207E-3</v>
      </c>
      <c r="Q72">
        <f t="shared" si="29"/>
        <v>402.96865692655382</v>
      </c>
      <c r="R72">
        <f t="shared" si="30"/>
        <v>0.40296865692655381</v>
      </c>
    </row>
    <row r="73" spans="1:18" x14ac:dyDescent="0.3">
      <c r="A73">
        <v>0.14399999999999999</v>
      </c>
      <c r="B73" s="4"/>
      <c r="C73">
        <v>-48.877341429529501</v>
      </c>
      <c r="D73">
        <v>1.0790067720000001</v>
      </c>
      <c r="E73">
        <f t="shared" si="31"/>
        <v>11.54412282945674</v>
      </c>
      <c r="F73">
        <f t="shared" si="20"/>
        <v>4.9725533369696937E-3</v>
      </c>
      <c r="G73">
        <f t="shared" si="21"/>
        <v>1.5379030939081528E-2</v>
      </c>
      <c r="H73">
        <f t="shared" si="22"/>
        <v>204.27767302335738</v>
      </c>
      <c r="I73">
        <f t="shared" si="23"/>
        <v>1.4123329676830072</v>
      </c>
      <c r="J73">
        <f t="shared" si="24"/>
        <v>1.4874371325160138</v>
      </c>
      <c r="K73">
        <f t="shared" si="25"/>
        <v>5.2448445426874359E-2</v>
      </c>
      <c r="L73">
        <f t="shared" si="26"/>
        <v>1.8872863854717601</v>
      </c>
      <c r="M73">
        <f t="shared" si="27"/>
        <v>1.006934292030998</v>
      </c>
      <c r="N73">
        <f t="shared" si="28"/>
        <v>1.000215279681776</v>
      </c>
      <c r="O73">
        <v>4.4400087012385426E-3</v>
      </c>
      <c r="P73">
        <v>4.3102383114977808E-3</v>
      </c>
      <c r="Q73">
        <f t="shared" si="29"/>
        <v>402.96865692655382</v>
      </c>
      <c r="R73">
        <f t="shared" si="30"/>
        <v>0.40296865692655381</v>
      </c>
    </row>
    <row r="74" spans="1:18" x14ac:dyDescent="0.3">
      <c r="A74">
        <v>0.14599999999999999</v>
      </c>
      <c r="B74" s="4"/>
      <c r="C74">
        <v>-48.877341429529501</v>
      </c>
      <c r="D74">
        <v>1.0790067720000001</v>
      </c>
      <c r="E74">
        <f t="shared" si="31"/>
        <v>11.54412282945674</v>
      </c>
      <c r="F74">
        <f t="shared" si="20"/>
        <v>4.9725533369696937E-3</v>
      </c>
      <c r="G74">
        <f t="shared" si="21"/>
        <v>1.5379030939081528E-2</v>
      </c>
      <c r="H74">
        <f t="shared" si="22"/>
        <v>204.27767302335738</v>
      </c>
      <c r="I74">
        <f t="shared" si="23"/>
        <v>1.4123329676830072</v>
      </c>
      <c r="J74">
        <f t="shared" si="24"/>
        <v>1.4874371325160138</v>
      </c>
      <c r="K74">
        <f t="shared" si="25"/>
        <v>5.2448445426874359E-2</v>
      </c>
      <c r="L74">
        <f t="shared" si="26"/>
        <v>1.8872863854717601</v>
      </c>
      <c r="M74">
        <f t="shared" si="27"/>
        <v>1.0048951331041134</v>
      </c>
      <c r="N74">
        <f t="shared" si="28"/>
        <v>1.0007750961287876</v>
      </c>
      <c r="O74">
        <v>4.3810175125491612E-3</v>
      </c>
      <c r="P74">
        <v>4.366335830298231E-3</v>
      </c>
      <c r="Q74">
        <f t="shared" si="29"/>
        <v>402.96865692655382</v>
      </c>
      <c r="R74">
        <f t="shared" si="30"/>
        <v>0.40296865692655381</v>
      </c>
    </row>
    <row r="75" spans="1:18" x14ac:dyDescent="0.3">
      <c r="A75">
        <v>0.14799999999999999</v>
      </c>
      <c r="B75" s="4"/>
      <c r="C75">
        <v>-48.877341429529501</v>
      </c>
      <c r="D75">
        <v>1.0790067720000001</v>
      </c>
      <c r="E75">
        <f t="shared" si="31"/>
        <v>11.54412282945674</v>
      </c>
      <c r="F75">
        <f t="shared" si="20"/>
        <v>4.9725533369696937E-3</v>
      </c>
      <c r="G75">
        <f t="shared" si="21"/>
        <v>1.5379030939081528E-2</v>
      </c>
      <c r="H75">
        <f t="shared" si="22"/>
        <v>204.27767302335738</v>
      </c>
      <c r="I75">
        <f t="shared" si="23"/>
        <v>1.4123329676830072</v>
      </c>
      <c r="J75">
        <f t="shared" si="24"/>
        <v>1.4874371325160138</v>
      </c>
      <c r="K75">
        <f t="shared" si="25"/>
        <v>5.2448445426874359E-2</v>
      </c>
      <c r="L75">
        <f t="shared" si="26"/>
        <v>1.8872863854717601</v>
      </c>
      <c r="M75">
        <f t="shared" si="27"/>
        <v>1.0032014020336313</v>
      </c>
      <c r="N75">
        <f t="shared" si="28"/>
        <v>1.0016757811098622</v>
      </c>
      <c r="O75">
        <v>4.3220558091401819E-3</v>
      </c>
      <c r="P75">
        <v>4.4234308356165177E-3</v>
      </c>
      <c r="Q75">
        <f t="shared" si="29"/>
        <v>402.96865692655382</v>
      </c>
      <c r="R75">
        <f t="shared" si="30"/>
        <v>0.40296865692655381</v>
      </c>
    </row>
    <row r="76" spans="1:18" x14ac:dyDescent="0.3">
      <c r="A76">
        <v>0.15</v>
      </c>
      <c r="B76" s="4">
        <v>12</v>
      </c>
      <c r="C76">
        <v>-48.854361286768203</v>
      </c>
      <c r="D76">
        <v>1.0801354400000001</v>
      </c>
      <c r="E76">
        <f>$E$75+$R$75</f>
        <v>11.947091486383293</v>
      </c>
      <c r="F76">
        <f t="shared" si="20"/>
        <v>5.0585969212640922E-3</v>
      </c>
      <c r="G76">
        <f t="shared" si="21"/>
        <v>1.5645145117311625E-2</v>
      </c>
      <c r="H76">
        <f t="shared" si="22"/>
        <v>200.80303698260786</v>
      </c>
      <c r="I76">
        <f t="shared" si="23"/>
        <v>1.3971783243252387</v>
      </c>
      <c r="J76">
        <f t="shared" si="24"/>
        <v>1.4703684332124456</v>
      </c>
      <c r="K76">
        <f t="shared" si="25"/>
        <v>5.3764061257003407E-2</v>
      </c>
      <c r="L76">
        <f t="shared" si="26"/>
        <v>1.8714224919522162</v>
      </c>
      <c r="M76">
        <f t="shared" si="27"/>
        <v>1.0041181350067589</v>
      </c>
      <c r="N76">
        <f t="shared" si="28"/>
        <v>1.0017569121247494</v>
      </c>
      <c r="O76">
        <v>4.3564130853890933E-3</v>
      </c>
      <c r="P76">
        <v>4.4283246679072867E-3</v>
      </c>
      <c r="Q76">
        <f t="shared" si="29"/>
        <v>408.52411691517887</v>
      </c>
      <c r="R76">
        <f t="shared" si="30"/>
        <v>0.40852411691517887</v>
      </c>
    </row>
    <row r="77" spans="1:18" x14ac:dyDescent="0.3">
      <c r="A77">
        <v>0.152</v>
      </c>
      <c r="B77" s="4"/>
      <c r="C77">
        <v>-48.854361286768203</v>
      </c>
      <c r="D77">
        <v>1.0801354400000001</v>
      </c>
      <c r="E77">
        <f t="shared" ref="E77:E82" si="32">$E$75+$R$75</f>
        <v>11.947091486383293</v>
      </c>
      <c r="F77">
        <f t="shared" si="20"/>
        <v>5.0585969212640922E-3</v>
      </c>
      <c r="G77">
        <f t="shared" si="21"/>
        <v>1.5645145117311625E-2</v>
      </c>
      <c r="H77">
        <f t="shared" si="22"/>
        <v>200.80303698260786</v>
      </c>
      <c r="I77">
        <f t="shared" si="23"/>
        <v>1.3971783243252387</v>
      </c>
      <c r="J77">
        <f t="shared" si="24"/>
        <v>1.4703684332124456</v>
      </c>
      <c r="K77">
        <f t="shared" si="25"/>
        <v>5.3764061257003407E-2</v>
      </c>
      <c r="L77">
        <f t="shared" si="26"/>
        <v>1.8714224919522162</v>
      </c>
      <c r="M77">
        <f t="shared" si="27"/>
        <v>1.0027052858427887</v>
      </c>
      <c r="N77">
        <f t="shared" si="28"/>
        <v>1.0028948157103768</v>
      </c>
      <c r="O77">
        <v>4.3028153892831862E-3</v>
      </c>
      <c r="P77">
        <v>4.4808653490007498E-3</v>
      </c>
      <c r="Q77">
        <f t="shared" si="29"/>
        <v>408.52411691517887</v>
      </c>
      <c r="R77">
        <f t="shared" si="30"/>
        <v>0.40852411691517887</v>
      </c>
    </row>
    <row r="78" spans="1:18" x14ac:dyDescent="0.3">
      <c r="A78">
        <v>0.154</v>
      </c>
      <c r="B78" s="4"/>
      <c r="C78">
        <v>-48.854361286768203</v>
      </c>
      <c r="D78">
        <v>1.0801354400000001</v>
      </c>
      <c r="E78">
        <f t="shared" si="32"/>
        <v>11.947091486383293</v>
      </c>
      <c r="F78">
        <f t="shared" si="20"/>
        <v>5.0585969212640922E-3</v>
      </c>
      <c r="G78">
        <f t="shared" si="21"/>
        <v>1.5645145117311625E-2</v>
      </c>
      <c r="H78">
        <f t="shared" si="22"/>
        <v>200.80303698260786</v>
      </c>
      <c r="I78">
        <f t="shared" si="23"/>
        <v>1.3971783243252387</v>
      </c>
      <c r="J78">
        <f t="shared" si="24"/>
        <v>1.4703684332124456</v>
      </c>
      <c r="K78">
        <f t="shared" si="25"/>
        <v>5.3764061257003407E-2</v>
      </c>
      <c r="L78">
        <f t="shared" si="26"/>
        <v>1.8714224919522162</v>
      </c>
      <c r="M78">
        <f t="shared" si="27"/>
        <v>1.00187331922809</v>
      </c>
      <c r="N78">
        <f t="shared" si="28"/>
        <v>1.0038885939228235</v>
      </c>
      <c r="O78">
        <v>4.2645499780384127E-3</v>
      </c>
      <c r="P78">
        <v>4.5188992245774095E-3</v>
      </c>
      <c r="Q78">
        <f t="shared" si="29"/>
        <v>408.52411691517887</v>
      </c>
      <c r="R78">
        <f t="shared" si="30"/>
        <v>0.40852411691517887</v>
      </c>
    </row>
    <row r="79" spans="1:18" x14ac:dyDescent="0.3">
      <c r="A79">
        <v>0.156</v>
      </c>
      <c r="B79" s="4"/>
      <c r="C79">
        <v>-48.854361286768203</v>
      </c>
      <c r="D79">
        <v>1.0801354400000001</v>
      </c>
      <c r="E79">
        <f t="shared" si="32"/>
        <v>11.947091486383293</v>
      </c>
      <c r="F79">
        <f t="shared" si="20"/>
        <v>5.0585969212640922E-3</v>
      </c>
      <c r="G79">
        <f t="shared" si="21"/>
        <v>1.5645145117311625E-2</v>
      </c>
      <c r="H79">
        <f t="shared" si="22"/>
        <v>200.80303698260786</v>
      </c>
      <c r="I79">
        <f t="shared" si="23"/>
        <v>1.3971783243252387</v>
      </c>
      <c r="J79">
        <f t="shared" si="24"/>
        <v>1.4703684332124456</v>
      </c>
      <c r="K79">
        <f t="shared" si="25"/>
        <v>5.3764061257003407E-2</v>
      </c>
      <c r="L79">
        <f t="shared" si="26"/>
        <v>1.8714224919522162</v>
      </c>
      <c r="M79">
        <f t="shared" si="27"/>
        <v>1.0015488887093544</v>
      </c>
      <c r="N79">
        <f t="shared" si="28"/>
        <v>1.0043838025482494</v>
      </c>
      <c r="O79">
        <v>4.2474110912644816E-3</v>
      </c>
      <c r="P79">
        <v>4.5360780608514062E-3</v>
      </c>
      <c r="Q79">
        <f t="shared" si="29"/>
        <v>408.52411691517887</v>
      </c>
      <c r="R79">
        <f t="shared" si="30"/>
        <v>0.40852411691517887</v>
      </c>
    </row>
    <row r="80" spans="1:18" x14ac:dyDescent="0.3">
      <c r="A80">
        <v>0.158</v>
      </c>
      <c r="B80" s="4"/>
      <c r="C80">
        <v>-48.854361286768203</v>
      </c>
      <c r="D80">
        <v>1.0801354400000001</v>
      </c>
      <c r="E80">
        <f t="shared" si="32"/>
        <v>11.947091486383293</v>
      </c>
      <c r="F80">
        <f t="shared" si="20"/>
        <v>5.0585969212640922E-3</v>
      </c>
      <c r="G80">
        <f t="shared" si="21"/>
        <v>1.5645145117311625E-2</v>
      </c>
      <c r="H80">
        <f t="shared" si="22"/>
        <v>200.80303698260786</v>
      </c>
      <c r="I80">
        <f t="shared" si="23"/>
        <v>1.3971783243252387</v>
      </c>
      <c r="J80">
        <f t="shared" si="24"/>
        <v>1.4703684332124456</v>
      </c>
      <c r="K80">
        <f t="shared" si="25"/>
        <v>5.3764061257003407E-2</v>
      </c>
      <c r="L80">
        <f t="shared" si="26"/>
        <v>1.8714224919522162</v>
      </c>
      <c r="M80">
        <f t="shared" si="27"/>
        <v>1.0016693683030844</v>
      </c>
      <c r="N80">
        <f t="shared" si="28"/>
        <v>1.0041908090801979</v>
      </c>
      <c r="O80">
        <v>4.2539625584915169E-3</v>
      </c>
      <c r="P80">
        <v>4.5295007512440475E-3</v>
      </c>
      <c r="Q80">
        <f t="shared" si="29"/>
        <v>408.52411691517887</v>
      </c>
      <c r="R80">
        <f t="shared" si="30"/>
        <v>0.40852411691517887</v>
      </c>
    </row>
    <row r="81" spans="1:18" x14ac:dyDescent="0.3">
      <c r="A81">
        <v>0.16</v>
      </c>
      <c r="B81" s="4"/>
      <c r="C81">
        <v>-48.854361286768203</v>
      </c>
      <c r="D81">
        <v>1.0801354400000001</v>
      </c>
      <c r="E81">
        <f t="shared" si="32"/>
        <v>11.947091486383293</v>
      </c>
      <c r="F81">
        <f t="shared" si="20"/>
        <v>5.0585969212640922E-3</v>
      </c>
      <c r="G81">
        <f t="shared" si="21"/>
        <v>1.5645145117311625E-2</v>
      </c>
      <c r="H81">
        <f t="shared" si="22"/>
        <v>200.80303698260786</v>
      </c>
      <c r="I81">
        <f t="shared" si="23"/>
        <v>1.3971783243252387</v>
      </c>
      <c r="J81">
        <f t="shared" si="24"/>
        <v>1.4703684332124456</v>
      </c>
      <c r="K81">
        <f t="shared" si="25"/>
        <v>5.3764061257003407E-2</v>
      </c>
      <c r="L81">
        <f t="shared" si="26"/>
        <v>1.8714224919522162</v>
      </c>
      <c r="M81">
        <f t="shared" si="27"/>
        <v>1.0022608741026946</v>
      </c>
      <c r="N81">
        <f t="shared" si="28"/>
        <v>1.0033843871017869</v>
      </c>
      <c r="O81">
        <v>4.2832266249004606E-3</v>
      </c>
      <c r="P81">
        <v>4.5002805389834739E-3</v>
      </c>
      <c r="Q81">
        <f t="shared" si="29"/>
        <v>408.52411691517887</v>
      </c>
      <c r="R81">
        <f t="shared" si="30"/>
        <v>0.40852411691517887</v>
      </c>
    </row>
    <row r="82" spans="1:18" x14ac:dyDescent="0.3">
      <c r="A82">
        <v>0.16200000000000001</v>
      </c>
      <c r="B82" s="4"/>
      <c r="C82">
        <v>-48.854361286768203</v>
      </c>
      <c r="D82">
        <v>1.0801354400000001</v>
      </c>
      <c r="E82">
        <f t="shared" si="32"/>
        <v>11.947091486383293</v>
      </c>
      <c r="F82">
        <f t="shared" si="20"/>
        <v>5.0585969212640922E-3</v>
      </c>
      <c r="G82">
        <f t="shared" si="21"/>
        <v>1.5645145117311625E-2</v>
      </c>
      <c r="H82">
        <f t="shared" si="22"/>
        <v>200.80303698260786</v>
      </c>
      <c r="I82">
        <f t="shared" si="23"/>
        <v>1.3971783243252387</v>
      </c>
      <c r="J82">
        <f t="shared" si="24"/>
        <v>1.4703684332124456</v>
      </c>
      <c r="K82">
        <f t="shared" si="25"/>
        <v>5.3764061257003407E-2</v>
      </c>
      <c r="L82">
        <f t="shared" si="26"/>
        <v>1.8714224919522162</v>
      </c>
      <c r="M82">
        <f t="shared" si="27"/>
        <v>1.0034071791530512</v>
      </c>
      <c r="N82">
        <f t="shared" si="28"/>
        <v>1.0022641765816662</v>
      </c>
      <c r="O82">
        <v>4.3308012604313974E-3</v>
      </c>
      <c r="P82">
        <v>4.4533257919390458E-3</v>
      </c>
      <c r="Q82">
        <f t="shared" si="29"/>
        <v>408.52411691517887</v>
      </c>
      <c r="R82">
        <f t="shared" si="30"/>
        <v>0.40852411691517887</v>
      </c>
    </row>
    <row r="83" spans="1:18" x14ac:dyDescent="0.3">
      <c r="A83">
        <v>0.16400000000000001</v>
      </c>
      <c r="B83" s="4">
        <v>13</v>
      </c>
      <c r="C83">
        <v>-48.854361286768203</v>
      </c>
      <c r="D83">
        <v>1.0812641080000001</v>
      </c>
      <c r="E83">
        <f>$E$82+$R$82</f>
        <v>12.355615603298473</v>
      </c>
      <c r="F83">
        <f t="shared" si="20"/>
        <v>5.1443578939164023E-3</v>
      </c>
      <c r="G83">
        <f t="shared" si="21"/>
        <v>1.5910385238916708E-2</v>
      </c>
      <c r="H83">
        <f t="shared" si="22"/>
        <v>197.45547366794588</v>
      </c>
      <c r="I83">
        <f t="shared" si="23"/>
        <v>1.3829071672059681</v>
      </c>
      <c r="J83">
        <f t="shared" si="24"/>
        <v>1.4542894492259628</v>
      </c>
      <c r="K83">
        <f t="shared" si="25"/>
        <v>5.5072316298009585E-2</v>
      </c>
      <c r="L83">
        <f t="shared" si="26"/>
        <v>1.856448867163639</v>
      </c>
      <c r="M83">
        <f t="shared" si="27"/>
        <v>1.0033177489590053</v>
      </c>
      <c r="N83">
        <f t="shared" si="28"/>
        <v>1.0031721161697944</v>
      </c>
      <c r="O83">
        <v>4.3282474814915284E-3</v>
      </c>
      <c r="P83">
        <v>4.4928020087354175E-3</v>
      </c>
      <c r="Q83">
        <f t="shared" si="29"/>
        <v>413.88878486816594</v>
      </c>
      <c r="R83">
        <f t="shared" si="30"/>
        <v>0.41388878486816594</v>
      </c>
    </row>
    <row r="84" spans="1:18" x14ac:dyDescent="0.3">
      <c r="A84">
        <v>0.16600000000000001</v>
      </c>
      <c r="B84" s="4"/>
      <c r="C84">
        <v>-48.854361286768203</v>
      </c>
      <c r="D84">
        <v>1.0812641080000001</v>
      </c>
      <c r="E84">
        <f t="shared" ref="E84:E90" si="33">$E$82+$R$82</f>
        <v>12.355615603298473</v>
      </c>
      <c r="F84">
        <f t="shared" si="20"/>
        <v>5.1443578939164023E-3</v>
      </c>
      <c r="G84">
        <f t="shared" si="21"/>
        <v>1.5910385238916708E-2</v>
      </c>
      <c r="H84">
        <f t="shared" si="22"/>
        <v>197.45547366794588</v>
      </c>
      <c r="I84">
        <f t="shared" si="23"/>
        <v>1.3829071672059681</v>
      </c>
      <c r="J84">
        <f t="shared" si="24"/>
        <v>1.4542894492259628</v>
      </c>
      <c r="K84">
        <f t="shared" si="25"/>
        <v>5.5072316298009585E-2</v>
      </c>
      <c r="L84">
        <f t="shared" si="26"/>
        <v>1.856448867163639</v>
      </c>
      <c r="M84">
        <f t="shared" si="27"/>
        <v>1.0049351228011352</v>
      </c>
      <c r="N84">
        <f t="shared" si="28"/>
        <v>1.0019333881989809</v>
      </c>
      <c r="O84">
        <v>4.3843286146656784E-3</v>
      </c>
      <c r="P84">
        <v>4.4379840691471609E-3</v>
      </c>
      <c r="Q84">
        <f t="shared" si="29"/>
        <v>413.88878486816594</v>
      </c>
      <c r="R84">
        <f t="shared" si="30"/>
        <v>0.41388878486816594</v>
      </c>
    </row>
    <row r="85" spans="1:18" x14ac:dyDescent="0.3">
      <c r="A85">
        <v>0.16800000000000001</v>
      </c>
      <c r="B85" s="4"/>
      <c r="C85">
        <v>-48.854361286768203</v>
      </c>
      <c r="D85">
        <v>1.0812641080000001</v>
      </c>
      <c r="E85">
        <f t="shared" si="33"/>
        <v>12.355615603298473</v>
      </c>
      <c r="F85">
        <f t="shared" si="20"/>
        <v>5.1443578939164023E-3</v>
      </c>
      <c r="G85">
        <f t="shared" si="21"/>
        <v>1.5910385238916708E-2</v>
      </c>
      <c r="H85">
        <f t="shared" si="22"/>
        <v>197.45547366794588</v>
      </c>
      <c r="I85">
        <f t="shared" si="23"/>
        <v>1.3829071672059681</v>
      </c>
      <c r="J85">
        <f t="shared" si="24"/>
        <v>1.4542894492259628</v>
      </c>
      <c r="K85">
        <f t="shared" si="25"/>
        <v>5.5072316298009585E-2</v>
      </c>
      <c r="L85">
        <f t="shared" si="26"/>
        <v>1.856448867163639</v>
      </c>
      <c r="M85">
        <f t="shared" si="27"/>
        <v>1.0070659316453425</v>
      </c>
      <c r="N85">
        <f t="shared" si="28"/>
        <v>1.0009313387716057</v>
      </c>
      <c r="O85">
        <v>4.4459021326579418E-3</v>
      </c>
      <c r="P85">
        <v>4.3788137528600352E-3</v>
      </c>
      <c r="Q85">
        <f t="shared" si="29"/>
        <v>413.88878486816594</v>
      </c>
      <c r="R85">
        <f t="shared" si="30"/>
        <v>0.41388878486816594</v>
      </c>
    </row>
    <row r="86" spans="1:18" x14ac:dyDescent="0.3">
      <c r="A86">
        <v>0.17</v>
      </c>
      <c r="B86" s="4"/>
      <c r="C86">
        <v>-48.854361286768203</v>
      </c>
      <c r="D86">
        <v>1.0812641080000001</v>
      </c>
      <c r="E86">
        <f t="shared" si="33"/>
        <v>12.355615603298473</v>
      </c>
      <c r="F86">
        <f t="shared" si="20"/>
        <v>5.1443578939164023E-3</v>
      </c>
      <c r="G86">
        <f t="shared" si="21"/>
        <v>1.5910385238916708E-2</v>
      </c>
      <c r="H86">
        <f t="shared" si="22"/>
        <v>197.45547366794588</v>
      </c>
      <c r="I86">
        <f t="shared" si="23"/>
        <v>1.3829071672059681</v>
      </c>
      <c r="J86">
        <f t="shared" si="24"/>
        <v>1.4542894492259628</v>
      </c>
      <c r="K86">
        <f t="shared" si="25"/>
        <v>5.5072316298009585E-2</v>
      </c>
      <c r="L86">
        <f t="shared" si="26"/>
        <v>1.856448867163639</v>
      </c>
      <c r="M86">
        <f t="shared" si="27"/>
        <v>1.0079816966295339</v>
      </c>
      <c r="N86">
        <f t="shared" si="28"/>
        <v>1.0003215465010655</v>
      </c>
      <c r="O86">
        <v>4.5004490409645539E-3</v>
      </c>
      <c r="P86">
        <v>4.3244004400667269E-3</v>
      </c>
      <c r="Q86">
        <f t="shared" si="29"/>
        <v>413.88878486816594</v>
      </c>
      <c r="R86">
        <f t="shared" si="30"/>
        <v>0.41388878486816594</v>
      </c>
    </row>
    <row r="87" spans="1:18" x14ac:dyDescent="0.3">
      <c r="A87">
        <v>0.17199999999999999</v>
      </c>
      <c r="B87" s="4"/>
      <c r="C87">
        <v>-48.854361286768203</v>
      </c>
      <c r="D87">
        <v>1.0812641080000001</v>
      </c>
      <c r="E87">
        <f t="shared" si="33"/>
        <v>12.355615603298473</v>
      </c>
      <c r="F87">
        <f t="shared" si="20"/>
        <v>5.1443578939164023E-3</v>
      </c>
      <c r="G87">
        <f t="shared" si="21"/>
        <v>1.5910385238916708E-2</v>
      </c>
      <c r="H87">
        <f t="shared" si="22"/>
        <v>197.45547366794588</v>
      </c>
      <c r="I87">
        <f t="shared" si="23"/>
        <v>1.3829071672059681</v>
      </c>
      <c r="J87">
        <f t="shared" si="24"/>
        <v>1.4542894492259628</v>
      </c>
      <c r="K87">
        <f t="shared" si="25"/>
        <v>5.5072316298009585E-2</v>
      </c>
      <c r="L87">
        <f t="shared" si="26"/>
        <v>1.856448867163639</v>
      </c>
      <c r="M87">
        <f t="shared" si="27"/>
        <v>1.0005287738512394</v>
      </c>
      <c r="N87">
        <f t="shared" si="28"/>
        <v>0.99166559807986376</v>
      </c>
      <c r="O87">
        <v>4.5245877698776998E-3</v>
      </c>
      <c r="P87">
        <v>4.2640495973545207E-3</v>
      </c>
      <c r="Q87">
        <f t="shared" si="29"/>
        <v>413.88878486816594</v>
      </c>
      <c r="R87">
        <f t="shared" si="30"/>
        <v>0.41388878486816594</v>
      </c>
    </row>
    <row r="88" spans="1:18" x14ac:dyDescent="0.3">
      <c r="A88">
        <v>0.17399999999999999</v>
      </c>
      <c r="B88" s="4"/>
      <c r="C88">
        <v>-48.854361286768203</v>
      </c>
      <c r="D88">
        <v>1.0812641080000001</v>
      </c>
      <c r="E88">
        <f t="shared" si="33"/>
        <v>12.355615603298473</v>
      </c>
      <c r="F88">
        <f t="shared" si="20"/>
        <v>5.1443578939164023E-3</v>
      </c>
      <c r="G88">
        <f t="shared" si="21"/>
        <v>1.5910385238916708E-2</v>
      </c>
      <c r="H88">
        <f t="shared" si="22"/>
        <v>197.45547366794588</v>
      </c>
      <c r="I88">
        <f t="shared" si="23"/>
        <v>1.3829071672059681</v>
      </c>
      <c r="J88">
        <f t="shared" si="24"/>
        <v>1.4542894492259628</v>
      </c>
      <c r="K88">
        <f t="shared" si="25"/>
        <v>5.5072316298009585E-2</v>
      </c>
      <c r="L88">
        <f t="shared" si="26"/>
        <v>1.856448867163639</v>
      </c>
      <c r="M88">
        <f t="shared" si="27"/>
        <v>1.0010880619305753</v>
      </c>
      <c r="N88">
        <f t="shared" si="28"/>
        <v>1.0015848642055916</v>
      </c>
      <c r="O88">
        <v>4.5476836487504998E-3</v>
      </c>
      <c r="P88">
        <v>4.2640495973545207E-3</v>
      </c>
      <c r="Q88">
        <f t="shared" si="29"/>
        <v>413.88878486816594</v>
      </c>
      <c r="R88">
        <f t="shared" si="30"/>
        <v>0.41388878486816594</v>
      </c>
    </row>
    <row r="89" spans="1:18" x14ac:dyDescent="0.3">
      <c r="A89">
        <v>0.17599999999999999</v>
      </c>
      <c r="B89" s="4"/>
      <c r="C89">
        <v>-48.854361286768203</v>
      </c>
      <c r="D89">
        <v>1.0812641080000001</v>
      </c>
      <c r="E89">
        <f t="shared" si="33"/>
        <v>12.355615603298473</v>
      </c>
      <c r="F89">
        <f t="shared" si="20"/>
        <v>5.1443578939164023E-3</v>
      </c>
      <c r="G89">
        <f t="shared" si="21"/>
        <v>1.5910385238916708E-2</v>
      </c>
      <c r="H89">
        <f t="shared" si="22"/>
        <v>197.45547366794588</v>
      </c>
      <c r="I89">
        <f t="shared" si="23"/>
        <v>1.3829071672059681</v>
      </c>
      <c r="J89">
        <f t="shared" si="24"/>
        <v>1.4542894492259628</v>
      </c>
      <c r="K89">
        <f t="shared" si="25"/>
        <v>5.5072316298009585E-2</v>
      </c>
      <c r="L89">
        <f t="shared" si="26"/>
        <v>1.856448867163639</v>
      </c>
      <c r="M89">
        <f t="shared" si="27"/>
        <v>1.001092318828138</v>
      </c>
      <c r="N89">
        <f t="shared" si="28"/>
        <v>1.0016568615637051</v>
      </c>
      <c r="O89">
        <v>4.5478515816191872E-3</v>
      </c>
      <c r="P89">
        <v>4.2640495973545207E-3</v>
      </c>
      <c r="Q89">
        <f t="shared" si="29"/>
        <v>413.88878486816594</v>
      </c>
      <c r="R89">
        <f t="shared" si="30"/>
        <v>0.41388878486816594</v>
      </c>
    </row>
    <row r="90" spans="1:18" x14ac:dyDescent="0.3">
      <c r="A90">
        <v>0.17799999999999999</v>
      </c>
      <c r="B90" s="4"/>
      <c r="C90">
        <v>-48.854361286768203</v>
      </c>
      <c r="D90">
        <v>1.0812641080000001</v>
      </c>
      <c r="E90">
        <f t="shared" si="33"/>
        <v>12.355615603298473</v>
      </c>
      <c r="F90">
        <f t="shared" si="20"/>
        <v>5.1443578939164023E-3</v>
      </c>
      <c r="G90">
        <f t="shared" si="21"/>
        <v>1.5910385238916708E-2</v>
      </c>
      <c r="H90">
        <f t="shared" si="22"/>
        <v>197.45547366794588</v>
      </c>
      <c r="I90">
        <f t="shared" si="23"/>
        <v>1.3829071672059681</v>
      </c>
      <c r="J90">
        <f t="shared" si="24"/>
        <v>1.4542894492259628</v>
      </c>
      <c r="K90">
        <f t="shared" si="25"/>
        <v>5.5072316298009585E-2</v>
      </c>
      <c r="L90">
        <f t="shared" si="26"/>
        <v>1.856448867163639</v>
      </c>
      <c r="M90">
        <f t="shared" si="27"/>
        <v>1.0005397819425639</v>
      </c>
      <c r="N90">
        <f t="shared" si="28"/>
        <v>0.99187050700025314</v>
      </c>
      <c r="O90">
        <v>4.5250640613347078E-3</v>
      </c>
      <c r="P90">
        <v>4.2640495973545207E-3</v>
      </c>
      <c r="Q90">
        <f t="shared" si="29"/>
        <v>413.88878486816594</v>
      </c>
      <c r="R90">
        <f t="shared" si="30"/>
        <v>0.41388878486816594</v>
      </c>
    </row>
    <row r="91" spans="1:18" x14ac:dyDescent="0.3">
      <c r="A91">
        <v>0.18</v>
      </c>
      <c r="B91" s="4">
        <v>14</v>
      </c>
      <c r="C91">
        <v>-48.800740953658398</v>
      </c>
      <c r="D91">
        <v>1.0823927769999999</v>
      </c>
      <c r="E91">
        <f>$E$90+$R$90</f>
        <v>12.769504388166638</v>
      </c>
      <c r="F91">
        <f t="shared" si="20"/>
        <v>5.2298110883029544E-3</v>
      </c>
      <c r="G91">
        <f t="shared" si="21"/>
        <v>1.6174673468978211E-2</v>
      </c>
      <c r="H91">
        <f t="shared" si="22"/>
        <v>194.22912367381809</v>
      </c>
      <c r="I91">
        <f t="shared" si="23"/>
        <v>1.3694543819457032</v>
      </c>
      <c r="J91">
        <f t="shared" si="24"/>
        <v>1.4391275544934667</v>
      </c>
      <c r="K91">
        <f t="shared" si="25"/>
        <v>5.637312111999751E-2</v>
      </c>
      <c r="L91">
        <f t="shared" si="26"/>
        <v>1.8423002294792279</v>
      </c>
      <c r="M91">
        <f t="shared" si="27"/>
        <v>1.0013877446683233</v>
      </c>
      <c r="N91">
        <f t="shared" si="28"/>
        <v>0.99158917192101681</v>
      </c>
      <c r="O91">
        <v>4.5595496999288618E-3</v>
      </c>
      <c r="P91">
        <v>4.2640495973545207E-3</v>
      </c>
      <c r="Q91">
        <f t="shared" si="29"/>
        <v>419.69669468997796</v>
      </c>
      <c r="R91">
        <f t="shared" si="30"/>
        <v>0.41969669468997794</v>
      </c>
    </row>
    <row r="92" spans="1:18" x14ac:dyDescent="0.3">
      <c r="A92">
        <v>0.182</v>
      </c>
      <c r="B92" s="4"/>
      <c r="C92">
        <v>-48.800740953658398</v>
      </c>
      <c r="D92">
        <v>1.0823927769999999</v>
      </c>
      <c r="E92">
        <f t="shared" ref="E92:E98" si="34">$E$90+$R$90</f>
        <v>12.769504388166638</v>
      </c>
      <c r="F92">
        <f t="shared" si="20"/>
        <v>5.2298110883029544E-3</v>
      </c>
      <c r="G92">
        <f t="shared" si="21"/>
        <v>1.6174673468978211E-2</v>
      </c>
      <c r="H92">
        <f t="shared" si="22"/>
        <v>194.22912367381809</v>
      </c>
      <c r="I92">
        <f t="shared" si="23"/>
        <v>1.3694543819457032</v>
      </c>
      <c r="J92">
        <f t="shared" si="24"/>
        <v>1.4391275544934667</v>
      </c>
      <c r="K92">
        <f t="shared" si="25"/>
        <v>5.637312111999751E-2</v>
      </c>
      <c r="L92">
        <f t="shared" si="26"/>
        <v>1.8423002294792279</v>
      </c>
      <c r="M92">
        <f t="shared" si="27"/>
        <v>1.0005514672423315</v>
      </c>
      <c r="N92">
        <f t="shared" si="28"/>
        <v>1.0002546527633349</v>
      </c>
      <c r="O92">
        <v>4.5257056137796865E-3</v>
      </c>
      <c r="P92">
        <v>4.3162617857654285E-3</v>
      </c>
      <c r="Q92">
        <f t="shared" si="29"/>
        <v>419.69669468997796</v>
      </c>
      <c r="R92">
        <f t="shared" si="30"/>
        <v>0.41969669468997794</v>
      </c>
    </row>
    <row r="93" spans="1:18" x14ac:dyDescent="0.3">
      <c r="A93">
        <v>0.184</v>
      </c>
      <c r="B93" s="4"/>
      <c r="C93">
        <v>-48.800740953658398</v>
      </c>
      <c r="D93">
        <v>1.0823927769999999</v>
      </c>
      <c r="E93">
        <f t="shared" si="34"/>
        <v>12.769504388166638</v>
      </c>
      <c r="F93">
        <f t="shared" si="20"/>
        <v>5.2298110883029544E-3</v>
      </c>
      <c r="G93">
        <f t="shared" si="21"/>
        <v>1.6174673468978211E-2</v>
      </c>
      <c r="H93">
        <f t="shared" si="22"/>
        <v>194.22912367381809</v>
      </c>
      <c r="I93">
        <f t="shared" si="23"/>
        <v>1.3694543819457032</v>
      </c>
      <c r="J93">
        <f t="shared" si="24"/>
        <v>1.4391275544934667</v>
      </c>
      <c r="K93">
        <f t="shared" si="25"/>
        <v>5.637312111999751E-2</v>
      </c>
      <c r="L93">
        <f t="shared" si="26"/>
        <v>1.8423002294792279</v>
      </c>
      <c r="M93">
        <f t="shared" si="27"/>
        <v>1.0090456582933924</v>
      </c>
      <c r="N93">
        <f t="shared" si="28"/>
        <v>1.0007498246080078</v>
      </c>
      <c r="O93">
        <v>4.4966991018850263E-3</v>
      </c>
      <c r="P93">
        <v>4.3655147641058186E-3</v>
      </c>
      <c r="Q93">
        <f t="shared" si="29"/>
        <v>419.69669468997796</v>
      </c>
      <c r="R93">
        <f t="shared" si="30"/>
        <v>0.41969669468997794</v>
      </c>
    </row>
    <row r="94" spans="1:18" x14ac:dyDescent="0.3">
      <c r="A94">
        <v>0.186</v>
      </c>
      <c r="B94" s="4"/>
      <c r="C94">
        <v>-48.800740953658398</v>
      </c>
      <c r="D94">
        <v>1.0823927769999999</v>
      </c>
      <c r="E94">
        <f t="shared" si="34"/>
        <v>12.769504388166638</v>
      </c>
      <c r="F94">
        <f t="shared" si="20"/>
        <v>5.2298110883029544E-3</v>
      </c>
      <c r="G94">
        <f t="shared" si="21"/>
        <v>1.6174673468978211E-2</v>
      </c>
      <c r="H94">
        <f t="shared" si="22"/>
        <v>194.22912367381809</v>
      </c>
      <c r="I94">
        <f t="shared" si="23"/>
        <v>1.3694543819457032</v>
      </c>
      <c r="J94">
        <f t="shared" si="24"/>
        <v>1.4391275544934667</v>
      </c>
      <c r="K94">
        <f t="shared" si="25"/>
        <v>5.637312111999751E-2</v>
      </c>
      <c r="L94">
        <f t="shared" si="26"/>
        <v>1.8423002294792279</v>
      </c>
      <c r="M94">
        <f t="shared" si="27"/>
        <v>1.0066354111691376</v>
      </c>
      <c r="N94">
        <f t="shared" si="28"/>
        <v>1.0016529561577243</v>
      </c>
      <c r="O94">
        <v>4.4353900350255181E-3</v>
      </c>
      <c r="P94">
        <v>4.4238960632489669E-3</v>
      </c>
      <c r="Q94">
        <f t="shared" si="29"/>
        <v>419.69669468997796</v>
      </c>
      <c r="R94">
        <f t="shared" si="30"/>
        <v>0.41969669468997794</v>
      </c>
    </row>
    <row r="95" spans="1:18" x14ac:dyDescent="0.3">
      <c r="A95">
        <v>0.188</v>
      </c>
      <c r="B95" s="4"/>
      <c r="C95">
        <v>-48.800740953658398</v>
      </c>
      <c r="D95">
        <v>1.0823927769999999</v>
      </c>
      <c r="E95">
        <f t="shared" si="34"/>
        <v>12.769504388166638</v>
      </c>
      <c r="F95">
        <f t="shared" si="20"/>
        <v>5.2298110883029544E-3</v>
      </c>
      <c r="G95">
        <f t="shared" si="21"/>
        <v>1.6174673468978211E-2</v>
      </c>
      <c r="H95">
        <f t="shared" si="22"/>
        <v>194.22912367381809</v>
      </c>
      <c r="I95">
        <f t="shared" si="23"/>
        <v>1.3694543819457032</v>
      </c>
      <c r="J95">
        <f t="shared" si="24"/>
        <v>1.4391275544934667</v>
      </c>
      <c r="K95">
        <f t="shared" si="25"/>
        <v>5.637312111999751E-2</v>
      </c>
      <c r="L95">
        <f t="shared" si="26"/>
        <v>1.8423002294792279</v>
      </c>
      <c r="M95">
        <f t="shared" si="27"/>
        <v>1.0046020335626611</v>
      </c>
      <c r="N95">
        <f t="shared" si="28"/>
        <v>1.0029072521917712</v>
      </c>
      <c r="O95">
        <v>4.3745594202252141E-3</v>
      </c>
      <c r="P95">
        <v>4.4828184515204655E-3</v>
      </c>
      <c r="Q95">
        <f t="shared" si="29"/>
        <v>419.69669468997796</v>
      </c>
      <c r="R95">
        <f t="shared" si="30"/>
        <v>0.41969669468997794</v>
      </c>
    </row>
    <row r="96" spans="1:18" x14ac:dyDescent="0.3">
      <c r="A96">
        <v>0.19</v>
      </c>
      <c r="B96" s="4"/>
      <c r="C96">
        <v>-48.800740953658398</v>
      </c>
      <c r="D96">
        <v>1.0823927769999999</v>
      </c>
      <c r="E96">
        <f t="shared" si="34"/>
        <v>12.769504388166638</v>
      </c>
      <c r="F96">
        <f t="shared" si="20"/>
        <v>5.2298110883029544E-3</v>
      </c>
      <c r="G96">
        <f t="shared" si="21"/>
        <v>1.6174673468978211E-2</v>
      </c>
      <c r="H96">
        <f t="shared" si="22"/>
        <v>194.22912367381809</v>
      </c>
      <c r="I96">
        <f t="shared" si="23"/>
        <v>1.3694543819457032</v>
      </c>
      <c r="J96">
        <f t="shared" si="24"/>
        <v>1.4391275544934667</v>
      </c>
      <c r="K96">
        <f t="shared" si="25"/>
        <v>5.637312111999751E-2</v>
      </c>
      <c r="L96">
        <f t="shared" si="26"/>
        <v>1.8423002294792279</v>
      </c>
      <c r="M96">
        <f t="shared" si="27"/>
        <v>1.0031659208712715</v>
      </c>
      <c r="N96">
        <f t="shared" si="28"/>
        <v>1.0042547247742981</v>
      </c>
      <c r="O96">
        <v>4.3231574230517371E-3</v>
      </c>
      <c r="P96">
        <v>4.5334009452324131E-3</v>
      </c>
      <c r="Q96">
        <f t="shared" si="29"/>
        <v>419.69669468997796</v>
      </c>
      <c r="R96">
        <f t="shared" si="30"/>
        <v>0.41969669468997794</v>
      </c>
    </row>
    <row r="97" spans="1:18" x14ac:dyDescent="0.3">
      <c r="A97">
        <v>0.192</v>
      </c>
      <c r="B97" s="4"/>
      <c r="C97">
        <v>-48.800740953658398</v>
      </c>
      <c r="D97">
        <v>1.0823927769999999</v>
      </c>
      <c r="E97">
        <f t="shared" si="34"/>
        <v>12.769504388166638</v>
      </c>
      <c r="F97">
        <f t="shared" si="20"/>
        <v>5.2298110883029544E-3</v>
      </c>
      <c r="G97">
        <f t="shared" si="21"/>
        <v>1.6174673468978211E-2</v>
      </c>
      <c r="H97">
        <f t="shared" si="22"/>
        <v>194.22912367381809</v>
      </c>
      <c r="I97">
        <f t="shared" si="23"/>
        <v>1.3694543819457032</v>
      </c>
      <c r="J97">
        <f t="shared" si="24"/>
        <v>1.4391275544934667</v>
      </c>
      <c r="K97">
        <f t="shared" si="25"/>
        <v>5.637312111999751E-2</v>
      </c>
      <c r="L97">
        <f t="shared" si="26"/>
        <v>1.8423002294792279</v>
      </c>
      <c r="M97">
        <f t="shared" si="27"/>
        <v>1.0023469723944716</v>
      </c>
      <c r="N97">
        <f t="shared" si="28"/>
        <v>1.0053136775835616</v>
      </c>
      <c r="O97">
        <v>4.2885773893477147E-3</v>
      </c>
      <c r="P97">
        <v>4.5678469021806119E-3</v>
      </c>
      <c r="Q97">
        <f t="shared" si="29"/>
        <v>419.69669468997796</v>
      </c>
      <c r="R97">
        <f t="shared" si="30"/>
        <v>0.41969669468997794</v>
      </c>
    </row>
    <row r="98" spans="1:18" x14ac:dyDescent="0.3">
      <c r="A98">
        <v>0.19400000000000001</v>
      </c>
      <c r="B98" s="4"/>
      <c r="C98">
        <v>-48.800740953658398</v>
      </c>
      <c r="D98">
        <v>1.0823927769999999</v>
      </c>
      <c r="E98">
        <f t="shared" si="34"/>
        <v>12.769504388166638</v>
      </c>
      <c r="F98">
        <f t="shared" si="20"/>
        <v>5.2298110883029544E-3</v>
      </c>
      <c r="G98">
        <f t="shared" si="21"/>
        <v>1.6174673468978211E-2</v>
      </c>
      <c r="H98">
        <f t="shared" si="22"/>
        <v>194.22912367381809</v>
      </c>
      <c r="I98">
        <f t="shared" si="23"/>
        <v>1.3694543819457032</v>
      </c>
      <c r="J98">
        <f t="shared" si="24"/>
        <v>1.4391275544934667</v>
      </c>
      <c r="K98">
        <f t="shared" si="25"/>
        <v>5.637312111999751E-2</v>
      </c>
      <c r="L98">
        <f t="shared" si="26"/>
        <v>1.8423002294792279</v>
      </c>
      <c r="M98">
        <f t="shared" si="27"/>
        <v>1.0020726285317469</v>
      </c>
      <c r="N98">
        <f t="shared" si="28"/>
        <v>1.0057397524280438</v>
      </c>
      <c r="O98">
        <v>4.2757061610705863E-3</v>
      </c>
      <c r="P98">
        <v>4.5807551419445548E-3</v>
      </c>
      <c r="Q98">
        <f t="shared" si="29"/>
        <v>419.69669468997796</v>
      </c>
      <c r="R98">
        <f t="shared" si="30"/>
        <v>0.41969669468997794</v>
      </c>
    </row>
    <row r="99" spans="1:18" x14ac:dyDescent="0.3">
      <c r="A99">
        <v>0.19600000000000001</v>
      </c>
      <c r="B99" s="4">
        <v>15</v>
      </c>
      <c r="C99">
        <v>-48.785420858484201</v>
      </c>
      <c r="D99">
        <v>1.0869074489999999</v>
      </c>
      <c r="E99">
        <f>$E$98+$R$98</f>
        <v>13.189201082856616</v>
      </c>
      <c r="F99">
        <f t="shared" si="20"/>
        <v>5.315060660500812E-3</v>
      </c>
      <c r="G99">
        <f t="shared" si="21"/>
        <v>1.6438331939693233E-2</v>
      </c>
      <c r="H99">
        <f t="shared" si="22"/>
        <v>191.11383473184813</v>
      </c>
      <c r="I99">
        <f t="shared" si="23"/>
        <v>1.3567419754374888</v>
      </c>
      <c r="J99">
        <f t="shared" si="24"/>
        <v>1.4277086332118916</v>
      </c>
      <c r="K99">
        <f t="shared" si="25"/>
        <v>5.9847091425281176E-2</v>
      </c>
      <c r="L99">
        <f t="shared" si="26"/>
        <v>1.8278521054187429</v>
      </c>
      <c r="M99">
        <f t="shared" si="27"/>
        <v>1.0023419666860554</v>
      </c>
      <c r="N99">
        <f t="shared" si="28"/>
        <v>1.0065251169946723</v>
      </c>
      <c r="O99">
        <v>4.2890754681140057E-3</v>
      </c>
      <c r="P99">
        <v>4.6044559874029991E-3</v>
      </c>
      <c r="Q99">
        <f t="shared" si="29"/>
        <v>442.15997762775987</v>
      </c>
      <c r="R99">
        <f t="shared" si="30"/>
        <v>0.44215997762775988</v>
      </c>
    </row>
    <row r="100" spans="1:18" x14ac:dyDescent="0.3">
      <c r="A100">
        <v>0.19800000000000001</v>
      </c>
      <c r="B100" s="4"/>
      <c r="C100">
        <v>-48.785420858484201</v>
      </c>
      <c r="D100">
        <v>1.0869074489999999</v>
      </c>
      <c r="E100">
        <f t="shared" ref="E100:E106" si="35">$E$98+$R$98</f>
        <v>13.189201082856616</v>
      </c>
      <c r="F100">
        <f t="shared" si="20"/>
        <v>5.315060660500812E-3</v>
      </c>
      <c r="G100">
        <f t="shared" si="21"/>
        <v>1.6438331939693233E-2</v>
      </c>
      <c r="H100">
        <f t="shared" si="22"/>
        <v>191.11383473184813</v>
      </c>
      <c r="I100">
        <f t="shared" si="23"/>
        <v>1.3567419754374888</v>
      </c>
      <c r="J100">
        <f t="shared" si="24"/>
        <v>1.4277086332118916</v>
      </c>
      <c r="K100">
        <f t="shared" si="25"/>
        <v>5.9847091425281176E-2</v>
      </c>
      <c r="L100">
        <f t="shared" si="26"/>
        <v>1.8278521054187429</v>
      </c>
      <c r="M100">
        <f t="shared" si="27"/>
        <v>1.002273166909236</v>
      </c>
      <c r="N100">
        <f t="shared" si="28"/>
        <v>1.0066392836706191</v>
      </c>
      <c r="O100">
        <v>4.2859062077309669E-3</v>
      </c>
      <c r="P100">
        <v>4.6076421382312428E-3</v>
      </c>
      <c r="Q100">
        <f t="shared" si="29"/>
        <v>442.15997762775987</v>
      </c>
      <c r="R100">
        <f t="shared" si="30"/>
        <v>0.44215997762775988</v>
      </c>
    </row>
    <row r="101" spans="1:18" x14ac:dyDescent="0.3">
      <c r="A101">
        <v>0.2</v>
      </c>
      <c r="B101" s="4"/>
      <c r="C101">
        <v>-48.785420858484201</v>
      </c>
      <c r="D101">
        <v>1.0869074489999999</v>
      </c>
      <c r="E101">
        <f t="shared" si="35"/>
        <v>13.189201082856616</v>
      </c>
      <c r="F101">
        <f t="shared" si="20"/>
        <v>5.315060660500812E-3</v>
      </c>
      <c r="G101">
        <f t="shared" si="21"/>
        <v>1.6438331939693233E-2</v>
      </c>
      <c r="H101">
        <f t="shared" si="22"/>
        <v>191.11383473184813</v>
      </c>
      <c r="I101">
        <f t="shared" si="23"/>
        <v>1.3567419754374888</v>
      </c>
      <c r="J101">
        <f t="shared" si="24"/>
        <v>1.4277086332118916</v>
      </c>
      <c r="K101">
        <f t="shared" si="25"/>
        <v>5.9847091425281176E-2</v>
      </c>
      <c r="L101">
        <f t="shared" si="26"/>
        <v>1.8278521054187429</v>
      </c>
      <c r="M101">
        <f t="shared" si="27"/>
        <v>1.0027442396674406</v>
      </c>
      <c r="N101">
        <f t="shared" si="28"/>
        <v>1.0059073105205332</v>
      </c>
      <c r="O101">
        <v>4.3067623863824629E-3</v>
      </c>
      <c r="P101">
        <v>4.5867260616457659E-3</v>
      </c>
      <c r="Q101">
        <f t="shared" si="29"/>
        <v>442.15997762775987</v>
      </c>
      <c r="R101">
        <f t="shared" si="30"/>
        <v>0.44215997762775988</v>
      </c>
    </row>
    <row r="102" spans="1:18" x14ac:dyDescent="0.3">
      <c r="A102">
        <v>0.20200000000000001</v>
      </c>
      <c r="B102" s="4"/>
      <c r="C102">
        <v>-48.785420858484201</v>
      </c>
      <c r="D102">
        <v>1.0869074489999999</v>
      </c>
      <c r="E102">
        <f t="shared" si="35"/>
        <v>13.189201082856616</v>
      </c>
      <c r="F102">
        <f t="shared" si="20"/>
        <v>5.315060660500812E-3</v>
      </c>
      <c r="G102">
        <f t="shared" si="21"/>
        <v>1.6438331939693233E-2</v>
      </c>
      <c r="H102">
        <f t="shared" si="22"/>
        <v>191.11383473184813</v>
      </c>
      <c r="I102">
        <f t="shared" si="23"/>
        <v>1.3567419754374888</v>
      </c>
      <c r="J102">
        <f t="shared" si="24"/>
        <v>1.4277086332118916</v>
      </c>
      <c r="K102">
        <f t="shared" si="25"/>
        <v>5.9847091425281176E-2</v>
      </c>
      <c r="L102">
        <f t="shared" si="26"/>
        <v>1.8278521054187429</v>
      </c>
      <c r="M102">
        <f t="shared" si="27"/>
        <v>1.0038248805815644</v>
      </c>
      <c r="N102">
        <f t="shared" si="28"/>
        <v>1.0045684557340901</v>
      </c>
      <c r="O102">
        <v>4.3488176076456877E-3</v>
      </c>
      <c r="P102">
        <v>4.5449146560412341E-3</v>
      </c>
      <c r="Q102">
        <f t="shared" si="29"/>
        <v>442.15997762775987</v>
      </c>
      <c r="R102">
        <f t="shared" si="30"/>
        <v>0.44215997762775988</v>
      </c>
    </row>
    <row r="103" spans="1:18" x14ac:dyDescent="0.3">
      <c r="A103">
        <v>0.20399999999999999</v>
      </c>
      <c r="B103" s="4"/>
      <c r="C103">
        <v>-48.785420858484201</v>
      </c>
      <c r="D103">
        <v>1.0869074489999999</v>
      </c>
      <c r="E103">
        <f t="shared" si="35"/>
        <v>13.189201082856616</v>
      </c>
      <c r="F103">
        <f t="shared" si="20"/>
        <v>5.315060660500812E-3</v>
      </c>
      <c r="G103">
        <f t="shared" si="21"/>
        <v>1.6438331939693233E-2</v>
      </c>
      <c r="H103">
        <f t="shared" si="22"/>
        <v>191.11383473184813</v>
      </c>
      <c r="I103">
        <f t="shared" si="23"/>
        <v>1.3567419754374888</v>
      </c>
      <c r="J103">
        <f t="shared" si="24"/>
        <v>1.4277086332118916</v>
      </c>
      <c r="K103">
        <f t="shared" si="25"/>
        <v>5.9847091425281176E-2</v>
      </c>
      <c r="L103">
        <f t="shared" si="26"/>
        <v>1.8278521054187429</v>
      </c>
      <c r="M103">
        <f t="shared" si="27"/>
        <v>1.005581979604691</v>
      </c>
      <c r="N103">
        <f t="shared" si="28"/>
        <v>1.0030284456039429</v>
      </c>
      <c r="O103">
        <v>4.4063000725632039E-3</v>
      </c>
      <c r="P103">
        <v>4.4885409758871012E-3</v>
      </c>
      <c r="Q103">
        <f t="shared" si="29"/>
        <v>442.15997762775987</v>
      </c>
      <c r="R103">
        <f t="shared" si="30"/>
        <v>0.44215997762775988</v>
      </c>
    </row>
    <row r="104" spans="1:18" x14ac:dyDescent="0.3">
      <c r="A104">
        <v>0.20599999999999999</v>
      </c>
      <c r="B104" s="4"/>
      <c r="C104">
        <v>-48.785420858484201</v>
      </c>
      <c r="D104">
        <v>1.0869074489999999</v>
      </c>
      <c r="E104">
        <f t="shared" si="35"/>
        <v>13.189201082856616</v>
      </c>
      <c r="F104">
        <f t="shared" si="20"/>
        <v>5.315060660500812E-3</v>
      </c>
      <c r="G104">
        <f t="shared" si="21"/>
        <v>1.6438331939693233E-2</v>
      </c>
      <c r="H104">
        <f t="shared" si="22"/>
        <v>191.11383473184813</v>
      </c>
      <c r="I104">
        <f t="shared" si="23"/>
        <v>1.3567419754374888</v>
      </c>
      <c r="J104">
        <f t="shared" si="24"/>
        <v>1.4277086332118916</v>
      </c>
      <c r="K104">
        <f t="shared" si="25"/>
        <v>5.9847091425281176E-2</v>
      </c>
      <c r="L104">
        <f t="shared" si="26"/>
        <v>1.8278521054187429</v>
      </c>
      <c r="M104">
        <f t="shared" si="27"/>
        <v>1.0079479780038796</v>
      </c>
      <c r="N104">
        <f t="shared" si="28"/>
        <v>1.0016807570976489</v>
      </c>
      <c r="O104">
        <v>4.4711631548678922E-3</v>
      </c>
      <c r="P104">
        <v>4.4259807724665928E-3</v>
      </c>
      <c r="Q104">
        <f t="shared" si="29"/>
        <v>442.15997762775987</v>
      </c>
      <c r="R104">
        <f t="shared" si="30"/>
        <v>0.44215997762775988</v>
      </c>
    </row>
    <row r="105" spans="1:18" x14ac:dyDescent="0.3">
      <c r="A105">
        <v>0.20799999999999999</v>
      </c>
      <c r="B105" s="4"/>
      <c r="C105">
        <v>-48.785420858484201</v>
      </c>
      <c r="D105">
        <v>1.0869074489999999</v>
      </c>
      <c r="E105">
        <f t="shared" si="35"/>
        <v>13.189201082856616</v>
      </c>
      <c r="F105">
        <f t="shared" si="20"/>
        <v>5.315060660500812E-3</v>
      </c>
      <c r="G105">
        <f t="shared" si="21"/>
        <v>1.6438331939693233E-2</v>
      </c>
      <c r="H105">
        <f t="shared" si="22"/>
        <v>191.11383473184813</v>
      </c>
      <c r="I105">
        <f t="shared" si="23"/>
        <v>1.3567419754374888</v>
      </c>
      <c r="J105">
        <f t="shared" si="24"/>
        <v>1.4277086332118916</v>
      </c>
      <c r="K105">
        <f t="shared" si="25"/>
        <v>5.9847091425281176E-2</v>
      </c>
      <c r="L105">
        <f t="shared" si="26"/>
        <v>1.8278521054187429</v>
      </c>
      <c r="M105">
        <f t="shared" si="27"/>
        <v>0.99527149109067348</v>
      </c>
      <c r="N105">
        <f t="shared" si="28"/>
        <v>1.0007548927457792</v>
      </c>
      <c r="O105">
        <v>4.5004490409645539E-3</v>
      </c>
      <c r="P105">
        <v>4.3663110731311464E-3</v>
      </c>
      <c r="Q105">
        <f t="shared" si="29"/>
        <v>442.15997762775987</v>
      </c>
      <c r="R105">
        <f t="shared" si="30"/>
        <v>0.44215997762775988</v>
      </c>
    </row>
    <row r="106" spans="1:18" x14ac:dyDescent="0.3">
      <c r="A106">
        <v>0.21</v>
      </c>
      <c r="B106" s="4"/>
      <c r="C106">
        <v>-48.785420858484201</v>
      </c>
      <c r="D106">
        <v>1.0869074489999999</v>
      </c>
      <c r="E106">
        <f t="shared" si="35"/>
        <v>13.189201082856616</v>
      </c>
      <c r="F106">
        <f t="shared" si="20"/>
        <v>5.315060660500812E-3</v>
      </c>
      <c r="G106">
        <f t="shared" si="21"/>
        <v>1.6438331939693233E-2</v>
      </c>
      <c r="H106">
        <f t="shared" si="22"/>
        <v>191.11383473184813</v>
      </c>
      <c r="I106">
        <f t="shared" si="23"/>
        <v>1.3567419754374888</v>
      </c>
      <c r="J106">
        <f t="shared" si="24"/>
        <v>1.4277086332118916</v>
      </c>
      <c r="K106">
        <f t="shared" si="25"/>
        <v>5.9847091425281176E-2</v>
      </c>
      <c r="L106">
        <f t="shared" si="26"/>
        <v>1.8278521054187429</v>
      </c>
      <c r="M106">
        <f t="shared" si="27"/>
        <v>1.0014031266061081</v>
      </c>
      <c r="N106">
        <f t="shared" si="28"/>
        <v>1.0002659755797534</v>
      </c>
      <c r="O106">
        <v>4.5604490202108836E-3</v>
      </c>
      <c r="P106">
        <v>4.3179772875544253E-3</v>
      </c>
      <c r="Q106">
        <f t="shared" si="29"/>
        <v>442.15997762775987</v>
      </c>
      <c r="R106">
        <f t="shared" si="30"/>
        <v>0.44215997762775988</v>
      </c>
    </row>
    <row r="107" spans="1:18" x14ac:dyDescent="0.3">
      <c r="A107">
        <v>0.21199999999999999</v>
      </c>
      <c r="B107" s="4">
        <v>16</v>
      </c>
      <c r="C107">
        <v>-48.754780668135702</v>
      </c>
      <c r="D107">
        <v>1.0880361169999999</v>
      </c>
      <c r="E107">
        <f>$E$106+$R$106</f>
        <v>13.631361060484377</v>
      </c>
      <c r="F107">
        <f t="shared" si="20"/>
        <v>5.4034183254478181E-3</v>
      </c>
      <c r="G107">
        <f t="shared" si="21"/>
        <v>1.6711603068395316E-2</v>
      </c>
      <c r="H107">
        <f t="shared" si="22"/>
        <v>187.98870705175597</v>
      </c>
      <c r="I107">
        <f t="shared" si="23"/>
        <v>1.3442596990790434</v>
      </c>
      <c r="J107">
        <f t="shared" si="24"/>
        <v>1.4134847627024714</v>
      </c>
      <c r="K107">
        <f t="shared" si="25"/>
        <v>6.1175302042730369E-2</v>
      </c>
      <c r="L107">
        <f t="shared" si="26"/>
        <v>1.8146608418277901</v>
      </c>
      <c r="M107">
        <f t="shared" si="27"/>
        <v>1.0009968599473986</v>
      </c>
      <c r="N107">
        <f t="shared" si="28"/>
        <v>1.0007536467998759</v>
      </c>
      <c r="O107">
        <v>4.5447521147304795E-3</v>
      </c>
      <c r="P107">
        <v>4.36658001975235E-3</v>
      </c>
      <c r="Q107">
        <f t="shared" si="29"/>
        <v>447.74326843764197</v>
      </c>
      <c r="R107">
        <f t="shared" si="30"/>
        <v>0.44774326843764195</v>
      </c>
    </row>
    <row r="108" spans="1:18" x14ac:dyDescent="0.3">
      <c r="A108">
        <v>0.214</v>
      </c>
      <c r="B108" s="4"/>
      <c r="C108">
        <v>-48.754780668135702</v>
      </c>
      <c r="D108">
        <v>1.0880361169999999</v>
      </c>
      <c r="E108">
        <f t="shared" ref="E108:E114" si="36">$E$106+$R$106</f>
        <v>13.631361060484377</v>
      </c>
      <c r="F108">
        <f t="shared" si="20"/>
        <v>5.4034183254478181E-3</v>
      </c>
      <c r="G108">
        <f t="shared" si="21"/>
        <v>1.6711603068395316E-2</v>
      </c>
      <c r="H108">
        <f t="shared" si="22"/>
        <v>187.98870705175597</v>
      </c>
      <c r="I108">
        <f t="shared" si="23"/>
        <v>1.3442596990790434</v>
      </c>
      <c r="J108">
        <f t="shared" si="24"/>
        <v>1.4134847627024714</v>
      </c>
      <c r="K108">
        <f t="shared" si="25"/>
        <v>6.1175302042730369E-2</v>
      </c>
      <c r="L108">
        <f t="shared" si="26"/>
        <v>1.8146608418277901</v>
      </c>
      <c r="M108">
        <f t="shared" si="27"/>
        <v>1.0022160866340013</v>
      </c>
      <c r="N108">
        <f t="shared" si="28"/>
        <v>1.0002955503820448</v>
      </c>
      <c r="O108">
        <v>4.5902248682068332E-3</v>
      </c>
      <c r="P108">
        <v>4.3219661147369413E-3</v>
      </c>
      <c r="Q108">
        <f t="shared" si="29"/>
        <v>447.74326843764197</v>
      </c>
      <c r="R108">
        <f t="shared" si="30"/>
        <v>0.44774326843764195</v>
      </c>
    </row>
    <row r="109" spans="1:18" x14ac:dyDescent="0.3">
      <c r="A109">
        <v>0.216</v>
      </c>
      <c r="B109" s="4"/>
      <c r="C109">
        <v>-48.754780668135702</v>
      </c>
      <c r="D109">
        <v>1.0880361169999999</v>
      </c>
      <c r="E109">
        <f t="shared" si="36"/>
        <v>13.631361060484377</v>
      </c>
      <c r="F109">
        <f t="shared" si="20"/>
        <v>5.4034183254478181E-3</v>
      </c>
      <c r="G109">
        <f t="shared" si="21"/>
        <v>1.6711603068395316E-2</v>
      </c>
      <c r="H109">
        <f t="shared" si="22"/>
        <v>187.98870705175597</v>
      </c>
      <c r="I109">
        <f t="shared" si="23"/>
        <v>1.3442596990790434</v>
      </c>
      <c r="J109">
        <f t="shared" si="24"/>
        <v>1.4134847627024714</v>
      </c>
      <c r="K109">
        <f t="shared" si="25"/>
        <v>6.1175302042730369E-2</v>
      </c>
      <c r="L109">
        <f t="shared" si="26"/>
        <v>1.8146608418277901</v>
      </c>
      <c r="M109">
        <f t="shared" si="27"/>
        <v>1.003007264918218</v>
      </c>
      <c r="N109">
        <f t="shared" si="28"/>
        <v>1.0001238977827747</v>
      </c>
      <c r="O109">
        <v>4.6164053116503328E-3</v>
      </c>
      <c r="P109">
        <v>4.2965302724786133E-3</v>
      </c>
      <c r="Q109">
        <f t="shared" si="29"/>
        <v>447.74326843764197</v>
      </c>
      <c r="R109">
        <f t="shared" si="30"/>
        <v>0.44774326843764195</v>
      </c>
    </row>
    <row r="110" spans="1:18" x14ac:dyDescent="0.3">
      <c r="A110">
        <v>0.218</v>
      </c>
      <c r="B110" s="4"/>
      <c r="C110">
        <v>-48.754780668135702</v>
      </c>
      <c r="D110">
        <v>1.0880361169999999</v>
      </c>
      <c r="E110">
        <f t="shared" si="36"/>
        <v>13.631361060484377</v>
      </c>
      <c r="F110">
        <f t="shared" si="20"/>
        <v>5.4034183254478181E-3</v>
      </c>
      <c r="G110">
        <f t="shared" si="21"/>
        <v>1.6711603068395316E-2</v>
      </c>
      <c r="H110">
        <f t="shared" si="22"/>
        <v>187.98870705175597</v>
      </c>
      <c r="I110">
        <f t="shared" si="23"/>
        <v>1.3442596990790434</v>
      </c>
      <c r="J110">
        <f t="shared" si="24"/>
        <v>1.4134847627024714</v>
      </c>
      <c r="K110">
        <f t="shared" si="25"/>
        <v>6.1175302042730369E-2</v>
      </c>
      <c r="L110">
        <f t="shared" si="26"/>
        <v>1.8146608418277901</v>
      </c>
      <c r="M110">
        <f t="shared" si="27"/>
        <v>1.0031024273171703</v>
      </c>
      <c r="N110">
        <f t="shared" si="28"/>
        <v>1.0001084067123407</v>
      </c>
      <c r="O110">
        <v>4.6194167817061775E-3</v>
      </c>
      <c r="P110">
        <v>4.2936160548468728E-3</v>
      </c>
      <c r="Q110">
        <f t="shared" si="29"/>
        <v>447.74326843764197</v>
      </c>
      <c r="R110">
        <f t="shared" si="30"/>
        <v>0.44774326843764195</v>
      </c>
    </row>
    <row r="111" spans="1:18" x14ac:dyDescent="0.3">
      <c r="A111">
        <v>0.22</v>
      </c>
      <c r="B111" s="4"/>
      <c r="C111">
        <v>-48.754780668135702</v>
      </c>
      <c r="D111">
        <v>1.0880361169999999</v>
      </c>
      <c r="E111">
        <f t="shared" si="36"/>
        <v>13.631361060484377</v>
      </c>
      <c r="F111">
        <f t="shared" si="20"/>
        <v>5.4034183254478181E-3</v>
      </c>
      <c r="G111">
        <f t="shared" si="21"/>
        <v>1.6711603068395316E-2</v>
      </c>
      <c r="H111">
        <f t="shared" si="22"/>
        <v>187.98870705175597</v>
      </c>
      <c r="I111">
        <f t="shared" si="23"/>
        <v>1.3442596990790434</v>
      </c>
      <c r="J111">
        <f t="shared" si="24"/>
        <v>1.4134847627024714</v>
      </c>
      <c r="K111">
        <f t="shared" si="25"/>
        <v>6.1175302042730369E-2</v>
      </c>
      <c r="L111">
        <f t="shared" si="26"/>
        <v>1.8146608418277901</v>
      </c>
      <c r="M111">
        <f t="shared" si="27"/>
        <v>1.0024684048105452</v>
      </c>
      <c r="N111">
        <f t="shared" si="28"/>
        <v>1.0002319173424201</v>
      </c>
      <c r="O111">
        <v>4.5988108714392012E-3</v>
      </c>
      <c r="P111">
        <v>4.313604312733422E-3</v>
      </c>
      <c r="Q111">
        <f t="shared" si="29"/>
        <v>447.74326843764197</v>
      </c>
      <c r="R111">
        <f t="shared" si="30"/>
        <v>0.44774326843764195</v>
      </c>
    </row>
    <row r="112" spans="1:18" x14ac:dyDescent="0.3">
      <c r="A112">
        <v>0.222</v>
      </c>
      <c r="B112" s="4"/>
      <c r="C112">
        <v>-48.754780668135702</v>
      </c>
      <c r="D112">
        <v>1.0880361169999999</v>
      </c>
      <c r="E112">
        <f t="shared" si="36"/>
        <v>13.631361060484377</v>
      </c>
      <c r="F112">
        <f t="shared" si="20"/>
        <v>5.4034183254478181E-3</v>
      </c>
      <c r="G112">
        <f t="shared" si="21"/>
        <v>1.6711603068395316E-2</v>
      </c>
      <c r="H112">
        <f t="shared" si="22"/>
        <v>187.98870705175597</v>
      </c>
      <c r="I112">
        <f t="shared" si="23"/>
        <v>1.3442596990790434</v>
      </c>
      <c r="J112">
        <f t="shared" si="24"/>
        <v>1.4134847627024714</v>
      </c>
      <c r="K112">
        <f t="shared" si="25"/>
        <v>6.1175302042730369E-2</v>
      </c>
      <c r="L112">
        <f t="shared" si="26"/>
        <v>1.8146608418277901</v>
      </c>
      <c r="M112">
        <f t="shared" si="27"/>
        <v>1.0013224850064062</v>
      </c>
      <c r="N112">
        <f t="shared" si="28"/>
        <v>1.0006029008938018</v>
      </c>
      <c r="O112">
        <v>4.5576455464117387E-3</v>
      </c>
      <c r="P112">
        <v>4.3538736472990835E-3</v>
      </c>
      <c r="Q112">
        <f t="shared" si="29"/>
        <v>447.74326843764197</v>
      </c>
      <c r="R112">
        <f t="shared" si="30"/>
        <v>0.44774326843764195</v>
      </c>
    </row>
    <row r="113" spans="1:18" x14ac:dyDescent="0.3">
      <c r="A113">
        <v>0.224</v>
      </c>
      <c r="B113" s="4"/>
      <c r="C113">
        <v>-48.754780668135702</v>
      </c>
      <c r="D113">
        <v>1.0880361169999999</v>
      </c>
      <c r="E113">
        <f t="shared" si="36"/>
        <v>13.631361060484377</v>
      </c>
      <c r="F113">
        <f t="shared" si="20"/>
        <v>5.4034183254478181E-3</v>
      </c>
      <c r="G113">
        <f t="shared" si="21"/>
        <v>1.6711603068395316E-2</v>
      </c>
      <c r="H113">
        <f t="shared" si="22"/>
        <v>187.98870705175597</v>
      </c>
      <c r="I113">
        <f t="shared" si="23"/>
        <v>1.3442596990790434</v>
      </c>
      <c r="J113">
        <f t="shared" si="24"/>
        <v>1.4134847627024714</v>
      </c>
      <c r="K113">
        <f t="shared" si="25"/>
        <v>6.1175302042730369E-2</v>
      </c>
      <c r="L113">
        <f t="shared" si="26"/>
        <v>1.8146608418277901</v>
      </c>
      <c r="M113">
        <f t="shared" si="27"/>
        <v>0.99934842323947093</v>
      </c>
      <c r="N113">
        <f t="shared" si="28"/>
        <v>1.0013743378340454</v>
      </c>
      <c r="O113">
        <v>4.5004490409645539E-3</v>
      </c>
      <c r="P113">
        <v>4.4090773831711345E-3</v>
      </c>
      <c r="Q113">
        <f t="shared" si="29"/>
        <v>447.74326843764197</v>
      </c>
      <c r="R113">
        <f t="shared" si="30"/>
        <v>0.44774326843764195</v>
      </c>
    </row>
    <row r="114" spans="1:18" x14ac:dyDescent="0.3">
      <c r="A114">
        <v>0.22600000000000001</v>
      </c>
      <c r="B114" s="4"/>
      <c r="C114">
        <v>-48.754780668135702</v>
      </c>
      <c r="D114">
        <v>1.0880361169999999</v>
      </c>
      <c r="E114">
        <f t="shared" si="36"/>
        <v>13.631361060484377</v>
      </c>
      <c r="F114">
        <f t="shared" si="20"/>
        <v>5.4034183254478181E-3</v>
      </c>
      <c r="G114">
        <f t="shared" si="21"/>
        <v>1.6711603068395316E-2</v>
      </c>
      <c r="H114">
        <f t="shared" si="22"/>
        <v>187.98870705175597</v>
      </c>
      <c r="I114">
        <f t="shared" si="23"/>
        <v>1.3442596990790434</v>
      </c>
      <c r="J114">
        <f t="shared" si="24"/>
        <v>1.4134847627024714</v>
      </c>
      <c r="K114">
        <f t="shared" si="25"/>
        <v>6.1175302042730369E-2</v>
      </c>
      <c r="L114">
        <f t="shared" si="26"/>
        <v>1.8146608418277901</v>
      </c>
      <c r="M114">
        <f t="shared" si="27"/>
        <v>1.0074156964305518</v>
      </c>
      <c r="N114">
        <f t="shared" si="28"/>
        <v>1.0026137834052953</v>
      </c>
      <c r="O114">
        <v>4.4586342033844928E-3</v>
      </c>
      <c r="P114">
        <v>4.4717431566845623E-3</v>
      </c>
      <c r="Q114">
        <f t="shared" si="29"/>
        <v>447.74326843764197</v>
      </c>
      <c r="R114">
        <f t="shared" si="30"/>
        <v>0.44774326843764195</v>
      </c>
    </row>
    <row r="115" spans="1:18" x14ac:dyDescent="0.3">
      <c r="A115">
        <v>0.22800000000000001</v>
      </c>
      <c r="B115" s="4">
        <v>17</v>
      </c>
      <c r="C115">
        <v>-48.739460572961498</v>
      </c>
      <c r="D115">
        <v>1.089164786</v>
      </c>
      <c r="E115">
        <f>$E$114+$R$114</f>
        <v>14.079104328922019</v>
      </c>
      <c r="F115">
        <f t="shared" si="20"/>
        <v>5.4914431793015852E-3</v>
      </c>
      <c r="G115">
        <f t="shared" si="21"/>
        <v>1.6983844884437892E-2</v>
      </c>
      <c r="H115">
        <f t="shared" si="22"/>
        <v>184.97535010275556</v>
      </c>
      <c r="I115">
        <f t="shared" si="23"/>
        <v>1.3324770802785915</v>
      </c>
      <c r="J115">
        <f t="shared" si="24"/>
        <v>1.4000542405923768</v>
      </c>
      <c r="K115">
        <f t="shared" si="25"/>
        <v>6.2494419127529351E-2</v>
      </c>
      <c r="L115">
        <f t="shared" si="26"/>
        <v>1.8021765052989578</v>
      </c>
      <c r="M115">
        <f t="shared" si="27"/>
        <v>0.99659064840371259</v>
      </c>
      <c r="N115">
        <f t="shared" si="28"/>
        <v>1.0018265182509716</v>
      </c>
      <c r="O115">
        <v>4.5004490409645539E-3</v>
      </c>
      <c r="P115">
        <v>4.4348203812169824E-3</v>
      </c>
      <c r="Q115">
        <f t="shared" si="29"/>
        <v>453.18999119027836</v>
      </c>
      <c r="R115">
        <f t="shared" si="30"/>
        <v>0.45318999119027836</v>
      </c>
    </row>
    <row r="116" spans="1:18" x14ac:dyDescent="0.3">
      <c r="A116">
        <v>0.23</v>
      </c>
      <c r="B116" s="4"/>
      <c r="C116">
        <v>-48.739460572961498</v>
      </c>
      <c r="D116">
        <v>1.089164786</v>
      </c>
      <c r="E116">
        <f t="shared" ref="E116:E122" si="37">$E$114+$R$114</f>
        <v>14.079104328922019</v>
      </c>
      <c r="F116">
        <f t="shared" si="20"/>
        <v>5.4914431793015852E-3</v>
      </c>
      <c r="G116">
        <f t="shared" si="21"/>
        <v>1.6983844884437892E-2</v>
      </c>
      <c r="H116">
        <f t="shared" si="22"/>
        <v>184.97535010275556</v>
      </c>
      <c r="I116">
        <f t="shared" si="23"/>
        <v>1.3324770802785915</v>
      </c>
      <c r="J116">
        <f t="shared" si="24"/>
        <v>1.4000542405923768</v>
      </c>
      <c r="K116">
        <f t="shared" si="25"/>
        <v>6.2494419127529351E-2</v>
      </c>
      <c r="L116">
        <f t="shared" si="26"/>
        <v>1.8021765052989578</v>
      </c>
      <c r="M116">
        <f t="shared" si="27"/>
        <v>1.0076032002668494</v>
      </c>
      <c r="N116">
        <f t="shared" si="28"/>
        <v>1.003239352774596</v>
      </c>
      <c r="O116">
        <v>4.464636193765012E-3</v>
      </c>
      <c r="P116">
        <v>4.4984186709916239E-3</v>
      </c>
      <c r="Q116">
        <f t="shared" si="29"/>
        <v>453.18999119027836</v>
      </c>
      <c r="R116">
        <f t="shared" si="30"/>
        <v>0.45318999119027836</v>
      </c>
    </row>
    <row r="117" spans="1:18" x14ac:dyDescent="0.3">
      <c r="A117">
        <v>0.23200000000000001</v>
      </c>
      <c r="B117" s="4"/>
      <c r="C117">
        <v>-48.739460572961498</v>
      </c>
      <c r="D117">
        <v>1.089164786</v>
      </c>
      <c r="E117">
        <f t="shared" si="37"/>
        <v>14.079104328922019</v>
      </c>
      <c r="F117">
        <f t="shared" si="20"/>
        <v>5.4914431793015852E-3</v>
      </c>
      <c r="G117">
        <f t="shared" si="21"/>
        <v>1.6983844884437892E-2</v>
      </c>
      <c r="H117">
        <f t="shared" si="22"/>
        <v>184.97535010275556</v>
      </c>
      <c r="I117">
        <f t="shared" si="23"/>
        <v>1.3324770802785915</v>
      </c>
      <c r="J117">
        <f t="shared" si="24"/>
        <v>1.4000542405923768</v>
      </c>
      <c r="K117">
        <f t="shared" si="25"/>
        <v>6.2494419127529351E-2</v>
      </c>
      <c r="L117">
        <f t="shared" si="26"/>
        <v>1.8021765052989578</v>
      </c>
      <c r="M117">
        <f t="shared" si="27"/>
        <v>1.0053756651153516</v>
      </c>
      <c r="N117">
        <f t="shared" si="28"/>
        <v>1.0049594093486884</v>
      </c>
      <c r="O117">
        <v>4.4020178600288409E-3</v>
      </c>
      <c r="P117">
        <v>4.5594168264227143E-3</v>
      </c>
      <c r="Q117">
        <f t="shared" si="29"/>
        <v>453.18999119027836</v>
      </c>
      <c r="R117">
        <f t="shared" si="30"/>
        <v>0.45318999119027836</v>
      </c>
    </row>
    <row r="118" spans="1:18" x14ac:dyDescent="0.3">
      <c r="A118">
        <v>0.23400000000000001</v>
      </c>
      <c r="B118" s="4"/>
      <c r="C118">
        <v>-48.739460572961498</v>
      </c>
      <c r="D118">
        <v>1.089164786</v>
      </c>
      <c r="E118">
        <f t="shared" si="37"/>
        <v>14.079104328922019</v>
      </c>
      <c r="F118">
        <f t="shared" si="20"/>
        <v>5.4914431793015852E-3</v>
      </c>
      <c r="G118">
        <f t="shared" si="21"/>
        <v>1.6983844884437892E-2</v>
      </c>
      <c r="H118">
        <f t="shared" si="22"/>
        <v>184.97535010275556</v>
      </c>
      <c r="I118">
        <f t="shared" si="23"/>
        <v>1.3324770802785915</v>
      </c>
      <c r="J118">
        <f t="shared" si="24"/>
        <v>1.4000542405923768</v>
      </c>
      <c r="K118">
        <f t="shared" si="25"/>
        <v>6.2494419127529351E-2</v>
      </c>
      <c r="L118">
        <f t="shared" si="26"/>
        <v>1.8021765052989578</v>
      </c>
      <c r="M118">
        <f t="shared" si="27"/>
        <v>1.003851171528406</v>
      </c>
      <c r="N118">
        <f t="shared" si="28"/>
        <v>1.0066315476551846</v>
      </c>
      <c r="O118">
        <v>4.3514502812520041E-3</v>
      </c>
      <c r="P118">
        <v>4.6093985075686249E-3</v>
      </c>
      <c r="Q118">
        <f t="shared" si="29"/>
        <v>453.18999119027836</v>
      </c>
      <c r="R118">
        <f t="shared" si="30"/>
        <v>0.45318999119027836</v>
      </c>
    </row>
    <row r="119" spans="1:18" x14ac:dyDescent="0.3">
      <c r="A119">
        <v>0.23599999999999999</v>
      </c>
      <c r="B119" s="4"/>
      <c r="C119">
        <v>-48.739460572961498</v>
      </c>
      <c r="D119">
        <v>1.089164786</v>
      </c>
      <c r="E119">
        <f t="shared" si="37"/>
        <v>14.079104328922019</v>
      </c>
      <c r="F119">
        <f t="shared" si="20"/>
        <v>5.4914431793015852E-3</v>
      </c>
      <c r="G119">
        <f t="shared" si="21"/>
        <v>1.6983844884437892E-2</v>
      </c>
      <c r="H119">
        <f t="shared" si="22"/>
        <v>184.97535010275556</v>
      </c>
      <c r="I119">
        <f t="shared" si="23"/>
        <v>1.3324770802785915</v>
      </c>
      <c r="J119">
        <f t="shared" si="24"/>
        <v>1.4000542405923768</v>
      </c>
      <c r="K119">
        <f t="shared" si="25"/>
        <v>6.2494419127529351E-2</v>
      </c>
      <c r="L119">
        <f t="shared" si="26"/>
        <v>1.8021765052989578</v>
      </c>
      <c r="M119">
        <f t="shared" si="27"/>
        <v>1.0030155710487791</v>
      </c>
      <c r="N119">
        <f t="shared" si="28"/>
        <v>1.0078220437750063</v>
      </c>
      <c r="O119">
        <v>4.3194943834996124E-3</v>
      </c>
      <c r="P119">
        <v>4.6413233195559548E-3</v>
      </c>
      <c r="Q119">
        <f t="shared" si="29"/>
        <v>453.18999119027836</v>
      </c>
      <c r="R119">
        <f t="shared" si="30"/>
        <v>0.45318999119027836</v>
      </c>
    </row>
    <row r="120" spans="1:18" x14ac:dyDescent="0.3">
      <c r="A120">
        <v>0.23799999999999999</v>
      </c>
      <c r="B120" s="4"/>
      <c r="C120">
        <v>-48.739460572961498</v>
      </c>
      <c r="D120">
        <v>1.089164786</v>
      </c>
      <c r="E120">
        <f t="shared" si="37"/>
        <v>14.079104328922019</v>
      </c>
      <c r="F120">
        <f t="shared" si="20"/>
        <v>5.4914431793015852E-3</v>
      </c>
      <c r="G120">
        <f t="shared" si="21"/>
        <v>1.6983844884437892E-2</v>
      </c>
      <c r="H120">
        <f t="shared" si="22"/>
        <v>184.97535010275556</v>
      </c>
      <c r="I120">
        <f t="shared" si="23"/>
        <v>1.3324770802785915</v>
      </c>
      <c r="J120">
        <f t="shared" si="24"/>
        <v>1.4000542405923768</v>
      </c>
      <c r="K120">
        <f t="shared" si="25"/>
        <v>6.2494419127529351E-2</v>
      </c>
      <c r="L120">
        <f t="shared" si="26"/>
        <v>1.8021765052989578</v>
      </c>
      <c r="M120">
        <f t="shared" si="27"/>
        <v>1.0027920080955821</v>
      </c>
      <c r="N120">
        <f t="shared" si="28"/>
        <v>1.0081867803399085</v>
      </c>
      <c r="O120">
        <v>4.31023227497706E-3</v>
      </c>
      <c r="P120">
        <v>4.6506261056248246E-3</v>
      </c>
      <c r="Q120">
        <f t="shared" si="29"/>
        <v>453.18999119027836</v>
      </c>
      <c r="R120">
        <f t="shared" si="30"/>
        <v>0.45318999119027836</v>
      </c>
    </row>
    <row r="121" spans="1:18" x14ac:dyDescent="0.3">
      <c r="A121">
        <v>0.24</v>
      </c>
      <c r="B121" s="4"/>
      <c r="C121">
        <v>-48.739460572961498</v>
      </c>
      <c r="D121">
        <v>1.089164786</v>
      </c>
      <c r="E121">
        <f t="shared" si="37"/>
        <v>14.079104328922019</v>
      </c>
      <c r="F121">
        <f t="shared" si="20"/>
        <v>5.4914431793015852E-3</v>
      </c>
      <c r="G121">
        <f t="shared" si="21"/>
        <v>1.6983844884437892E-2</v>
      </c>
      <c r="H121">
        <f t="shared" si="22"/>
        <v>184.97535010275556</v>
      </c>
      <c r="I121">
        <f t="shared" si="23"/>
        <v>1.3324770802785915</v>
      </c>
      <c r="J121">
        <f t="shared" si="24"/>
        <v>1.4000542405923768</v>
      </c>
      <c r="K121">
        <f t="shared" si="25"/>
        <v>6.2494419127529351E-2</v>
      </c>
      <c r="L121">
        <f t="shared" si="26"/>
        <v>1.8021765052989578</v>
      </c>
      <c r="M121">
        <f t="shared" si="27"/>
        <v>1.0031483645408865</v>
      </c>
      <c r="N121">
        <f t="shared" si="28"/>
        <v>1.0076156626690256</v>
      </c>
      <c r="O121">
        <v>4.324837874243914E-3</v>
      </c>
      <c r="P121">
        <v>4.6359665539690729E-3</v>
      </c>
      <c r="Q121">
        <f t="shared" si="29"/>
        <v>453.18999119027836</v>
      </c>
      <c r="R121">
        <f t="shared" si="30"/>
        <v>0.45318999119027836</v>
      </c>
    </row>
    <row r="122" spans="1:18" x14ac:dyDescent="0.3">
      <c r="A122">
        <v>0.24199999999999999</v>
      </c>
      <c r="B122" s="4"/>
      <c r="C122">
        <v>-48.739460572961498</v>
      </c>
      <c r="D122">
        <v>1.089164786</v>
      </c>
      <c r="E122">
        <f t="shared" si="37"/>
        <v>14.079104328922019</v>
      </c>
      <c r="F122">
        <f t="shared" si="20"/>
        <v>5.4914431793015852E-3</v>
      </c>
      <c r="G122">
        <f t="shared" si="21"/>
        <v>1.6983844884437892E-2</v>
      </c>
      <c r="H122">
        <f t="shared" si="22"/>
        <v>184.97535010275556</v>
      </c>
      <c r="I122">
        <f t="shared" si="23"/>
        <v>1.3324770802785915</v>
      </c>
      <c r="J122">
        <f t="shared" si="24"/>
        <v>1.4000542405923768</v>
      </c>
      <c r="K122">
        <f t="shared" si="25"/>
        <v>6.2494419127529351E-2</v>
      </c>
      <c r="L122">
        <f t="shared" si="26"/>
        <v>1.8021765052989578</v>
      </c>
      <c r="M122">
        <f t="shared" si="27"/>
        <v>1.0041332754249261</v>
      </c>
      <c r="N122">
        <f t="shared" si="28"/>
        <v>1.0062801711532932</v>
      </c>
      <c r="O122">
        <v>4.3614581187950124E-3</v>
      </c>
      <c r="P122">
        <v>4.5994547023292835E-3</v>
      </c>
      <c r="Q122">
        <f t="shared" si="29"/>
        <v>453.18999119027836</v>
      </c>
      <c r="R122">
        <f t="shared" si="30"/>
        <v>0.45318999119027836</v>
      </c>
    </row>
    <row r="123" spans="1:18" x14ac:dyDescent="0.3">
      <c r="A123">
        <v>0.24399999999999999</v>
      </c>
      <c r="B123" s="4">
        <v>18</v>
      </c>
      <c r="C123">
        <v>-48.678180192264698</v>
      </c>
      <c r="D123">
        <v>1.091422122</v>
      </c>
      <c r="E123">
        <f>$E$122+$R$122</f>
        <v>14.532294320112298</v>
      </c>
      <c r="F123">
        <f t="shared" si="20"/>
        <v>5.5791247598209696E-3</v>
      </c>
      <c r="G123">
        <f t="shared" si="21"/>
        <v>1.7255025030374134E-2</v>
      </c>
      <c r="H123">
        <f t="shared" si="22"/>
        <v>182.06827565069463</v>
      </c>
      <c r="I123">
        <f t="shared" si="23"/>
        <v>1.3213428726429273</v>
      </c>
      <c r="J123">
        <f t="shared" si="24"/>
        <v>1.3882320446401917</v>
      </c>
      <c r="K123">
        <f t="shared" si="25"/>
        <v>6.4546973494377755E-2</v>
      </c>
      <c r="L123">
        <f t="shared" si="26"/>
        <v>1.789988914954123</v>
      </c>
      <c r="M123">
        <f t="shared" si="27"/>
        <v>1.0034663068405041</v>
      </c>
      <c r="N123">
        <f t="shared" si="28"/>
        <v>1.0083356107258516</v>
      </c>
      <c r="O123">
        <v>4.3379890226761418E-3</v>
      </c>
      <c r="P123">
        <v>4.6554349352592129E-3</v>
      </c>
      <c r="Q123">
        <f t="shared" si="29"/>
        <v>464.68756596077543</v>
      </c>
      <c r="R123">
        <f t="shared" si="30"/>
        <v>0.46468756596077543</v>
      </c>
    </row>
    <row r="124" spans="1:18" x14ac:dyDescent="0.3">
      <c r="A124">
        <v>0.246</v>
      </c>
      <c r="B124" s="4"/>
      <c r="C124">
        <v>-48.678180192264698</v>
      </c>
      <c r="D124">
        <v>1.091422122</v>
      </c>
      <c r="E124">
        <f t="shared" ref="E124:E130" si="38">$E$122+$R$122</f>
        <v>14.532294320112298</v>
      </c>
      <c r="F124">
        <f t="shared" si="20"/>
        <v>5.5791247598209696E-3</v>
      </c>
      <c r="G124">
        <f t="shared" si="21"/>
        <v>1.7255025030374134E-2</v>
      </c>
      <c r="H124">
        <f t="shared" si="22"/>
        <v>182.06827565069463</v>
      </c>
      <c r="I124">
        <f t="shared" si="23"/>
        <v>1.3213428726429273</v>
      </c>
      <c r="J124">
        <f t="shared" si="24"/>
        <v>1.3882320446401917</v>
      </c>
      <c r="K124">
        <f t="shared" si="25"/>
        <v>6.4546973494377755E-2</v>
      </c>
      <c r="L124">
        <f t="shared" si="26"/>
        <v>1.789988914954123</v>
      </c>
      <c r="M124">
        <f t="shared" si="27"/>
        <v>1.0045591566430951</v>
      </c>
      <c r="N124">
        <f t="shared" si="28"/>
        <v>1.0068598642742805</v>
      </c>
      <c r="O124">
        <v>4.3768483251653261E-3</v>
      </c>
      <c r="P124">
        <v>4.6167103433747275E-3</v>
      </c>
      <c r="Q124">
        <f t="shared" si="29"/>
        <v>464.68756596077543</v>
      </c>
      <c r="R124">
        <f t="shared" si="30"/>
        <v>0.46468756596077543</v>
      </c>
    </row>
    <row r="125" spans="1:18" x14ac:dyDescent="0.3">
      <c r="A125">
        <v>0.248</v>
      </c>
      <c r="B125" s="4"/>
      <c r="C125">
        <v>-48.678180192264698</v>
      </c>
      <c r="D125">
        <v>1.091422122</v>
      </c>
      <c r="E125">
        <f t="shared" si="38"/>
        <v>14.532294320112298</v>
      </c>
      <c r="F125">
        <f t="shared" si="20"/>
        <v>5.5791247598209696E-3</v>
      </c>
      <c r="G125">
        <f t="shared" si="21"/>
        <v>1.7255025030374134E-2</v>
      </c>
      <c r="H125">
        <f t="shared" si="22"/>
        <v>182.06827565069463</v>
      </c>
      <c r="I125">
        <f t="shared" si="23"/>
        <v>1.3213428726429273</v>
      </c>
      <c r="J125">
        <f t="shared" si="24"/>
        <v>1.3882320446401917</v>
      </c>
      <c r="K125">
        <f t="shared" si="25"/>
        <v>6.4546973494377755E-2</v>
      </c>
      <c r="L125">
        <f t="shared" si="26"/>
        <v>1.789988914954123</v>
      </c>
      <c r="M125">
        <f t="shared" si="27"/>
        <v>1.006383415587436</v>
      </c>
      <c r="N125">
        <f t="shared" si="28"/>
        <v>1.0050042608000382</v>
      </c>
      <c r="O125">
        <v>4.4326918887339422E-3</v>
      </c>
      <c r="P125">
        <v>4.561717401283698E-3</v>
      </c>
      <c r="Q125">
        <f t="shared" si="29"/>
        <v>464.68756596077543</v>
      </c>
      <c r="R125">
        <f t="shared" si="30"/>
        <v>0.46468756596077543</v>
      </c>
    </row>
    <row r="126" spans="1:18" x14ac:dyDescent="0.3">
      <c r="A126">
        <v>0.25</v>
      </c>
      <c r="B126" s="4"/>
      <c r="C126">
        <v>-48.678180192264698</v>
      </c>
      <c r="D126">
        <v>1.091422122</v>
      </c>
      <c r="E126">
        <f t="shared" si="38"/>
        <v>14.532294320112298</v>
      </c>
      <c r="F126">
        <f t="shared" si="20"/>
        <v>5.5791247598209696E-3</v>
      </c>
      <c r="G126">
        <f t="shared" si="21"/>
        <v>1.7255025030374134E-2</v>
      </c>
      <c r="H126">
        <f t="shared" si="22"/>
        <v>182.06827565069463</v>
      </c>
      <c r="I126">
        <f t="shared" si="23"/>
        <v>1.3213428726429273</v>
      </c>
      <c r="J126">
        <f t="shared" si="24"/>
        <v>1.3882320446401917</v>
      </c>
      <c r="K126">
        <f t="shared" si="25"/>
        <v>6.4546973494377755E-2</v>
      </c>
      <c r="L126">
        <f t="shared" si="26"/>
        <v>1.789988914954123</v>
      </c>
      <c r="M126">
        <f t="shared" si="27"/>
        <v>1.0089112184066786</v>
      </c>
      <c r="N126">
        <f t="shared" si="28"/>
        <v>1.0032090642271563</v>
      </c>
      <c r="O126">
        <v>4.498460418760424E-3</v>
      </c>
      <c r="P126">
        <v>4.4979246324251517E-3</v>
      </c>
      <c r="Q126">
        <f t="shared" si="29"/>
        <v>464.68756596077543</v>
      </c>
      <c r="R126">
        <f t="shared" si="30"/>
        <v>0.46468756596077543</v>
      </c>
    </row>
    <row r="127" spans="1:18" x14ac:dyDescent="0.3">
      <c r="A127">
        <v>0.252</v>
      </c>
      <c r="B127" s="4"/>
      <c r="C127">
        <v>-48.678180192264698</v>
      </c>
      <c r="D127">
        <v>1.091422122</v>
      </c>
      <c r="E127">
        <f t="shared" si="38"/>
        <v>14.532294320112298</v>
      </c>
      <c r="F127">
        <f t="shared" si="20"/>
        <v>5.5791247598209696E-3</v>
      </c>
      <c r="G127">
        <f t="shared" si="21"/>
        <v>1.7255025030374134E-2</v>
      </c>
      <c r="H127">
        <f t="shared" si="22"/>
        <v>182.06827565069463</v>
      </c>
      <c r="I127">
        <f t="shared" si="23"/>
        <v>1.3213428726429273</v>
      </c>
      <c r="J127">
        <f t="shared" si="24"/>
        <v>1.3882320446401917</v>
      </c>
      <c r="K127">
        <f t="shared" si="25"/>
        <v>6.4546973494377755E-2</v>
      </c>
      <c r="L127">
        <f t="shared" si="26"/>
        <v>1.789988914954123</v>
      </c>
      <c r="M127">
        <f t="shared" si="27"/>
        <v>1.0009013357981142</v>
      </c>
      <c r="N127">
        <f t="shared" si="28"/>
        <v>1.0017969790434738</v>
      </c>
      <c r="O127">
        <v>4.541248129372513E-3</v>
      </c>
      <c r="P127">
        <v>4.4338105681116105E-3</v>
      </c>
      <c r="Q127">
        <f t="shared" si="29"/>
        <v>464.68756596077543</v>
      </c>
      <c r="R127">
        <f t="shared" si="30"/>
        <v>0.46468756596077543</v>
      </c>
    </row>
    <row r="128" spans="1:18" x14ac:dyDescent="0.3">
      <c r="A128">
        <v>0.254</v>
      </c>
      <c r="B128" s="4"/>
      <c r="C128">
        <v>-48.678180192264698</v>
      </c>
      <c r="D128">
        <v>1.091422122</v>
      </c>
      <c r="E128">
        <f t="shared" si="38"/>
        <v>14.532294320112298</v>
      </c>
      <c r="F128">
        <f t="shared" si="20"/>
        <v>5.5791247598209696E-3</v>
      </c>
      <c r="G128">
        <f t="shared" si="21"/>
        <v>1.7255025030374134E-2</v>
      </c>
      <c r="H128">
        <f t="shared" si="22"/>
        <v>182.06827565069463</v>
      </c>
      <c r="I128">
        <f t="shared" si="23"/>
        <v>1.3213428726429273</v>
      </c>
      <c r="J128">
        <f t="shared" si="24"/>
        <v>1.3882320446401917</v>
      </c>
      <c r="K128">
        <f t="shared" si="25"/>
        <v>6.4546973494377755E-2</v>
      </c>
      <c r="L128">
        <f t="shared" si="26"/>
        <v>1.789988914954123</v>
      </c>
      <c r="M128">
        <f t="shared" si="27"/>
        <v>1.0024157576421635</v>
      </c>
      <c r="N128">
        <f t="shared" si="28"/>
        <v>1.0008882552919833</v>
      </c>
      <c r="O128">
        <v>4.597897896334838E-3</v>
      </c>
      <c r="P128">
        <v>4.3776973577721034E-3</v>
      </c>
      <c r="Q128">
        <f t="shared" si="29"/>
        <v>464.68756596077543</v>
      </c>
      <c r="R128">
        <f t="shared" si="30"/>
        <v>0.46468756596077543</v>
      </c>
    </row>
    <row r="129" spans="1:18" x14ac:dyDescent="0.3">
      <c r="A129">
        <v>0.25600000000000001</v>
      </c>
      <c r="B129" s="4"/>
      <c r="C129">
        <v>-48.678180192264698</v>
      </c>
      <c r="D129">
        <v>1.091422122</v>
      </c>
      <c r="E129">
        <f t="shared" si="38"/>
        <v>14.532294320112298</v>
      </c>
      <c r="F129">
        <f t="shared" si="20"/>
        <v>5.5791247598209696E-3</v>
      </c>
      <c r="G129">
        <f t="shared" si="21"/>
        <v>1.7255025030374134E-2</v>
      </c>
      <c r="H129">
        <f t="shared" si="22"/>
        <v>182.06827565069463</v>
      </c>
      <c r="I129">
        <f t="shared" si="23"/>
        <v>1.3213428726429273</v>
      </c>
      <c r="J129">
        <f t="shared" si="24"/>
        <v>1.3882320446401917</v>
      </c>
      <c r="K129">
        <f t="shared" si="25"/>
        <v>6.4546973494377755E-2</v>
      </c>
      <c r="L129">
        <f t="shared" si="26"/>
        <v>1.789988914954123</v>
      </c>
      <c r="M129">
        <f t="shared" si="27"/>
        <v>1.0037308458428684</v>
      </c>
      <c r="N129">
        <f t="shared" si="28"/>
        <v>1.000419804115207</v>
      </c>
      <c r="O129">
        <v>4.6398108731222371E-3</v>
      </c>
      <c r="P129">
        <v>4.3367058563626203E-3</v>
      </c>
      <c r="Q129">
        <f t="shared" si="29"/>
        <v>464.68756596077543</v>
      </c>
      <c r="R129">
        <f t="shared" si="30"/>
        <v>0.46468756596077543</v>
      </c>
    </row>
    <row r="130" spans="1:18" x14ac:dyDescent="0.3">
      <c r="A130">
        <v>0.25800000000000001</v>
      </c>
      <c r="B130" s="4"/>
      <c r="C130">
        <v>-48.678180192264698</v>
      </c>
      <c r="D130">
        <v>1.091422122</v>
      </c>
      <c r="E130">
        <f t="shared" si="38"/>
        <v>14.532294320112298</v>
      </c>
      <c r="F130">
        <f t="shared" si="20"/>
        <v>5.5791247598209696E-3</v>
      </c>
      <c r="G130">
        <f t="shared" si="21"/>
        <v>1.7255025030374134E-2</v>
      </c>
      <c r="H130">
        <f t="shared" si="22"/>
        <v>182.06827565069463</v>
      </c>
      <c r="I130">
        <f t="shared" si="23"/>
        <v>1.3213428726429273</v>
      </c>
      <c r="J130">
        <f t="shared" si="24"/>
        <v>1.3882320446401917</v>
      </c>
      <c r="K130">
        <f t="shared" si="25"/>
        <v>6.4546973494377755E-2</v>
      </c>
      <c r="L130">
        <f t="shared" si="26"/>
        <v>1.789988914954123</v>
      </c>
      <c r="M130">
        <f t="shared" si="27"/>
        <v>1.0044656645819672</v>
      </c>
      <c r="N130">
        <f t="shared" si="28"/>
        <v>1.00024601924887</v>
      </c>
      <c r="O130">
        <v>4.6612142726870478E-3</v>
      </c>
      <c r="P130">
        <v>4.3159424419914041E-3</v>
      </c>
      <c r="Q130">
        <f t="shared" si="29"/>
        <v>464.68756596077543</v>
      </c>
      <c r="R130">
        <f t="shared" si="30"/>
        <v>0.46468756596077543</v>
      </c>
    </row>
    <row r="131" spans="1:18" x14ac:dyDescent="0.3">
      <c r="A131">
        <v>0.26</v>
      </c>
      <c r="B131" s="4">
        <v>19</v>
      </c>
      <c r="C131">
        <v>-48.6552000495033</v>
      </c>
      <c r="D131">
        <v>1.0959367950000001</v>
      </c>
      <c r="E131">
        <f>$E$130+$R$130</f>
        <v>14.996981886073073</v>
      </c>
      <c r="F131">
        <f t="shared" ref="F131:F194" si="39">0.0462806*SQRT(E131/1000)</f>
        <v>5.6676224790895048E-3</v>
      </c>
      <c r="G131">
        <f t="shared" ref="G131:G194" si="40">$U$3*F131/2</f>
        <v>1.7528729316771664E-2</v>
      </c>
      <c r="H131">
        <f t="shared" ref="H131:H194" si="41">PI()/G131</f>
        <v>179.22535038429086</v>
      </c>
      <c r="I131">
        <f t="shared" ref="I131:I194" si="42">BESSELI(H131*$Y$5,0)</f>
        <v>1.3106729906520795</v>
      </c>
      <c r="J131">
        <f t="shared" ref="J131:J194" si="43">BESSELI(H131*D131*$Y$5,0)</f>
        <v>1.3785560838217039</v>
      </c>
      <c r="K131">
        <f t="shared" ref="K131:K194" si="44">(D131^2-1)/(D131^2*I131+J131)</f>
        <v>6.8097772261530784E-2</v>
      </c>
      <c r="L131">
        <f t="shared" ref="L131:L194" si="45">I131+J131/(D131^2*I131+J131)</f>
        <v>1.7775408279679694</v>
      </c>
      <c r="M131">
        <f t="shared" ref="M131:M194" si="46">((L131*O131^2)/$Y$5^2)+(K131*BESSELI(O131*H131,0)*COS(H131*A131))</f>
        <v>1.0045513787725582</v>
      </c>
      <c r="N131">
        <f t="shared" ref="N131:N194" si="47">((L131*P131^2)/$Y$5^2)-(K131*BESSELI(P131*H131,0)*COS(H131*A131))</f>
        <v>1.0005012916794389</v>
      </c>
      <c r="O131">
        <v>4.6643159466115431E-3</v>
      </c>
      <c r="P131">
        <v>4.3453117733454243E-3</v>
      </c>
      <c r="Q131">
        <f t="shared" ref="Q131:Q194" si="48">PI()*K131*$U$4*J131*COS(C131*$Y$7)/(4*$Y$6)</f>
        <v>487.05553937604731</v>
      </c>
      <c r="R131">
        <f t="shared" ref="R131:R194" si="49">Q131/1000</f>
        <v>0.48705553937604729</v>
      </c>
    </row>
    <row r="132" spans="1:18" x14ac:dyDescent="0.3">
      <c r="A132">
        <v>0.26200000000000001</v>
      </c>
      <c r="B132" s="4"/>
      <c r="C132">
        <v>-48.6552000495033</v>
      </c>
      <c r="D132">
        <v>1.0959367950000001</v>
      </c>
      <c r="E132">
        <f t="shared" ref="E132:E139" si="50">$E$130+$R$130</f>
        <v>14.996981886073073</v>
      </c>
      <c r="F132">
        <f t="shared" si="39"/>
        <v>5.6676224790895048E-3</v>
      </c>
      <c r="G132">
        <f t="shared" si="40"/>
        <v>1.7528729316771664E-2</v>
      </c>
      <c r="H132">
        <f t="shared" si="41"/>
        <v>179.22535038429086</v>
      </c>
      <c r="I132">
        <f t="shared" si="42"/>
        <v>1.3106729906520795</v>
      </c>
      <c r="J132">
        <f t="shared" si="43"/>
        <v>1.3785560838217039</v>
      </c>
      <c r="K132">
        <f t="shared" si="44"/>
        <v>6.8097772261530784E-2</v>
      </c>
      <c r="L132">
        <f t="shared" si="45"/>
        <v>1.7775408279679694</v>
      </c>
      <c r="M132">
        <f t="shared" si="46"/>
        <v>1.0053983277371021</v>
      </c>
      <c r="N132">
        <f t="shared" si="47"/>
        <v>1.0002970406349148</v>
      </c>
      <c r="O132">
        <v>4.6875167120621541E-3</v>
      </c>
      <c r="P132">
        <v>4.3228266945390011E-3</v>
      </c>
      <c r="Q132">
        <f t="shared" si="48"/>
        <v>487.05553937604731</v>
      </c>
      <c r="R132">
        <f t="shared" si="49"/>
        <v>0.48705553937604729</v>
      </c>
    </row>
    <row r="133" spans="1:18" x14ac:dyDescent="0.3">
      <c r="A133">
        <v>0.26400000000000001</v>
      </c>
      <c r="B133" s="4"/>
      <c r="C133">
        <v>-48.6552000495033</v>
      </c>
      <c r="D133">
        <v>1.0959367950000001</v>
      </c>
      <c r="E133">
        <f t="shared" si="50"/>
        <v>14.996981886073073</v>
      </c>
      <c r="F133">
        <f t="shared" si="39"/>
        <v>5.6676224790895048E-3</v>
      </c>
      <c r="G133">
        <f t="shared" si="40"/>
        <v>1.7528729316771664E-2</v>
      </c>
      <c r="H133">
        <f t="shared" si="41"/>
        <v>179.22535038429086</v>
      </c>
      <c r="I133">
        <f t="shared" si="42"/>
        <v>1.3106729906520795</v>
      </c>
      <c r="J133">
        <f t="shared" si="43"/>
        <v>1.3785560838217039</v>
      </c>
      <c r="K133">
        <f t="shared" si="44"/>
        <v>6.8097772261530784E-2</v>
      </c>
      <c r="L133">
        <f t="shared" si="45"/>
        <v>1.7775408279679694</v>
      </c>
      <c r="M133">
        <f t="shared" si="46"/>
        <v>1.0053665086893924</v>
      </c>
      <c r="N133">
        <f t="shared" si="47"/>
        <v>1.0003036066049917</v>
      </c>
      <c r="O133">
        <v>4.6866689686513247E-3</v>
      </c>
      <c r="P133">
        <v>4.3236460100459298E-3</v>
      </c>
      <c r="Q133">
        <f t="shared" si="48"/>
        <v>487.05553937604731</v>
      </c>
      <c r="R133">
        <f t="shared" si="49"/>
        <v>0.48705553937604729</v>
      </c>
    </row>
    <row r="134" spans="1:18" x14ac:dyDescent="0.3">
      <c r="A134">
        <v>0.26600000000000001</v>
      </c>
      <c r="B134" s="4"/>
      <c r="C134">
        <v>-48.6552000495033</v>
      </c>
      <c r="D134">
        <v>1.0959367950000001</v>
      </c>
      <c r="E134">
        <f t="shared" si="50"/>
        <v>14.996981886073073</v>
      </c>
      <c r="F134">
        <f t="shared" si="39"/>
        <v>5.6676224790895048E-3</v>
      </c>
      <c r="G134">
        <f t="shared" si="40"/>
        <v>1.7528729316771664E-2</v>
      </c>
      <c r="H134">
        <f t="shared" si="41"/>
        <v>179.22535038429086</v>
      </c>
      <c r="I134">
        <f t="shared" si="42"/>
        <v>1.3106729906520795</v>
      </c>
      <c r="J134">
        <f t="shared" si="43"/>
        <v>1.3785560838217039</v>
      </c>
      <c r="K134">
        <f t="shared" si="44"/>
        <v>6.8097772261530784E-2</v>
      </c>
      <c r="L134">
        <f t="shared" si="45"/>
        <v>1.7775408279679694</v>
      </c>
      <c r="M134">
        <f t="shared" si="46"/>
        <v>1.0044656081159757</v>
      </c>
      <c r="N134">
        <f t="shared" si="47"/>
        <v>1.0005256276229662</v>
      </c>
      <c r="O134">
        <v>4.6618878099207936E-3</v>
      </c>
      <c r="P134">
        <v>4.3476725090185585E-3</v>
      </c>
      <c r="Q134">
        <f t="shared" si="48"/>
        <v>487.05553937604731</v>
      </c>
      <c r="R134">
        <f t="shared" si="49"/>
        <v>0.48705553937604729</v>
      </c>
    </row>
    <row r="135" spans="1:18" x14ac:dyDescent="0.3">
      <c r="A135">
        <v>0.26800000000000002</v>
      </c>
      <c r="B135" s="4"/>
      <c r="C135">
        <v>-48.6552000495033</v>
      </c>
      <c r="D135">
        <v>1.0959367950000001</v>
      </c>
      <c r="E135">
        <f t="shared" si="50"/>
        <v>14.996981886073073</v>
      </c>
      <c r="F135">
        <f t="shared" si="39"/>
        <v>5.6676224790895048E-3</v>
      </c>
      <c r="G135">
        <f t="shared" si="40"/>
        <v>1.7528729316771664E-2</v>
      </c>
      <c r="H135">
        <f t="shared" si="41"/>
        <v>179.22535038429086</v>
      </c>
      <c r="I135">
        <f t="shared" si="42"/>
        <v>1.3106729906520795</v>
      </c>
      <c r="J135">
        <f t="shared" si="43"/>
        <v>1.3785560838217039</v>
      </c>
      <c r="K135">
        <f t="shared" si="44"/>
        <v>6.8097772261530784E-2</v>
      </c>
      <c r="L135">
        <f t="shared" si="45"/>
        <v>1.7775408279679694</v>
      </c>
      <c r="M135">
        <f t="shared" si="46"/>
        <v>1.0029636412806457</v>
      </c>
      <c r="N135">
        <f t="shared" si="47"/>
        <v>1.0010847138652272</v>
      </c>
      <c r="O135">
        <v>4.6165226483027488E-3</v>
      </c>
      <c r="P135">
        <v>4.3920420712669425E-3</v>
      </c>
      <c r="Q135">
        <f t="shared" si="48"/>
        <v>487.05553937604731</v>
      </c>
      <c r="R135">
        <f t="shared" si="49"/>
        <v>0.48705553937604729</v>
      </c>
    </row>
    <row r="136" spans="1:18" x14ac:dyDescent="0.3">
      <c r="A136">
        <v>0.27</v>
      </c>
      <c r="B136" s="4"/>
      <c r="C136">
        <v>-48.6552000495033</v>
      </c>
      <c r="D136">
        <v>1.0959367950000001</v>
      </c>
      <c r="E136">
        <f t="shared" si="50"/>
        <v>14.996981886073073</v>
      </c>
      <c r="F136">
        <f t="shared" si="39"/>
        <v>5.6676224790895048E-3</v>
      </c>
      <c r="G136">
        <f t="shared" si="40"/>
        <v>1.7528729316771664E-2</v>
      </c>
      <c r="H136">
        <f t="shared" si="41"/>
        <v>179.22535038429086</v>
      </c>
      <c r="I136">
        <f t="shared" si="42"/>
        <v>1.3106729906520795</v>
      </c>
      <c r="J136">
        <f t="shared" si="43"/>
        <v>1.3785560838217039</v>
      </c>
      <c r="K136">
        <f t="shared" si="44"/>
        <v>6.8097772261530784E-2</v>
      </c>
      <c r="L136">
        <f t="shared" si="45"/>
        <v>1.7775408279679694</v>
      </c>
      <c r="M136">
        <f t="shared" si="46"/>
        <v>1.0012752850177222</v>
      </c>
      <c r="N136">
        <f t="shared" si="47"/>
        <v>1.0021322804499324</v>
      </c>
      <c r="O136">
        <v>4.5566300802913151E-3</v>
      </c>
      <c r="P136">
        <v>4.4513972480567758E-3</v>
      </c>
      <c r="Q136">
        <f t="shared" si="48"/>
        <v>487.05553937604731</v>
      </c>
      <c r="R136">
        <f t="shared" si="49"/>
        <v>0.48705553937604729</v>
      </c>
    </row>
    <row r="137" spans="1:18" x14ac:dyDescent="0.3">
      <c r="A137">
        <v>0.27200000000000002</v>
      </c>
      <c r="B137" s="4"/>
      <c r="C137">
        <v>-48.6552000495033</v>
      </c>
      <c r="D137">
        <v>1.0959367950000001</v>
      </c>
      <c r="E137">
        <f t="shared" si="50"/>
        <v>14.996981886073073</v>
      </c>
      <c r="F137">
        <f t="shared" si="39"/>
        <v>5.6676224790895048E-3</v>
      </c>
      <c r="G137">
        <f t="shared" si="40"/>
        <v>1.7528729316771664E-2</v>
      </c>
      <c r="H137">
        <f t="shared" si="41"/>
        <v>179.22535038429086</v>
      </c>
      <c r="I137">
        <f t="shared" si="42"/>
        <v>1.3106729906520795</v>
      </c>
      <c r="J137">
        <f t="shared" si="43"/>
        <v>1.3785560838217039</v>
      </c>
      <c r="K137">
        <f t="shared" si="44"/>
        <v>6.8097772261530784E-2</v>
      </c>
      <c r="L137">
        <f t="shared" si="45"/>
        <v>1.7775408279679694</v>
      </c>
      <c r="M137">
        <f t="shared" si="46"/>
        <v>1.0044127702985044</v>
      </c>
      <c r="N137">
        <f t="shared" si="47"/>
        <v>1.0037226452072923</v>
      </c>
      <c r="O137">
        <v>4.5004490409645539E-3</v>
      </c>
      <c r="P137">
        <v>4.5184319797823662E-3</v>
      </c>
      <c r="Q137">
        <f t="shared" si="48"/>
        <v>487.05553937604731</v>
      </c>
      <c r="R137">
        <f t="shared" si="49"/>
        <v>0.48705553937604729</v>
      </c>
    </row>
    <row r="138" spans="1:18" x14ac:dyDescent="0.3">
      <c r="A138">
        <v>0.27400000000000002</v>
      </c>
      <c r="B138" s="4"/>
      <c r="C138">
        <v>-48.6552000495033</v>
      </c>
      <c r="D138">
        <v>1.0959367950000001</v>
      </c>
      <c r="E138">
        <f t="shared" si="50"/>
        <v>14.996981886073073</v>
      </c>
      <c r="F138">
        <f t="shared" si="39"/>
        <v>5.6676224790895048E-3</v>
      </c>
      <c r="G138">
        <f t="shared" si="40"/>
        <v>1.7528729316771664E-2</v>
      </c>
      <c r="H138">
        <f t="shared" si="41"/>
        <v>179.22535038429086</v>
      </c>
      <c r="I138">
        <f t="shared" si="42"/>
        <v>1.3106729906520795</v>
      </c>
      <c r="J138">
        <f t="shared" si="43"/>
        <v>1.3785560838217039</v>
      </c>
      <c r="K138">
        <f t="shared" si="44"/>
        <v>6.8097772261530784E-2</v>
      </c>
      <c r="L138">
        <f t="shared" si="45"/>
        <v>1.7775408279679694</v>
      </c>
      <c r="M138">
        <f t="shared" si="46"/>
        <v>1.0067279883965152</v>
      </c>
      <c r="N138">
        <f t="shared" si="47"/>
        <v>1.005713552955086</v>
      </c>
      <c r="O138">
        <v>4.4434249659326061E-3</v>
      </c>
      <c r="P138">
        <v>4.5847023281098218E-3</v>
      </c>
      <c r="Q138">
        <f t="shared" si="48"/>
        <v>487.05553937604731</v>
      </c>
      <c r="R138">
        <f t="shared" si="49"/>
        <v>0.48705553937604729</v>
      </c>
    </row>
    <row r="139" spans="1:18" x14ac:dyDescent="0.3">
      <c r="A139">
        <v>0.27600000000000002</v>
      </c>
      <c r="B139" s="4"/>
      <c r="C139">
        <v>-48.6552000495033</v>
      </c>
      <c r="D139">
        <v>1.0959367950000001</v>
      </c>
      <c r="E139">
        <f t="shared" si="50"/>
        <v>14.996981886073073</v>
      </c>
      <c r="F139">
        <f t="shared" si="39"/>
        <v>5.6676224790895048E-3</v>
      </c>
      <c r="G139">
        <f t="shared" si="40"/>
        <v>1.7528729316771664E-2</v>
      </c>
      <c r="H139">
        <f t="shared" si="41"/>
        <v>179.22535038429086</v>
      </c>
      <c r="I139">
        <f t="shared" si="42"/>
        <v>1.3106729906520795</v>
      </c>
      <c r="J139">
        <f t="shared" si="43"/>
        <v>1.3785560838217039</v>
      </c>
      <c r="K139">
        <f t="shared" si="44"/>
        <v>6.8097772261530784E-2</v>
      </c>
      <c r="L139">
        <f t="shared" si="45"/>
        <v>1.7775408279679694</v>
      </c>
      <c r="M139">
        <f t="shared" si="46"/>
        <v>1.0047976742889577</v>
      </c>
      <c r="N139">
        <f t="shared" si="47"/>
        <v>1.0077526243795676</v>
      </c>
      <c r="O139">
        <v>4.3856503995379189E-3</v>
      </c>
      <c r="P139">
        <v>4.6416585389627667E-3</v>
      </c>
      <c r="Q139">
        <f t="shared" si="48"/>
        <v>487.05553937604731</v>
      </c>
      <c r="R139">
        <f t="shared" si="49"/>
        <v>0.48705553937604729</v>
      </c>
    </row>
    <row r="140" spans="1:18" x14ac:dyDescent="0.3">
      <c r="A140">
        <v>0.27800000000000002</v>
      </c>
      <c r="B140" s="4">
        <v>20</v>
      </c>
      <c r="C140">
        <v>-48.6245598591549</v>
      </c>
      <c r="D140">
        <v>1.093679458</v>
      </c>
      <c r="E140">
        <f>$E$139+$R$139</f>
        <v>15.48403742544912</v>
      </c>
      <c r="F140">
        <f t="shared" si="39"/>
        <v>5.7589205474585922E-3</v>
      </c>
      <c r="G140">
        <f t="shared" si="40"/>
        <v>1.7811094476676059E-2</v>
      </c>
      <c r="H140">
        <f t="shared" si="41"/>
        <v>176.38403174514423</v>
      </c>
      <c r="I140">
        <f t="shared" si="42"/>
        <v>1.300222768529786</v>
      </c>
      <c r="J140">
        <f t="shared" si="43"/>
        <v>1.3640286047229901</v>
      </c>
      <c r="K140">
        <f t="shared" si="44"/>
        <v>6.7186228086930422E-2</v>
      </c>
      <c r="L140">
        <f t="shared" si="45"/>
        <v>1.7674726248291226</v>
      </c>
      <c r="M140">
        <f t="shared" si="46"/>
        <v>1.0077478310457237</v>
      </c>
      <c r="N140">
        <f t="shared" si="47"/>
        <v>1.0056821802107951</v>
      </c>
      <c r="O140">
        <v>4.4716461314709324E-3</v>
      </c>
      <c r="P140">
        <v>4.5845375121288511E-3</v>
      </c>
      <c r="Q140">
        <f t="shared" si="48"/>
        <v>475.76083231898451</v>
      </c>
      <c r="R140">
        <f t="shared" si="49"/>
        <v>0.47576083231898453</v>
      </c>
    </row>
    <row r="141" spans="1:18" x14ac:dyDescent="0.3">
      <c r="A141">
        <v>0.28000000000000003</v>
      </c>
      <c r="B141" s="4"/>
      <c r="C141">
        <v>-48.6245598591549</v>
      </c>
      <c r="D141">
        <v>1.093679458</v>
      </c>
      <c r="E141">
        <f t="shared" ref="E141:E147" si="51">$E$139+$R$139</f>
        <v>15.48403742544912</v>
      </c>
      <c r="F141">
        <f t="shared" si="39"/>
        <v>5.7589205474585922E-3</v>
      </c>
      <c r="G141">
        <f t="shared" si="40"/>
        <v>1.7811094476676059E-2</v>
      </c>
      <c r="H141">
        <f t="shared" si="41"/>
        <v>176.38403174514423</v>
      </c>
      <c r="I141">
        <f t="shared" si="42"/>
        <v>1.300222768529786</v>
      </c>
      <c r="J141">
        <f t="shared" si="43"/>
        <v>1.3640286047229901</v>
      </c>
      <c r="K141">
        <f t="shared" si="44"/>
        <v>6.7186228086930422E-2</v>
      </c>
      <c r="L141">
        <f t="shared" si="45"/>
        <v>1.7674726248291226</v>
      </c>
      <c r="M141">
        <f t="shared" si="46"/>
        <v>1.0056311981601918</v>
      </c>
      <c r="N141">
        <f t="shared" si="47"/>
        <v>1.0077506401509411</v>
      </c>
      <c r="O141">
        <v>4.412621173644121E-3</v>
      </c>
      <c r="P141">
        <v>4.6424971749511402E-3</v>
      </c>
      <c r="Q141">
        <f t="shared" si="48"/>
        <v>475.76083231898451</v>
      </c>
      <c r="R141">
        <f t="shared" si="49"/>
        <v>0.47576083231898453</v>
      </c>
    </row>
    <row r="142" spans="1:18" x14ac:dyDescent="0.3">
      <c r="A142">
        <v>0.28199999999999997</v>
      </c>
      <c r="B142" s="4"/>
      <c r="C142">
        <v>-48.6245598591549</v>
      </c>
      <c r="D142">
        <v>1.093679458</v>
      </c>
      <c r="E142">
        <f t="shared" si="51"/>
        <v>15.48403742544912</v>
      </c>
      <c r="F142">
        <f t="shared" si="39"/>
        <v>5.7589205474585922E-3</v>
      </c>
      <c r="G142">
        <f t="shared" si="40"/>
        <v>1.7811094476676059E-2</v>
      </c>
      <c r="H142">
        <f t="shared" si="41"/>
        <v>176.38403174514423</v>
      </c>
      <c r="I142">
        <f t="shared" si="42"/>
        <v>1.300222768529786</v>
      </c>
      <c r="J142">
        <f t="shared" si="43"/>
        <v>1.3640286047229901</v>
      </c>
      <c r="K142">
        <f t="shared" si="44"/>
        <v>6.7186228086930422E-2</v>
      </c>
      <c r="L142">
        <f t="shared" si="45"/>
        <v>1.7674726248291226</v>
      </c>
      <c r="M142">
        <f t="shared" si="46"/>
        <v>1.0042806241795477</v>
      </c>
      <c r="N142">
        <f t="shared" si="47"/>
        <v>1.0094970424138245</v>
      </c>
      <c r="O142">
        <v>4.3690731938061701E-3</v>
      </c>
      <c r="P142">
        <v>4.6857796588853345E-3</v>
      </c>
      <c r="Q142">
        <f t="shared" si="48"/>
        <v>475.76083231898451</v>
      </c>
      <c r="R142">
        <f t="shared" si="49"/>
        <v>0.47576083231898453</v>
      </c>
    </row>
    <row r="143" spans="1:18" x14ac:dyDescent="0.3">
      <c r="A143">
        <v>0.28399999999999997</v>
      </c>
      <c r="B143" s="4"/>
      <c r="C143">
        <v>-48.6245598591549</v>
      </c>
      <c r="D143">
        <v>1.093679458</v>
      </c>
      <c r="E143">
        <f t="shared" si="51"/>
        <v>15.48403742544912</v>
      </c>
      <c r="F143">
        <f t="shared" si="39"/>
        <v>5.7589205474585922E-3</v>
      </c>
      <c r="G143">
        <f t="shared" si="40"/>
        <v>1.7811094476676059E-2</v>
      </c>
      <c r="H143">
        <f t="shared" si="41"/>
        <v>176.38403174514423</v>
      </c>
      <c r="I143">
        <f t="shared" si="42"/>
        <v>1.300222768529786</v>
      </c>
      <c r="J143">
        <f t="shared" si="43"/>
        <v>1.3640286047229901</v>
      </c>
      <c r="K143">
        <f t="shared" si="44"/>
        <v>6.7186228086930422E-2</v>
      </c>
      <c r="L143">
        <f t="shared" si="45"/>
        <v>1.7674726248291226</v>
      </c>
      <c r="M143">
        <f t="shared" si="46"/>
        <v>1.0036410391487238</v>
      </c>
      <c r="N143">
        <f t="shared" si="47"/>
        <v>1.0002086328391682</v>
      </c>
      <c r="O143">
        <v>4.346102613158806E-3</v>
      </c>
      <c r="P143">
        <v>4.6862327258054629E-3</v>
      </c>
      <c r="Q143">
        <f t="shared" si="48"/>
        <v>475.76083231898451</v>
      </c>
      <c r="R143">
        <f t="shared" si="49"/>
        <v>0.47576083231898453</v>
      </c>
    </row>
    <row r="144" spans="1:18" x14ac:dyDescent="0.3">
      <c r="A144">
        <v>0.28599999999999998</v>
      </c>
      <c r="B144" s="4"/>
      <c r="C144">
        <v>-48.6245598591549</v>
      </c>
      <c r="D144">
        <v>1.093679458</v>
      </c>
      <c r="E144">
        <f t="shared" si="51"/>
        <v>15.48403742544912</v>
      </c>
      <c r="F144">
        <f t="shared" si="39"/>
        <v>5.7589205474585922E-3</v>
      </c>
      <c r="G144">
        <f t="shared" si="40"/>
        <v>1.7811094476676059E-2</v>
      </c>
      <c r="H144">
        <f t="shared" si="41"/>
        <v>176.38403174514423</v>
      </c>
      <c r="I144">
        <f t="shared" si="42"/>
        <v>1.300222768529786</v>
      </c>
      <c r="J144">
        <f t="shared" si="43"/>
        <v>1.3640286047229901</v>
      </c>
      <c r="K144">
        <f t="shared" si="44"/>
        <v>6.7186228086930422E-2</v>
      </c>
      <c r="L144">
        <f t="shared" si="45"/>
        <v>1.7674726248291226</v>
      </c>
      <c r="M144">
        <f t="shared" si="46"/>
        <v>1.0036481629097267</v>
      </c>
      <c r="N144">
        <f t="shared" si="47"/>
        <v>1.0003188287608149</v>
      </c>
      <c r="O144">
        <v>4.3463688535607748E-3</v>
      </c>
      <c r="P144">
        <v>4.6862327258054629E-3</v>
      </c>
      <c r="Q144">
        <f t="shared" si="48"/>
        <v>475.76083231898451</v>
      </c>
      <c r="R144">
        <f t="shared" si="49"/>
        <v>0.47576083231898453</v>
      </c>
    </row>
    <row r="145" spans="1:18" x14ac:dyDescent="0.3">
      <c r="A145">
        <v>0.28799999999999998</v>
      </c>
      <c r="B145" s="4"/>
      <c r="C145">
        <v>-48.6245598591549</v>
      </c>
      <c r="D145">
        <v>1.093679458</v>
      </c>
      <c r="E145">
        <f t="shared" si="51"/>
        <v>15.48403742544912</v>
      </c>
      <c r="F145">
        <f t="shared" si="39"/>
        <v>5.7589205474585922E-3</v>
      </c>
      <c r="G145">
        <f t="shared" si="40"/>
        <v>1.7811094476676059E-2</v>
      </c>
      <c r="H145">
        <f t="shared" si="41"/>
        <v>176.38403174514423</v>
      </c>
      <c r="I145">
        <f t="shared" si="42"/>
        <v>1.300222768529786</v>
      </c>
      <c r="J145">
        <f t="shared" si="43"/>
        <v>1.3640286047229901</v>
      </c>
      <c r="K145">
        <f t="shared" si="44"/>
        <v>6.7186228086930422E-2</v>
      </c>
      <c r="L145">
        <f t="shared" si="45"/>
        <v>1.7674726248291226</v>
      </c>
      <c r="M145">
        <f t="shared" si="46"/>
        <v>1.0043028799595177</v>
      </c>
      <c r="N145">
        <f t="shared" si="47"/>
        <v>1.0094645954140766</v>
      </c>
      <c r="O145">
        <v>4.3698412131247515E-3</v>
      </c>
      <c r="P145">
        <v>4.6850124473610377E-3</v>
      </c>
      <c r="Q145">
        <f t="shared" si="48"/>
        <v>475.76083231898451</v>
      </c>
      <c r="R145">
        <f t="shared" si="49"/>
        <v>0.47576083231898453</v>
      </c>
    </row>
    <row r="146" spans="1:18" x14ac:dyDescent="0.3">
      <c r="A146">
        <v>0.28999999999999998</v>
      </c>
      <c r="B146" s="4"/>
      <c r="C146">
        <v>-48.6245598591549</v>
      </c>
      <c r="D146">
        <v>1.093679458</v>
      </c>
      <c r="E146">
        <f t="shared" si="51"/>
        <v>15.48403742544912</v>
      </c>
      <c r="F146">
        <f t="shared" si="39"/>
        <v>5.7589205474585922E-3</v>
      </c>
      <c r="G146">
        <f t="shared" si="40"/>
        <v>1.7811094476676059E-2</v>
      </c>
      <c r="H146">
        <f t="shared" si="41"/>
        <v>176.38403174514423</v>
      </c>
      <c r="I146">
        <f t="shared" si="42"/>
        <v>1.300222768529786</v>
      </c>
      <c r="J146">
        <f t="shared" si="43"/>
        <v>1.3640286047229901</v>
      </c>
      <c r="K146">
        <f t="shared" si="44"/>
        <v>6.7186228086930422E-2</v>
      </c>
      <c r="L146">
        <f t="shared" si="45"/>
        <v>1.7674726248291226</v>
      </c>
      <c r="M146">
        <f t="shared" si="46"/>
        <v>1.0056703146211183</v>
      </c>
      <c r="N146">
        <f t="shared" si="47"/>
        <v>1.0077059266833899</v>
      </c>
      <c r="O146">
        <v>4.4138016857211094E-3</v>
      </c>
      <c r="P146">
        <v>4.6413300544644693E-3</v>
      </c>
      <c r="Q146">
        <f t="shared" si="48"/>
        <v>475.76083231898451</v>
      </c>
      <c r="R146">
        <f t="shared" si="49"/>
        <v>0.47576083231898453</v>
      </c>
    </row>
    <row r="147" spans="1:18" x14ac:dyDescent="0.3">
      <c r="A147">
        <v>0.29199999999999998</v>
      </c>
      <c r="B147" s="4"/>
      <c r="C147">
        <v>-48.6245598591549</v>
      </c>
      <c r="D147">
        <v>1.093679458</v>
      </c>
      <c r="E147">
        <f t="shared" si="51"/>
        <v>15.48403742544912</v>
      </c>
      <c r="F147">
        <f t="shared" si="39"/>
        <v>5.7589205474585922E-3</v>
      </c>
      <c r="G147">
        <f t="shared" si="40"/>
        <v>1.7811094476676059E-2</v>
      </c>
      <c r="H147">
        <f t="shared" si="41"/>
        <v>176.38403174514423</v>
      </c>
      <c r="I147">
        <f t="shared" si="42"/>
        <v>1.300222768529786</v>
      </c>
      <c r="J147">
        <f t="shared" si="43"/>
        <v>1.3640286047229901</v>
      </c>
      <c r="K147">
        <f t="shared" si="44"/>
        <v>6.7186228086930422E-2</v>
      </c>
      <c r="L147">
        <f t="shared" si="45"/>
        <v>1.7674726248291226</v>
      </c>
      <c r="M147">
        <f t="shared" si="46"/>
        <v>1.007804084239744</v>
      </c>
      <c r="N147">
        <f t="shared" si="47"/>
        <v>1.0056355022869341</v>
      </c>
      <c r="O147">
        <v>4.4730998011756123E-3</v>
      </c>
      <c r="P147">
        <v>4.5831201974413259E-3</v>
      </c>
      <c r="Q147">
        <f t="shared" si="48"/>
        <v>475.76083231898451</v>
      </c>
      <c r="R147">
        <f t="shared" si="49"/>
        <v>0.47576083231898453</v>
      </c>
    </row>
    <row r="148" spans="1:18" x14ac:dyDescent="0.3">
      <c r="A148">
        <v>0.29399999999999998</v>
      </c>
      <c r="B148" s="4">
        <v>21</v>
      </c>
      <c r="C148">
        <v>-48.609239763980703</v>
      </c>
      <c r="D148">
        <v>1.0981941310000001</v>
      </c>
      <c r="E148">
        <f>$E$147+$R$147</f>
        <v>15.959798257768105</v>
      </c>
      <c r="F148">
        <f t="shared" si="39"/>
        <v>5.8467251614764994E-3</v>
      </c>
      <c r="G148">
        <f t="shared" si="40"/>
        <v>1.8082655138587114E-2</v>
      </c>
      <c r="H148">
        <f t="shared" si="41"/>
        <v>173.73514174286581</v>
      </c>
      <c r="I148">
        <f t="shared" si="42"/>
        <v>1.290670616142445</v>
      </c>
      <c r="J148">
        <f t="shared" si="43"/>
        <v>1.3554558029258343</v>
      </c>
      <c r="K148">
        <f t="shared" si="44"/>
        <v>7.0751117760809321E-2</v>
      </c>
      <c r="L148">
        <f t="shared" si="45"/>
        <v>1.7561360848413605</v>
      </c>
      <c r="M148">
        <f t="shared" si="46"/>
        <v>1.0055749508286422</v>
      </c>
      <c r="N148">
        <f t="shared" si="47"/>
        <v>1.0089860654384772</v>
      </c>
      <c r="O148">
        <v>4.4118765055926167E-3</v>
      </c>
      <c r="P148">
        <v>4.6746492565083592E-3</v>
      </c>
      <c r="Q148">
        <f t="shared" si="48"/>
        <v>498.00695676145887</v>
      </c>
      <c r="R148">
        <f t="shared" si="49"/>
        <v>0.49800695676145884</v>
      </c>
    </row>
    <row r="149" spans="1:18" x14ac:dyDescent="0.3">
      <c r="A149">
        <v>0.29599999999999999</v>
      </c>
      <c r="B149" s="4"/>
      <c r="C149">
        <v>-48.609239763980703</v>
      </c>
      <c r="D149">
        <v>1.0981941310000001</v>
      </c>
      <c r="E149">
        <f t="shared" ref="E149:E156" si="52">$E$147+$R$147</f>
        <v>15.959798257768105</v>
      </c>
      <c r="F149">
        <f t="shared" si="39"/>
        <v>5.8467251614764994E-3</v>
      </c>
      <c r="G149">
        <f t="shared" si="40"/>
        <v>1.8082655138587114E-2</v>
      </c>
      <c r="H149">
        <f t="shared" si="41"/>
        <v>173.73514174286581</v>
      </c>
      <c r="I149">
        <f t="shared" si="42"/>
        <v>1.290670616142445</v>
      </c>
      <c r="J149">
        <f t="shared" si="43"/>
        <v>1.3554558029258343</v>
      </c>
      <c r="K149">
        <f t="shared" si="44"/>
        <v>7.0751117760809321E-2</v>
      </c>
      <c r="L149">
        <f t="shared" si="45"/>
        <v>1.7561360848413605</v>
      </c>
      <c r="M149">
        <f t="shared" si="46"/>
        <v>1.0076682243245965</v>
      </c>
      <c r="N149">
        <f t="shared" si="47"/>
        <v>1.0067569658647277</v>
      </c>
      <c r="O149">
        <v>4.4706864249339116E-3</v>
      </c>
      <c r="P149">
        <v>4.616712591375631E-3</v>
      </c>
      <c r="Q149">
        <f t="shared" si="48"/>
        <v>498.00695676145887</v>
      </c>
      <c r="R149">
        <f t="shared" si="49"/>
        <v>0.49800695676145884</v>
      </c>
    </row>
    <row r="150" spans="1:18" x14ac:dyDescent="0.3">
      <c r="A150">
        <v>0.29799999999999999</v>
      </c>
      <c r="B150" s="4"/>
      <c r="C150">
        <v>-48.609239763980703</v>
      </c>
      <c r="D150">
        <v>1.0981941310000001</v>
      </c>
      <c r="E150">
        <f t="shared" si="52"/>
        <v>15.959798257768105</v>
      </c>
      <c r="F150">
        <f t="shared" si="39"/>
        <v>5.8467251614764994E-3</v>
      </c>
      <c r="G150">
        <f t="shared" si="40"/>
        <v>1.8082655138587114E-2</v>
      </c>
      <c r="H150">
        <f t="shared" si="41"/>
        <v>173.73514174286581</v>
      </c>
      <c r="I150">
        <f t="shared" si="42"/>
        <v>1.290670616142445</v>
      </c>
      <c r="J150">
        <f t="shared" si="43"/>
        <v>1.3554558029258343</v>
      </c>
      <c r="K150">
        <f t="shared" si="44"/>
        <v>7.0751117760809321E-2</v>
      </c>
      <c r="L150">
        <f t="shared" si="45"/>
        <v>1.7561360848413605</v>
      </c>
      <c r="M150">
        <f t="shared" si="46"/>
        <v>0.99320222300397421</v>
      </c>
      <c r="N150">
        <f t="shared" si="47"/>
        <v>1.0045642764342864</v>
      </c>
      <c r="O150">
        <v>4.5004490409645539E-3</v>
      </c>
      <c r="P150">
        <v>4.549681934261765E-3</v>
      </c>
      <c r="Q150">
        <f t="shared" si="48"/>
        <v>498.00695676145887</v>
      </c>
      <c r="R150">
        <f t="shared" si="49"/>
        <v>0.49800695676145884</v>
      </c>
    </row>
    <row r="151" spans="1:18" x14ac:dyDescent="0.3">
      <c r="A151">
        <v>0.3</v>
      </c>
      <c r="B151" s="4"/>
      <c r="C151">
        <v>-48.609239763980703</v>
      </c>
      <c r="D151">
        <v>1.0981941310000001</v>
      </c>
      <c r="E151">
        <f t="shared" si="52"/>
        <v>15.959798257768105</v>
      </c>
      <c r="F151">
        <f t="shared" si="39"/>
        <v>5.8467251614764994E-3</v>
      </c>
      <c r="G151">
        <f t="shared" si="40"/>
        <v>1.8082655138587114E-2</v>
      </c>
      <c r="H151">
        <f t="shared" si="41"/>
        <v>173.73514174286581</v>
      </c>
      <c r="I151">
        <f t="shared" si="42"/>
        <v>1.290670616142445</v>
      </c>
      <c r="J151">
        <f t="shared" si="43"/>
        <v>1.3554558029258343</v>
      </c>
      <c r="K151">
        <f t="shared" si="44"/>
        <v>7.0751117760809321E-2</v>
      </c>
      <c r="L151">
        <f t="shared" si="45"/>
        <v>1.7561360848413605</v>
      </c>
      <c r="M151">
        <f t="shared" si="46"/>
        <v>1.0019889344174568</v>
      </c>
      <c r="N151">
        <f t="shared" si="47"/>
        <v>1.0027691823232585</v>
      </c>
      <c r="O151">
        <v>4.5841227905062971E-3</v>
      </c>
      <c r="P151">
        <v>4.4816888825990921E-3</v>
      </c>
      <c r="Q151">
        <f t="shared" si="48"/>
        <v>498.00695676145887</v>
      </c>
      <c r="R151">
        <f t="shared" si="49"/>
        <v>0.49800695676145884</v>
      </c>
    </row>
    <row r="152" spans="1:18" x14ac:dyDescent="0.3">
      <c r="A152">
        <v>0.30199999999999999</v>
      </c>
      <c r="B152" s="4"/>
      <c r="C152">
        <v>-48.609239763980703</v>
      </c>
      <c r="D152">
        <v>1.0981941310000001</v>
      </c>
      <c r="E152">
        <f t="shared" si="52"/>
        <v>15.959798257768105</v>
      </c>
      <c r="F152">
        <f t="shared" si="39"/>
        <v>5.8467251614764994E-3</v>
      </c>
      <c r="G152">
        <f t="shared" si="40"/>
        <v>1.8082655138587114E-2</v>
      </c>
      <c r="H152">
        <f t="shared" si="41"/>
        <v>173.73514174286581</v>
      </c>
      <c r="I152">
        <f t="shared" si="42"/>
        <v>1.290670616142445</v>
      </c>
      <c r="J152">
        <f t="shared" si="43"/>
        <v>1.3554558029258343</v>
      </c>
      <c r="K152">
        <f t="shared" si="44"/>
        <v>7.0751117760809321E-2</v>
      </c>
      <c r="L152">
        <f t="shared" si="45"/>
        <v>1.7561360848413605</v>
      </c>
      <c r="M152">
        <f t="shared" si="46"/>
        <v>1.003863712808277</v>
      </c>
      <c r="N152">
        <f t="shared" si="47"/>
        <v>1.0015333093202394</v>
      </c>
      <c r="O152">
        <v>4.6454840441651005E-3</v>
      </c>
      <c r="P152">
        <v>4.4207951108233036E-3</v>
      </c>
      <c r="Q152">
        <f t="shared" si="48"/>
        <v>498.00695676145887</v>
      </c>
      <c r="R152">
        <f t="shared" si="49"/>
        <v>0.49800695676145884</v>
      </c>
    </row>
    <row r="153" spans="1:18" x14ac:dyDescent="0.3">
      <c r="A153">
        <v>0.30399999999999999</v>
      </c>
      <c r="B153" s="4"/>
      <c r="C153">
        <v>-48.609239763980703</v>
      </c>
      <c r="D153">
        <v>1.0981941310000001</v>
      </c>
      <c r="E153">
        <f t="shared" si="52"/>
        <v>15.959798257768105</v>
      </c>
      <c r="F153">
        <f t="shared" si="39"/>
        <v>5.8467251614764994E-3</v>
      </c>
      <c r="G153">
        <f t="shared" si="40"/>
        <v>1.8082655138587114E-2</v>
      </c>
      <c r="H153">
        <f t="shared" si="41"/>
        <v>173.73514174286581</v>
      </c>
      <c r="I153">
        <f t="shared" si="42"/>
        <v>1.290670616142445</v>
      </c>
      <c r="J153">
        <f t="shared" si="43"/>
        <v>1.3554558029258343</v>
      </c>
      <c r="K153">
        <f t="shared" si="44"/>
        <v>7.0751117760809321E-2</v>
      </c>
      <c r="L153">
        <f t="shared" si="45"/>
        <v>1.7561360848413605</v>
      </c>
      <c r="M153">
        <f t="shared" si="46"/>
        <v>1.0055612096266155</v>
      </c>
      <c r="N153">
        <f t="shared" si="47"/>
        <v>1.0008259830325585</v>
      </c>
      <c r="O153">
        <v>4.6931863799555378E-3</v>
      </c>
      <c r="P153">
        <v>4.3740619602466385E-3</v>
      </c>
      <c r="Q153">
        <f t="shared" si="48"/>
        <v>498.00695676145887</v>
      </c>
      <c r="R153">
        <f t="shared" si="49"/>
        <v>0.49800695676145884</v>
      </c>
    </row>
    <row r="154" spans="1:18" x14ac:dyDescent="0.3">
      <c r="A154">
        <v>0.30599999999999999</v>
      </c>
      <c r="B154" s="4"/>
      <c r="C154">
        <v>-48.609239763980703</v>
      </c>
      <c r="D154">
        <v>1.0981941310000001</v>
      </c>
      <c r="E154">
        <f t="shared" si="52"/>
        <v>15.959798257768105</v>
      </c>
      <c r="F154">
        <f t="shared" si="39"/>
        <v>5.8467251614764994E-3</v>
      </c>
      <c r="G154">
        <f t="shared" si="40"/>
        <v>1.8082655138587114E-2</v>
      </c>
      <c r="H154">
        <f t="shared" si="41"/>
        <v>173.73514174286581</v>
      </c>
      <c r="I154">
        <f t="shared" si="42"/>
        <v>1.290670616142445</v>
      </c>
      <c r="J154">
        <f t="shared" si="43"/>
        <v>1.3554558029258343</v>
      </c>
      <c r="K154">
        <f t="shared" si="44"/>
        <v>7.0751117760809321E-2</v>
      </c>
      <c r="L154">
        <f t="shared" si="45"/>
        <v>1.7561360848413605</v>
      </c>
      <c r="M154">
        <f t="shared" si="46"/>
        <v>1.0066572039212853</v>
      </c>
      <c r="N154">
        <f t="shared" si="47"/>
        <v>1.0005110487204869</v>
      </c>
      <c r="O154">
        <v>4.7212546589721887E-3</v>
      </c>
      <c r="P154">
        <v>4.3468076117428971E-3</v>
      </c>
      <c r="Q154">
        <f t="shared" si="48"/>
        <v>498.00695676145887</v>
      </c>
      <c r="R154">
        <f t="shared" si="49"/>
        <v>0.49800695676145884</v>
      </c>
    </row>
    <row r="155" spans="1:18" x14ac:dyDescent="0.3">
      <c r="A155">
        <v>0.308</v>
      </c>
      <c r="B155" s="4"/>
      <c r="C155">
        <v>-48.609239763980703</v>
      </c>
      <c r="D155">
        <v>1.0981941310000001</v>
      </c>
      <c r="E155">
        <f t="shared" si="52"/>
        <v>15.959798257768105</v>
      </c>
      <c r="F155">
        <f t="shared" si="39"/>
        <v>5.8467251614764994E-3</v>
      </c>
      <c r="G155">
        <f t="shared" si="40"/>
        <v>1.8082655138587114E-2</v>
      </c>
      <c r="H155">
        <f t="shared" si="41"/>
        <v>173.73514174286581</v>
      </c>
      <c r="I155">
        <f t="shared" si="42"/>
        <v>1.290670616142445</v>
      </c>
      <c r="J155">
        <f t="shared" si="43"/>
        <v>1.3554558029258343</v>
      </c>
      <c r="K155">
        <f t="shared" si="44"/>
        <v>7.0751117760809321E-2</v>
      </c>
      <c r="L155">
        <f t="shared" si="45"/>
        <v>1.7561360848413605</v>
      </c>
      <c r="M155">
        <f t="shared" si="46"/>
        <v>1.0068548131655688</v>
      </c>
      <c r="N155">
        <f t="shared" si="47"/>
        <v>1.0004639039707086</v>
      </c>
      <c r="O155">
        <v>4.7261285926239426E-3</v>
      </c>
      <c r="P155">
        <v>4.3420932349885382E-3</v>
      </c>
      <c r="Q155">
        <f t="shared" si="48"/>
        <v>498.00695676145887</v>
      </c>
      <c r="R155">
        <f t="shared" si="49"/>
        <v>0.49800695676145884</v>
      </c>
    </row>
    <row r="156" spans="1:18" x14ac:dyDescent="0.3">
      <c r="A156">
        <v>0.31</v>
      </c>
      <c r="B156" s="4"/>
      <c r="C156">
        <v>-48.609239763980703</v>
      </c>
      <c r="D156">
        <v>1.0981941310000001</v>
      </c>
      <c r="E156">
        <f t="shared" si="52"/>
        <v>15.959798257768105</v>
      </c>
      <c r="F156">
        <f t="shared" si="39"/>
        <v>5.8467251614764994E-3</v>
      </c>
      <c r="G156">
        <f t="shared" si="40"/>
        <v>1.8082655138587114E-2</v>
      </c>
      <c r="H156">
        <f t="shared" si="41"/>
        <v>173.73514174286581</v>
      </c>
      <c r="I156">
        <f t="shared" si="42"/>
        <v>1.290670616142445</v>
      </c>
      <c r="J156">
        <f t="shared" si="43"/>
        <v>1.3554558029258343</v>
      </c>
      <c r="K156">
        <f t="shared" si="44"/>
        <v>7.0751117760809321E-2</v>
      </c>
      <c r="L156">
        <f t="shared" si="45"/>
        <v>1.7561360848413605</v>
      </c>
      <c r="M156">
        <f t="shared" si="46"/>
        <v>1.0060989213939444</v>
      </c>
      <c r="N156">
        <f t="shared" si="47"/>
        <v>1.0006596153547889</v>
      </c>
      <c r="O156">
        <v>4.7071865853366155E-3</v>
      </c>
      <c r="P156">
        <v>4.3604453343561288E-3</v>
      </c>
      <c r="Q156">
        <f t="shared" si="48"/>
        <v>498.00695676145887</v>
      </c>
      <c r="R156">
        <f t="shared" si="49"/>
        <v>0.49800695676145884</v>
      </c>
    </row>
    <row r="157" spans="1:18" x14ac:dyDescent="0.3">
      <c r="A157">
        <v>0.312</v>
      </c>
      <c r="B157" s="4">
        <v>22</v>
      </c>
      <c r="C157">
        <v>-48.547959383283803</v>
      </c>
      <c r="D157">
        <v>1.0993227990000001</v>
      </c>
      <c r="E157">
        <f>$E$156+$R$156</f>
        <v>16.457805214529564</v>
      </c>
      <c r="F157">
        <f t="shared" si="39"/>
        <v>5.9372445793309594E-3</v>
      </c>
      <c r="G157">
        <f t="shared" si="40"/>
        <v>1.8362612101023586E-2</v>
      </c>
      <c r="H157">
        <f t="shared" si="41"/>
        <v>171.08637029993525</v>
      </c>
      <c r="I157">
        <f t="shared" si="42"/>
        <v>1.2813006547377106</v>
      </c>
      <c r="J157">
        <f t="shared" si="43"/>
        <v>1.3446171603621873</v>
      </c>
      <c r="K157">
        <f t="shared" si="44"/>
        <v>7.2072126832130975E-2</v>
      </c>
      <c r="L157">
        <f t="shared" si="45"/>
        <v>1.746070363805283</v>
      </c>
      <c r="M157">
        <f t="shared" si="46"/>
        <v>1.0076065210345202</v>
      </c>
      <c r="N157">
        <f t="shared" si="47"/>
        <v>1.0005513003083994</v>
      </c>
      <c r="O157">
        <v>4.744989087413643E-3</v>
      </c>
      <c r="P157">
        <v>4.3509440216688289E-3</v>
      </c>
      <c r="Q157">
        <f t="shared" si="48"/>
        <v>503.85921172978914</v>
      </c>
      <c r="R157">
        <f t="shared" si="49"/>
        <v>0.50385921172978909</v>
      </c>
    </row>
    <row r="158" spans="1:18" x14ac:dyDescent="0.3">
      <c r="A158">
        <v>0.314</v>
      </c>
      <c r="B158" s="4"/>
      <c r="C158">
        <v>-48.547959383283803</v>
      </c>
      <c r="D158">
        <v>1.0993227990000001</v>
      </c>
      <c r="E158">
        <f t="shared" ref="E158:E165" si="53">$E$156+$R$156</f>
        <v>16.457805214529564</v>
      </c>
      <c r="F158">
        <f t="shared" si="39"/>
        <v>5.9372445793309594E-3</v>
      </c>
      <c r="G158">
        <f t="shared" si="40"/>
        <v>1.8362612101023586E-2</v>
      </c>
      <c r="H158">
        <f t="shared" si="41"/>
        <v>171.08637029993525</v>
      </c>
      <c r="I158">
        <f t="shared" si="42"/>
        <v>1.2813006547377106</v>
      </c>
      <c r="J158">
        <f t="shared" si="43"/>
        <v>1.3446171603621873</v>
      </c>
      <c r="K158">
        <f t="shared" si="44"/>
        <v>7.2072126832130975E-2</v>
      </c>
      <c r="L158">
        <f t="shared" si="45"/>
        <v>1.746070363805283</v>
      </c>
      <c r="M158">
        <f t="shared" si="46"/>
        <v>1.0071911331932035</v>
      </c>
      <c r="N158">
        <f t="shared" si="47"/>
        <v>1.0006573890687775</v>
      </c>
      <c r="O158">
        <v>4.7350647975514535E-3</v>
      </c>
      <c r="P158">
        <v>4.3605503918963742E-3</v>
      </c>
      <c r="Q158">
        <f t="shared" si="48"/>
        <v>503.85921172978914</v>
      </c>
      <c r="R158">
        <f t="shared" si="49"/>
        <v>0.50385921172978909</v>
      </c>
    </row>
    <row r="159" spans="1:18" x14ac:dyDescent="0.3">
      <c r="A159">
        <v>0.316</v>
      </c>
      <c r="B159" s="4"/>
      <c r="C159">
        <v>-48.547959383283803</v>
      </c>
      <c r="D159">
        <v>1.0993227990000001</v>
      </c>
      <c r="E159">
        <f t="shared" si="53"/>
        <v>16.457805214529564</v>
      </c>
      <c r="F159">
        <f t="shared" si="39"/>
        <v>5.9372445793309594E-3</v>
      </c>
      <c r="G159">
        <f t="shared" si="40"/>
        <v>1.8362612101023586E-2</v>
      </c>
      <c r="H159">
        <f t="shared" si="41"/>
        <v>171.08637029993525</v>
      </c>
      <c r="I159">
        <f t="shared" si="42"/>
        <v>1.2813006547377106</v>
      </c>
      <c r="J159">
        <f t="shared" si="43"/>
        <v>1.3446171603621873</v>
      </c>
      <c r="K159">
        <f t="shared" si="44"/>
        <v>7.2072126832130975E-2</v>
      </c>
      <c r="L159">
        <f t="shared" si="45"/>
        <v>1.746070363805283</v>
      </c>
      <c r="M159">
        <f t="shared" si="46"/>
        <v>1.0058968204263445</v>
      </c>
      <c r="N159">
        <f t="shared" si="47"/>
        <v>1.0010680407702615</v>
      </c>
      <c r="O159">
        <v>4.7026607308734364E-3</v>
      </c>
      <c r="P159">
        <v>4.392067858538109E-3</v>
      </c>
      <c r="Q159">
        <f t="shared" si="48"/>
        <v>503.85921172978914</v>
      </c>
      <c r="R159">
        <f t="shared" si="49"/>
        <v>0.50385921172978909</v>
      </c>
    </row>
    <row r="160" spans="1:18" x14ac:dyDescent="0.3">
      <c r="A160">
        <v>0.318</v>
      </c>
      <c r="B160" s="4"/>
      <c r="C160">
        <v>-48.547959383283803</v>
      </c>
      <c r="D160">
        <v>1.0993227990000001</v>
      </c>
      <c r="E160">
        <f t="shared" si="53"/>
        <v>16.457805214529564</v>
      </c>
      <c r="F160">
        <f t="shared" si="39"/>
        <v>5.9372445793309594E-3</v>
      </c>
      <c r="G160">
        <f t="shared" si="40"/>
        <v>1.8362612101023586E-2</v>
      </c>
      <c r="H160">
        <f t="shared" si="41"/>
        <v>171.08637029993525</v>
      </c>
      <c r="I160">
        <f t="shared" si="42"/>
        <v>1.2813006547377106</v>
      </c>
      <c r="J160">
        <f t="shared" si="43"/>
        <v>1.3446171603621873</v>
      </c>
      <c r="K160">
        <f t="shared" si="44"/>
        <v>7.2072126832130975E-2</v>
      </c>
      <c r="L160">
        <f t="shared" si="45"/>
        <v>1.746070363805283</v>
      </c>
      <c r="M160">
        <f t="shared" si="46"/>
        <v>1.0040563662450004</v>
      </c>
      <c r="N160">
        <f t="shared" si="47"/>
        <v>1.0019148788220282</v>
      </c>
      <c r="O160">
        <v>4.6517548605119492E-3</v>
      </c>
      <c r="P160">
        <v>4.4420541854949362E-3</v>
      </c>
      <c r="Q160">
        <f t="shared" si="48"/>
        <v>503.85921172978914</v>
      </c>
      <c r="R160">
        <f t="shared" si="49"/>
        <v>0.50385921172978909</v>
      </c>
    </row>
    <row r="161" spans="1:18" x14ac:dyDescent="0.3">
      <c r="A161">
        <v>0.32</v>
      </c>
      <c r="B161" s="4"/>
      <c r="C161">
        <v>-48.547959383283803</v>
      </c>
      <c r="D161">
        <v>1.0993227990000001</v>
      </c>
      <c r="E161">
        <f t="shared" si="53"/>
        <v>16.457805214529564</v>
      </c>
      <c r="F161">
        <f t="shared" si="39"/>
        <v>5.9372445793309594E-3</v>
      </c>
      <c r="G161">
        <f t="shared" si="40"/>
        <v>1.8362612101023586E-2</v>
      </c>
      <c r="H161">
        <f t="shared" si="41"/>
        <v>171.08637029993525</v>
      </c>
      <c r="I161">
        <f t="shared" si="42"/>
        <v>1.2813006547377106</v>
      </c>
      <c r="J161">
        <f t="shared" si="43"/>
        <v>1.3446171603621873</v>
      </c>
      <c r="K161">
        <f t="shared" si="44"/>
        <v>7.2072126832130975E-2</v>
      </c>
      <c r="L161">
        <f t="shared" si="45"/>
        <v>1.746070363805283</v>
      </c>
      <c r="M161">
        <f t="shared" si="46"/>
        <v>1.0021015267656319</v>
      </c>
      <c r="N161">
        <f t="shared" si="47"/>
        <v>1.003318551262357</v>
      </c>
      <c r="O161">
        <v>4.5885128440274212E-3</v>
      </c>
      <c r="P161">
        <v>4.5049730829670185E-3</v>
      </c>
      <c r="Q161">
        <f t="shared" si="48"/>
        <v>503.85921172978914</v>
      </c>
      <c r="R161">
        <f t="shared" si="49"/>
        <v>0.50385921172978909</v>
      </c>
    </row>
    <row r="162" spans="1:18" x14ac:dyDescent="0.3">
      <c r="A162">
        <v>0.32200000000000001</v>
      </c>
      <c r="B162" s="4"/>
      <c r="C162">
        <v>-48.547959383283803</v>
      </c>
      <c r="D162">
        <v>1.0993227990000001</v>
      </c>
      <c r="E162">
        <f t="shared" si="53"/>
        <v>16.457805214529564</v>
      </c>
      <c r="F162">
        <f t="shared" si="39"/>
        <v>5.9372445793309594E-3</v>
      </c>
      <c r="G162">
        <f t="shared" si="40"/>
        <v>1.8362612101023586E-2</v>
      </c>
      <c r="H162">
        <f t="shared" si="41"/>
        <v>171.08637029993525</v>
      </c>
      <c r="I162">
        <f t="shared" si="42"/>
        <v>1.2813006547377106</v>
      </c>
      <c r="J162">
        <f t="shared" si="43"/>
        <v>1.3446171603621873</v>
      </c>
      <c r="K162">
        <f t="shared" si="44"/>
        <v>7.2072126832130975E-2</v>
      </c>
      <c r="L162">
        <f t="shared" si="45"/>
        <v>1.746070363805283</v>
      </c>
      <c r="M162">
        <f t="shared" si="46"/>
        <v>0.99164969019044757</v>
      </c>
      <c r="N162">
        <f t="shared" si="47"/>
        <v>1.0052774627318362</v>
      </c>
      <c r="O162">
        <v>4.5004490409645539E-3</v>
      </c>
      <c r="P162">
        <v>4.5737211230952564E-3</v>
      </c>
      <c r="Q162">
        <f t="shared" si="48"/>
        <v>503.85921172978914</v>
      </c>
      <c r="R162">
        <f t="shared" si="49"/>
        <v>0.50385921172978909</v>
      </c>
    </row>
    <row r="163" spans="1:18" x14ac:dyDescent="0.3">
      <c r="A163">
        <v>0.32400000000000001</v>
      </c>
      <c r="B163" s="4"/>
      <c r="C163">
        <v>-48.547959383283803</v>
      </c>
      <c r="D163">
        <v>1.0993227990000001</v>
      </c>
      <c r="E163">
        <f t="shared" si="53"/>
        <v>16.457805214529564</v>
      </c>
      <c r="F163">
        <f t="shared" si="39"/>
        <v>5.9372445793309594E-3</v>
      </c>
      <c r="G163">
        <f t="shared" si="40"/>
        <v>1.8362612101023586E-2</v>
      </c>
      <c r="H163">
        <f t="shared" si="41"/>
        <v>171.08637029993525</v>
      </c>
      <c r="I163">
        <f t="shared" si="42"/>
        <v>1.2813006547377106</v>
      </c>
      <c r="J163">
        <f t="shared" si="43"/>
        <v>1.3446171603621873</v>
      </c>
      <c r="K163">
        <f t="shared" si="44"/>
        <v>7.2072126832130975E-2</v>
      </c>
      <c r="L163">
        <f t="shared" si="45"/>
        <v>1.746070363805283</v>
      </c>
      <c r="M163">
        <f t="shared" si="46"/>
        <v>1.0078043272692523</v>
      </c>
      <c r="N163">
        <f t="shared" si="47"/>
        <v>1.0075946531379132</v>
      </c>
      <c r="O163">
        <v>4.4752323806801836E-3</v>
      </c>
      <c r="P163">
        <v>4.6403640681436254E-3</v>
      </c>
      <c r="Q163">
        <f t="shared" si="48"/>
        <v>503.85921172978914</v>
      </c>
      <c r="R163">
        <f t="shared" si="49"/>
        <v>0.50385921172978909</v>
      </c>
    </row>
    <row r="164" spans="1:18" x14ac:dyDescent="0.3">
      <c r="A164">
        <v>0.32600000000000001</v>
      </c>
      <c r="B164" s="4"/>
      <c r="C164">
        <v>-48.547959383283803</v>
      </c>
      <c r="D164">
        <v>1.0993227990000001</v>
      </c>
      <c r="E164">
        <f t="shared" si="53"/>
        <v>16.457805214529564</v>
      </c>
      <c r="F164">
        <f t="shared" si="39"/>
        <v>5.9372445793309594E-3</v>
      </c>
      <c r="G164">
        <f t="shared" si="40"/>
        <v>1.8362612101023586E-2</v>
      </c>
      <c r="H164">
        <f t="shared" si="41"/>
        <v>171.08637029993525</v>
      </c>
      <c r="I164">
        <f t="shared" si="42"/>
        <v>1.2813006547377106</v>
      </c>
      <c r="J164">
        <f t="shared" si="43"/>
        <v>1.3446171603621873</v>
      </c>
      <c r="K164">
        <f t="shared" si="44"/>
        <v>7.2072126832130975E-2</v>
      </c>
      <c r="L164">
        <f t="shared" si="45"/>
        <v>1.746070363805283</v>
      </c>
      <c r="M164">
        <f t="shared" si="46"/>
        <v>1.005740980634636</v>
      </c>
      <c r="N164">
        <f t="shared" si="47"/>
        <v>1.005009105824217</v>
      </c>
      <c r="O164">
        <v>4.4177811299684665E-3</v>
      </c>
      <c r="P164">
        <v>4.6862327258054629E-3</v>
      </c>
      <c r="Q164">
        <f t="shared" si="48"/>
        <v>503.85921172978914</v>
      </c>
      <c r="R164">
        <f t="shared" si="49"/>
        <v>0.50385921172978909</v>
      </c>
    </row>
    <row r="165" spans="1:18" x14ac:dyDescent="0.3">
      <c r="A165">
        <v>0.32800000000000001</v>
      </c>
      <c r="B165" s="4"/>
      <c r="C165">
        <v>-48.547959383283803</v>
      </c>
      <c r="D165">
        <v>1.0993227990000001</v>
      </c>
      <c r="E165">
        <f t="shared" si="53"/>
        <v>16.457805214529564</v>
      </c>
      <c r="F165">
        <f t="shared" si="39"/>
        <v>5.9372445793309594E-3</v>
      </c>
      <c r="G165">
        <f t="shared" si="40"/>
        <v>1.8362612101023586E-2</v>
      </c>
      <c r="H165">
        <f t="shared" si="41"/>
        <v>171.08637029993525</v>
      </c>
      <c r="I165">
        <f t="shared" si="42"/>
        <v>1.2813006547377106</v>
      </c>
      <c r="J165">
        <f t="shared" si="43"/>
        <v>1.3446171603621873</v>
      </c>
      <c r="K165">
        <f t="shared" si="44"/>
        <v>7.2072126832130975E-2</v>
      </c>
      <c r="L165">
        <f t="shared" si="45"/>
        <v>1.746070363805283</v>
      </c>
      <c r="M165">
        <f t="shared" si="46"/>
        <v>1.0044871878064168</v>
      </c>
      <c r="N165">
        <f t="shared" si="47"/>
        <v>1.000562488001334</v>
      </c>
      <c r="O165">
        <v>4.377789902699292E-3</v>
      </c>
      <c r="P165">
        <v>4.712418067780404E-3</v>
      </c>
      <c r="Q165">
        <f t="shared" si="48"/>
        <v>503.85921172978914</v>
      </c>
      <c r="R165">
        <f t="shared" si="49"/>
        <v>0.50385921172978909</v>
      </c>
    </row>
    <row r="166" spans="1:18" x14ac:dyDescent="0.3">
      <c r="A166">
        <v>0.33</v>
      </c>
      <c r="B166" s="4">
        <v>23</v>
      </c>
      <c r="C166">
        <v>-48.517319192935297</v>
      </c>
      <c r="D166">
        <v>1.1038374719999999</v>
      </c>
      <c r="E166">
        <f>$E$165+$R$165</f>
        <v>16.961664426259354</v>
      </c>
      <c r="F166">
        <f t="shared" si="39"/>
        <v>6.02744441576843E-3</v>
      </c>
      <c r="G166">
        <f t="shared" si="40"/>
        <v>1.864158066732504E-2</v>
      </c>
      <c r="H166">
        <f t="shared" si="41"/>
        <v>168.52608744152133</v>
      </c>
      <c r="I166">
        <f t="shared" si="42"/>
        <v>1.2724147802805117</v>
      </c>
      <c r="J166">
        <f t="shared" si="43"/>
        <v>1.3365549190400758</v>
      </c>
      <c r="K166">
        <f t="shared" si="44"/>
        <v>7.5670893479110657E-2</v>
      </c>
      <c r="L166">
        <f t="shared" si="45"/>
        <v>1.7353810789453039</v>
      </c>
      <c r="M166">
        <f t="shared" si="46"/>
        <v>1.0068932425158557</v>
      </c>
      <c r="N166">
        <f t="shared" si="47"/>
        <v>1.0064048588052237</v>
      </c>
      <c r="O166">
        <v>4.4519412498163742E-3</v>
      </c>
      <c r="P166">
        <v>4.6862327258054629E-3</v>
      </c>
      <c r="Q166">
        <f t="shared" si="48"/>
        <v>526.16468584011352</v>
      </c>
      <c r="R166">
        <f t="shared" si="49"/>
        <v>0.52616468584011356</v>
      </c>
    </row>
    <row r="167" spans="1:18" x14ac:dyDescent="0.3">
      <c r="A167">
        <v>0.33200000000000002</v>
      </c>
      <c r="B167" s="4"/>
      <c r="C167">
        <v>-48.517319192935297</v>
      </c>
      <c r="D167">
        <v>1.1038374719999999</v>
      </c>
      <c r="E167">
        <f t="shared" ref="E167:E174" si="54">$E$165+$R$165</f>
        <v>16.961664426259354</v>
      </c>
      <c r="F167">
        <f t="shared" si="39"/>
        <v>6.02744441576843E-3</v>
      </c>
      <c r="G167">
        <f t="shared" si="40"/>
        <v>1.864158066732504E-2</v>
      </c>
      <c r="H167">
        <f t="shared" si="41"/>
        <v>168.52608744152133</v>
      </c>
      <c r="I167">
        <f t="shared" si="42"/>
        <v>1.2724147802805117</v>
      </c>
      <c r="J167">
        <f t="shared" si="43"/>
        <v>1.3365549190400758</v>
      </c>
      <c r="K167">
        <f t="shared" si="44"/>
        <v>7.5670893479110657E-2</v>
      </c>
      <c r="L167">
        <f t="shared" si="45"/>
        <v>1.7353810789453039</v>
      </c>
      <c r="M167">
        <f t="shared" si="46"/>
        <v>1.0051722319339851</v>
      </c>
      <c r="N167">
        <f t="shared" si="47"/>
        <v>1.0007137166906661</v>
      </c>
      <c r="O167">
        <v>4.4011373408433408E-3</v>
      </c>
      <c r="P167">
        <v>4.7191396151635805E-3</v>
      </c>
      <c r="Q167">
        <f t="shared" si="48"/>
        <v>526.16468584011352</v>
      </c>
      <c r="R167">
        <f t="shared" si="49"/>
        <v>0.52616468584011356</v>
      </c>
    </row>
    <row r="168" spans="1:18" x14ac:dyDescent="0.3">
      <c r="A168">
        <v>0.33400000000000002</v>
      </c>
      <c r="B168" s="4"/>
      <c r="C168">
        <v>-48.517319192935297</v>
      </c>
      <c r="D168">
        <v>1.1038374719999999</v>
      </c>
      <c r="E168">
        <f t="shared" si="54"/>
        <v>16.961664426259354</v>
      </c>
      <c r="F168">
        <f t="shared" si="39"/>
        <v>6.02744441576843E-3</v>
      </c>
      <c r="G168">
        <f t="shared" si="40"/>
        <v>1.864158066732504E-2</v>
      </c>
      <c r="H168">
        <f t="shared" si="41"/>
        <v>168.52608744152133</v>
      </c>
      <c r="I168">
        <f t="shared" si="42"/>
        <v>1.2724147802805117</v>
      </c>
      <c r="J168">
        <f t="shared" si="43"/>
        <v>1.3365549190400758</v>
      </c>
      <c r="K168">
        <f t="shared" si="44"/>
        <v>7.5670893479110657E-2</v>
      </c>
      <c r="L168">
        <f t="shared" si="45"/>
        <v>1.7353810789453039</v>
      </c>
      <c r="M168">
        <f t="shared" si="46"/>
        <v>1.004258870822331</v>
      </c>
      <c r="N168">
        <f t="shared" si="47"/>
        <v>1.0014218143214115</v>
      </c>
      <c r="O168">
        <v>4.3707720307783592E-3</v>
      </c>
      <c r="P168">
        <v>4.7479986222881999E-3</v>
      </c>
      <c r="Q168">
        <f t="shared" si="48"/>
        <v>526.16468584011352</v>
      </c>
      <c r="R168">
        <f t="shared" si="49"/>
        <v>0.52616468584011356</v>
      </c>
    </row>
    <row r="169" spans="1:18" x14ac:dyDescent="0.3">
      <c r="A169">
        <v>0.33600000000000002</v>
      </c>
      <c r="B169" s="4"/>
      <c r="C169">
        <v>-48.517319192935297</v>
      </c>
      <c r="D169">
        <v>1.1038374719999999</v>
      </c>
      <c r="E169">
        <f t="shared" si="54"/>
        <v>16.961664426259354</v>
      </c>
      <c r="F169">
        <f t="shared" si="39"/>
        <v>6.02744441576843E-3</v>
      </c>
      <c r="G169">
        <f t="shared" si="40"/>
        <v>1.864158066732504E-2</v>
      </c>
      <c r="H169">
        <f t="shared" si="41"/>
        <v>168.52608744152133</v>
      </c>
      <c r="I169">
        <f t="shared" si="42"/>
        <v>1.2724147802805117</v>
      </c>
      <c r="J169">
        <f t="shared" si="43"/>
        <v>1.3365549190400758</v>
      </c>
      <c r="K169">
        <f t="shared" si="44"/>
        <v>7.5670893479110657E-2</v>
      </c>
      <c r="L169">
        <f t="shared" si="45"/>
        <v>1.7353810789453039</v>
      </c>
      <c r="M169">
        <f t="shared" si="46"/>
        <v>1.0040685366256159</v>
      </c>
      <c r="N169">
        <f t="shared" si="47"/>
        <v>1.0015894653150665</v>
      </c>
      <c r="O169">
        <v>4.364054815475386E-3</v>
      </c>
      <c r="P169">
        <v>4.7544085828066344E-3</v>
      </c>
      <c r="Q169">
        <f t="shared" si="48"/>
        <v>526.16468584011352</v>
      </c>
      <c r="R169">
        <f t="shared" si="49"/>
        <v>0.52616468584011356</v>
      </c>
    </row>
    <row r="170" spans="1:18" x14ac:dyDescent="0.3">
      <c r="A170">
        <v>0.33800000000000002</v>
      </c>
      <c r="B170" s="4"/>
      <c r="C170">
        <v>-48.517319192935297</v>
      </c>
      <c r="D170">
        <v>1.1038374719999999</v>
      </c>
      <c r="E170">
        <f t="shared" si="54"/>
        <v>16.961664426259354</v>
      </c>
      <c r="F170">
        <f t="shared" si="39"/>
        <v>6.02744441576843E-3</v>
      </c>
      <c r="G170">
        <f t="shared" si="40"/>
        <v>1.864158066732504E-2</v>
      </c>
      <c r="H170">
        <f t="shared" si="41"/>
        <v>168.52608744152133</v>
      </c>
      <c r="I170">
        <f t="shared" si="42"/>
        <v>1.2724147802805117</v>
      </c>
      <c r="J170">
        <f t="shared" si="43"/>
        <v>1.3365549190400758</v>
      </c>
      <c r="K170">
        <f t="shared" si="44"/>
        <v>7.5670893479110657E-2</v>
      </c>
      <c r="L170">
        <f t="shared" si="45"/>
        <v>1.7353810789453039</v>
      </c>
      <c r="M170">
        <f t="shared" si="46"/>
        <v>1.0045773426168654</v>
      </c>
      <c r="N170">
        <f t="shared" si="47"/>
        <v>1.0011578204277269</v>
      </c>
      <c r="O170">
        <v>4.3816914484318473E-3</v>
      </c>
      <c r="P170">
        <v>4.737598787134218E-3</v>
      </c>
      <c r="Q170">
        <f t="shared" si="48"/>
        <v>526.16468584011352</v>
      </c>
      <c r="R170">
        <f t="shared" si="49"/>
        <v>0.52616468584011356</v>
      </c>
    </row>
    <row r="171" spans="1:18" x14ac:dyDescent="0.3">
      <c r="A171">
        <v>0.34</v>
      </c>
      <c r="B171" s="4"/>
      <c r="C171">
        <v>-48.517319192935297</v>
      </c>
      <c r="D171">
        <v>1.1038374719999999</v>
      </c>
      <c r="E171">
        <f t="shared" si="54"/>
        <v>16.961664426259354</v>
      </c>
      <c r="F171">
        <f t="shared" si="39"/>
        <v>6.02744441576843E-3</v>
      </c>
      <c r="G171">
        <f t="shared" si="40"/>
        <v>1.864158066732504E-2</v>
      </c>
      <c r="H171">
        <f t="shared" si="41"/>
        <v>168.52608744152133</v>
      </c>
      <c r="I171">
        <f t="shared" si="42"/>
        <v>1.2724147802805117</v>
      </c>
      <c r="J171">
        <f t="shared" si="43"/>
        <v>1.3365549190400758</v>
      </c>
      <c r="K171">
        <f t="shared" si="44"/>
        <v>7.5670893479110657E-2</v>
      </c>
      <c r="L171">
        <f t="shared" si="45"/>
        <v>1.7353810789453039</v>
      </c>
      <c r="M171">
        <f t="shared" si="46"/>
        <v>1.0058440101910149</v>
      </c>
      <c r="N171">
        <f t="shared" si="47"/>
        <v>0.994288741184161</v>
      </c>
      <c r="O171">
        <v>4.4218256438399647E-3</v>
      </c>
      <c r="P171">
        <v>4.6862327258054629E-3</v>
      </c>
      <c r="Q171">
        <f t="shared" si="48"/>
        <v>526.16468584011352</v>
      </c>
      <c r="R171">
        <f t="shared" si="49"/>
        <v>0.52616468584011356</v>
      </c>
    </row>
    <row r="172" spans="1:18" x14ac:dyDescent="0.3">
      <c r="A172">
        <v>0.34200000000000003</v>
      </c>
      <c r="B172" s="4"/>
      <c r="C172">
        <v>-48.517319192935297</v>
      </c>
      <c r="D172">
        <v>1.1038374719999999</v>
      </c>
      <c r="E172">
        <f t="shared" si="54"/>
        <v>16.961664426259354</v>
      </c>
      <c r="F172">
        <f t="shared" si="39"/>
        <v>6.02744441576843E-3</v>
      </c>
      <c r="G172">
        <f t="shared" si="40"/>
        <v>1.864158066732504E-2</v>
      </c>
      <c r="H172">
        <f t="shared" si="41"/>
        <v>168.52608744152133</v>
      </c>
      <c r="I172">
        <f t="shared" si="42"/>
        <v>1.2724147802805117</v>
      </c>
      <c r="J172">
        <f t="shared" si="43"/>
        <v>1.3365549190400758</v>
      </c>
      <c r="K172">
        <f t="shared" si="44"/>
        <v>7.5670893479110657E-2</v>
      </c>
      <c r="L172">
        <f t="shared" si="45"/>
        <v>1.7353810789453039</v>
      </c>
      <c r="M172">
        <f t="shared" si="46"/>
        <v>1.0079540791593187</v>
      </c>
      <c r="N172">
        <f t="shared" si="47"/>
        <v>1.0085408501081601</v>
      </c>
      <c r="O172">
        <v>4.4801937966428024E-3</v>
      </c>
      <c r="P172">
        <v>4.6657212370609276E-3</v>
      </c>
      <c r="Q172">
        <f t="shared" si="48"/>
        <v>526.16468584011352</v>
      </c>
      <c r="R172">
        <f t="shared" si="49"/>
        <v>0.52616468584011356</v>
      </c>
    </row>
    <row r="173" spans="1:18" x14ac:dyDescent="0.3">
      <c r="A173">
        <v>0.34399999999999997</v>
      </c>
      <c r="B173" s="4"/>
      <c r="C173">
        <v>-48.517319192935297</v>
      </c>
      <c r="D173">
        <v>1.1038374719999999</v>
      </c>
      <c r="E173">
        <f t="shared" si="54"/>
        <v>16.961664426259354</v>
      </c>
      <c r="F173">
        <f t="shared" si="39"/>
        <v>6.02744441576843E-3</v>
      </c>
      <c r="G173">
        <f t="shared" si="40"/>
        <v>1.864158066732504E-2</v>
      </c>
      <c r="H173">
        <f t="shared" si="41"/>
        <v>168.52608744152133</v>
      </c>
      <c r="I173">
        <f t="shared" si="42"/>
        <v>1.2724147802805117</v>
      </c>
      <c r="J173">
        <f t="shared" si="43"/>
        <v>1.3365549190400758</v>
      </c>
      <c r="K173">
        <f t="shared" si="44"/>
        <v>7.5670893479110657E-2</v>
      </c>
      <c r="L173">
        <f t="shared" si="45"/>
        <v>1.7353810789453039</v>
      </c>
      <c r="M173">
        <f t="shared" si="46"/>
        <v>1.0005508564198864</v>
      </c>
      <c r="N173">
        <f t="shared" si="47"/>
        <v>1.0060168264826848</v>
      </c>
      <c r="O173">
        <v>4.526858097468639E-3</v>
      </c>
      <c r="P173">
        <v>4.5972133113536973E-3</v>
      </c>
      <c r="Q173">
        <f t="shared" si="48"/>
        <v>526.16468584011352</v>
      </c>
      <c r="R173">
        <f t="shared" si="49"/>
        <v>0.52616468584011356</v>
      </c>
    </row>
    <row r="174" spans="1:18" x14ac:dyDescent="0.3">
      <c r="A174">
        <v>0.34599999999999997</v>
      </c>
      <c r="B174" s="4"/>
      <c r="C174">
        <v>-48.517319192935297</v>
      </c>
      <c r="D174">
        <v>1.1038374719999999</v>
      </c>
      <c r="E174">
        <f t="shared" si="54"/>
        <v>16.961664426259354</v>
      </c>
      <c r="F174">
        <f t="shared" si="39"/>
        <v>6.02744441576843E-3</v>
      </c>
      <c r="G174">
        <f t="shared" si="40"/>
        <v>1.864158066732504E-2</v>
      </c>
      <c r="H174">
        <f t="shared" si="41"/>
        <v>168.52608744152133</v>
      </c>
      <c r="I174">
        <f t="shared" si="42"/>
        <v>1.2724147802805117</v>
      </c>
      <c r="J174">
        <f t="shared" si="43"/>
        <v>1.3365549190400758</v>
      </c>
      <c r="K174">
        <f t="shared" si="44"/>
        <v>7.5670893479110657E-2</v>
      </c>
      <c r="L174">
        <f t="shared" si="45"/>
        <v>1.7353810789453039</v>
      </c>
      <c r="M174">
        <f t="shared" si="46"/>
        <v>1.0023448848189713</v>
      </c>
      <c r="N174">
        <f t="shared" si="47"/>
        <v>1.0038434028965746</v>
      </c>
      <c r="O174">
        <v>4.5975019856458873E-3</v>
      </c>
      <c r="P174">
        <v>4.5257356272449846E-3</v>
      </c>
      <c r="Q174">
        <f t="shared" si="48"/>
        <v>526.16468584011352</v>
      </c>
      <c r="R174">
        <f t="shared" si="49"/>
        <v>0.52616468584011356</v>
      </c>
    </row>
    <row r="175" spans="1:18" x14ac:dyDescent="0.3">
      <c r="A175">
        <v>0.34799999999999998</v>
      </c>
      <c r="B175" s="4">
        <v>24</v>
      </c>
      <c r="C175">
        <v>-48.4713589074127</v>
      </c>
      <c r="D175">
        <v>1.1072234759999999</v>
      </c>
      <c r="E175">
        <f>$E$174+$R$174</f>
        <v>17.487829112099469</v>
      </c>
      <c r="F175">
        <f t="shared" si="39"/>
        <v>6.1202185529036241E-3</v>
      </c>
      <c r="G175">
        <f t="shared" si="40"/>
        <v>1.8928510988361725E-2</v>
      </c>
      <c r="H175">
        <f t="shared" si="41"/>
        <v>165.97146260059307</v>
      </c>
      <c r="I175">
        <f t="shared" si="42"/>
        <v>1.2637145346946794</v>
      </c>
      <c r="J175">
        <f t="shared" si="43"/>
        <v>1.3278233545462306</v>
      </c>
      <c r="K175">
        <f t="shared" si="44"/>
        <v>7.8532711970087501E-2</v>
      </c>
      <c r="L175">
        <f t="shared" si="45"/>
        <v>1.7252344221178912</v>
      </c>
      <c r="M175">
        <f t="shared" si="46"/>
        <v>1.0024158547556095</v>
      </c>
      <c r="N175">
        <f t="shared" si="47"/>
        <v>1.0082421180046399</v>
      </c>
      <c r="O175">
        <v>4.5004490409645539E-3</v>
      </c>
      <c r="P175">
        <v>4.6591893765280026E-3</v>
      </c>
      <c r="Q175">
        <f t="shared" si="48"/>
        <v>542.98847266129155</v>
      </c>
      <c r="R175">
        <f t="shared" si="49"/>
        <v>0.54298847266129158</v>
      </c>
    </row>
    <row r="176" spans="1:18" x14ac:dyDescent="0.3">
      <c r="A176">
        <v>0.35</v>
      </c>
      <c r="B176" s="4"/>
      <c r="C176">
        <v>-48.4713589074127</v>
      </c>
      <c r="D176">
        <v>1.1072234759999999</v>
      </c>
      <c r="E176">
        <f t="shared" ref="E176:E183" si="55">$E$174+$R$174</f>
        <v>17.487829112099469</v>
      </c>
      <c r="F176">
        <f t="shared" si="39"/>
        <v>6.1202185529036241E-3</v>
      </c>
      <c r="G176">
        <f t="shared" si="40"/>
        <v>1.8928510988361725E-2</v>
      </c>
      <c r="H176">
        <f t="shared" si="41"/>
        <v>165.97146260059307</v>
      </c>
      <c r="I176">
        <f t="shared" si="42"/>
        <v>1.2637145346946794</v>
      </c>
      <c r="J176">
        <f t="shared" si="43"/>
        <v>1.3278233545462306</v>
      </c>
      <c r="K176">
        <f t="shared" si="44"/>
        <v>7.8532711970087501E-2</v>
      </c>
      <c r="L176">
        <f t="shared" si="45"/>
        <v>1.7252344221178912</v>
      </c>
      <c r="M176">
        <f t="shared" si="46"/>
        <v>1.0014617301844746</v>
      </c>
      <c r="N176">
        <f t="shared" si="47"/>
        <v>1.0056476433358819</v>
      </c>
      <c r="O176">
        <v>4.5652815094387794E-3</v>
      </c>
      <c r="P176">
        <v>4.5869471182438115E-3</v>
      </c>
      <c r="Q176">
        <f t="shared" si="48"/>
        <v>542.98847266129155</v>
      </c>
      <c r="R176">
        <f t="shared" si="49"/>
        <v>0.54298847266129158</v>
      </c>
    </row>
    <row r="177" spans="1:18" x14ac:dyDescent="0.3">
      <c r="A177">
        <v>0.35199999999999998</v>
      </c>
      <c r="B177" s="4"/>
      <c r="C177">
        <v>-48.4713589074127</v>
      </c>
      <c r="D177">
        <v>1.1072234759999999</v>
      </c>
      <c r="E177">
        <f t="shared" si="55"/>
        <v>17.487829112099469</v>
      </c>
      <c r="F177">
        <f t="shared" si="39"/>
        <v>6.1202185529036241E-3</v>
      </c>
      <c r="G177">
        <f t="shared" si="40"/>
        <v>1.8928510988361725E-2</v>
      </c>
      <c r="H177">
        <f t="shared" si="41"/>
        <v>165.97146260059307</v>
      </c>
      <c r="I177">
        <f t="shared" si="42"/>
        <v>1.2637145346946794</v>
      </c>
      <c r="J177">
        <f t="shared" si="43"/>
        <v>1.3278233545462306</v>
      </c>
      <c r="K177">
        <f t="shared" si="44"/>
        <v>7.8532711970087501E-2</v>
      </c>
      <c r="L177">
        <f t="shared" si="45"/>
        <v>1.7252344221178912</v>
      </c>
      <c r="M177">
        <f t="shared" si="46"/>
        <v>1.0035393855697479</v>
      </c>
      <c r="N177">
        <f t="shared" si="47"/>
        <v>1.0035283846326375</v>
      </c>
      <c r="O177">
        <v>4.6372159256395746E-3</v>
      </c>
      <c r="P177">
        <v>4.5145566030878846E-3</v>
      </c>
      <c r="Q177">
        <f t="shared" si="48"/>
        <v>542.98847266129155</v>
      </c>
      <c r="R177">
        <f t="shared" si="49"/>
        <v>0.54298847266129158</v>
      </c>
    </row>
    <row r="178" spans="1:18" x14ac:dyDescent="0.3">
      <c r="A178">
        <v>0.35399999999999998</v>
      </c>
      <c r="B178" s="4"/>
      <c r="C178">
        <v>-48.4713589074127</v>
      </c>
      <c r="D178">
        <v>1.1072234759999999</v>
      </c>
      <c r="E178">
        <f t="shared" si="55"/>
        <v>17.487829112099469</v>
      </c>
      <c r="F178">
        <f t="shared" si="39"/>
        <v>6.1202185529036241E-3</v>
      </c>
      <c r="G178">
        <f t="shared" si="40"/>
        <v>1.8928510988361725E-2</v>
      </c>
      <c r="H178">
        <f t="shared" si="41"/>
        <v>165.97146260059307</v>
      </c>
      <c r="I178">
        <f t="shared" si="42"/>
        <v>1.2637145346946794</v>
      </c>
      <c r="J178">
        <f t="shared" si="43"/>
        <v>1.3278233545462306</v>
      </c>
      <c r="K178">
        <f t="shared" si="44"/>
        <v>7.8532711970087501E-2</v>
      </c>
      <c r="L178">
        <f t="shared" si="45"/>
        <v>1.7252344221178912</v>
      </c>
      <c r="M178">
        <f t="shared" si="46"/>
        <v>1.0058343600677442</v>
      </c>
      <c r="N178">
        <f t="shared" si="47"/>
        <v>1.0020464329938743</v>
      </c>
      <c r="O178">
        <v>4.7024911828046139E-3</v>
      </c>
      <c r="P178">
        <v>4.4498418647777229E-3</v>
      </c>
      <c r="Q178">
        <f t="shared" si="48"/>
        <v>542.98847266129155</v>
      </c>
      <c r="R178">
        <f t="shared" si="49"/>
        <v>0.54298847266129158</v>
      </c>
    </row>
    <row r="179" spans="1:18" x14ac:dyDescent="0.3">
      <c r="A179">
        <v>0.35599999999999998</v>
      </c>
      <c r="B179" s="4"/>
      <c r="C179">
        <v>-48.4713589074127</v>
      </c>
      <c r="D179">
        <v>1.1072234759999999</v>
      </c>
      <c r="E179">
        <f t="shared" si="55"/>
        <v>17.487829112099469</v>
      </c>
      <c r="F179">
        <f t="shared" si="39"/>
        <v>6.1202185529036241E-3</v>
      </c>
      <c r="G179">
        <f t="shared" si="40"/>
        <v>1.8928510988361725E-2</v>
      </c>
      <c r="H179">
        <f t="shared" si="41"/>
        <v>165.97146260059307</v>
      </c>
      <c r="I179">
        <f t="shared" si="42"/>
        <v>1.2637145346946794</v>
      </c>
      <c r="J179">
        <f t="shared" si="43"/>
        <v>1.3278233545462306</v>
      </c>
      <c r="K179">
        <f t="shared" si="44"/>
        <v>7.8532711970087501E-2</v>
      </c>
      <c r="L179">
        <f t="shared" si="45"/>
        <v>1.7252344221178912</v>
      </c>
      <c r="M179">
        <f t="shared" si="46"/>
        <v>1.007907058526355</v>
      </c>
      <c r="N179">
        <f t="shared" si="47"/>
        <v>1.0011683367414435</v>
      </c>
      <c r="O179">
        <v>4.7537635082448024E-3</v>
      </c>
      <c r="P179">
        <v>4.3996467531569319E-3</v>
      </c>
      <c r="Q179">
        <f t="shared" si="48"/>
        <v>542.98847266129155</v>
      </c>
      <c r="R179">
        <f t="shared" si="49"/>
        <v>0.54298847266129158</v>
      </c>
    </row>
    <row r="180" spans="1:18" x14ac:dyDescent="0.3">
      <c r="A180">
        <v>0.35799999999999998</v>
      </c>
      <c r="B180" s="4"/>
      <c r="C180">
        <v>-48.4713589074127</v>
      </c>
      <c r="D180">
        <v>1.1072234759999999</v>
      </c>
      <c r="E180">
        <f t="shared" si="55"/>
        <v>17.487829112099469</v>
      </c>
      <c r="F180">
        <f t="shared" si="39"/>
        <v>6.1202185529036241E-3</v>
      </c>
      <c r="G180">
        <f t="shared" si="40"/>
        <v>1.8928510988361725E-2</v>
      </c>
      <c r="H180">
        <f t="shared" si="41"/>
        <v>165.97146260059307</v>
      </c>
      <c r="I180">
        <f t="shared" si="42"/>
        <v>1.2637145346946794</v>
      </c>
      <c r="J180">
        <f t="shared" si="43"/>
        <v>1.3278233545462306</v>
      </c>
      <c r="K180">
        <f t="shared" si="44"/>
        <v>7.8532711970087501E-2</v>
      </c>
      <c r="L180">
        <f t="shared" si="45"/>
        <v>1.7252344221178912</v>
      </c>
      <c r="M180">
        <f t="shared" si="46"/>
        <v>1.0092924484917969</v>
      </c>
      <c r="N180">
        <f t="shared" si="47"/>
        <v>1.0007520514318518</v>
      </c>
      <c r="O180">
        <v>4.7851598859188545E-3</v>
      </c>
      <c r="P180">
        <v>4.3691822676236135E-3</v>
      </c>
      <c r="Q180">
        <f t="shared" si="48"/>
        <v>542.98847266129155</v>
      </c>
      <c r="R180">
        <f t="shared" si="49"/>
        <v>0.54298847266129158</v>
      </c>
    </row>
    <row r="181" spans="1:18" x14ac:dyDescent="0.3">
      <c r="A181">
        <v>0.36</v>
      </c>
      <c r="B181" s="4"/>
      <c r="C181">
        <v>-48.4713589074127</v>
      </c>
      <c r="D181">
        <v>1.1072234759999999</v>
      </c>
      <c r="E181">
        <f t="shared" si="55"/>
        <v>17.487829112099469</v>
      </c>
      <c r="F181">
        <f t="shared" si="39"/>
        <v>6.1202185529036241E-3</v>
      </c>
      <c r="G181">
        <f t="shared" si="40"/>
        <v>1.8928510988361725E-2</v>
      </c>
      <c r="H181">
        <f t="shared" si="41"/>
        <v>165.97146260059307</v>
      </c>
      <c r="I181">
        <f t="shared" si="42"/>
        <v>1.2637145346946794</v>
      </c>
      <c r="J181">
        <f t="shared" si="43"/>
        <v>1.3278233545462306</v>
      </c>
      <c r="K181">
        <f t="shared" si="44"/>
        <v>7.8532711970087501E-2</v>
      </c>
      <c r="L181">
        <f t="shared" si="45"/>
        <v>1.7252344221178912</v>
      </c>
      <c r="M181">
        <f t="shared" si="46"/>
        <v>1.0096538622900828</v>
      </c>
      <c r="N181">
        <f t="shared" si="47"/>
        <v>1.0006618651999988</v>
      </c>
      <c r="O181">
        <v>4.793038354711128E-3</v>
      </c>
      <c r="P181">
        <v>4.3615697875308938E-3</v>
      </c>
      <c r="Q181">
        <f t="shared" si="48"/>
        <v>542.98847266129155</v>
      </c>
      <c r="R181">
        <f t="shared" si="49"/>
        <v>0.54298847266129158</v>
      </c>
    </row>
    <row r="182" spans="1:18" x14ac:dyDescent="0.3">
      <c r="A182">
        <v>0.36199999999999999</v>
      </c>
      <c r="B182" s="4"/>
      <c r="C182">
        <v>-48.4713589074127</v>
      </c>
      <c r="D182">
        <v>1.1072234759999999</v>
      </c>
      <c r="E182">
        <f t="shared" si="55"/>
        <v>17.487829112099469</v>
      </c>
      <c r="F182">
        <f t="shared" si="39"/>
        <v>6.1202185529036241E-3</v>
      </c>
      <c r="G182">
        <f t="shared" si="40"/>
        <v>1.8928510988361725E-2</v>
      </c>
      <c r="H182">
        <f t="shared" si="41"/>
        <v>165.97146260059307</v>
      </c>
      <c r="I182">
        <f t="shared" si="42"/>
        <v>1.2637145346946794</v>
      </c>
      <c r="J182">
        <f t="shared" si="43"/>
        <v>1.3278233545462306</v>
      </c>
      <c r="K182">
        <f t="shared" si="44"/>
        <v>7.8532711970087501E-2</v>
      </c>
      <c r="L182">
        <f t="shared" si="45"/>
        <v>1.7252344221178912</v>
      </c>
      <c r="M182">
        <f t="shared" si="46"/>
        <v>1.0089006378273648</v>
      </c>
      <c r="N182">
        <f t="shared" si="47"/>
        <v>1.000858024438575</v>
      </c>
      <c r="O182">
        <v>4.7764795608391261E-3</v>
      </c>
      <c r="P182">
        <v>4.3775844273465274E-3</v>
      </c>
      <c r="Q182">
        <f t="shared" si="48"/>
        <v>542.98847266129155</v>
      </c>
      <c r="R182">
        <f t="shared" si="49"/>
        <v>0.54298847266129158</v>
      </c>
    </row>
    <row r="183" spans="1:18" x14ac:dyDescent="0.3">
      <c r="A183">
        <v>0.36399999999999999</v>
      </c>
      <c r="B183" s="4"/>
      <c r="C183">
        <v>-48.4713589074127</v>
      </c>
      <c r="D183">
        <v>1.1072234759999999</v>
      </c>
      <c r="E183">
        <f t="shared" si="55"/>
        <v>17.487829112099469</v>
      </c>
      <c r="F183">
        <f t="shared" si="39"/>
        <v>6.1202185529036241E-3</v>
      </c>
      <c r="G183">
        <f t="shared" si="40"/>
        <v>1.8928510988361725E-2</v>
      </c>
      <c r="H183">
        <f t="shared" si="41"/>
        <v>165.97146260059307</v>
      </c>
      <c r="I183">
        <f t="shared" si="42"/>
        <v>1.2637145346946794</v>
      </c>
      <c r="J183">
        <f t="shared" si="43"/>
        <v>1.3278233545462306</v>
      </c>
      <c r="K183">
        <f t="shared" si="44"/>
        <v>7.8532711970087501E-2</v>
      </c>
      <c r="L183">
        <f t="shared" si="45"/>
        <v>1.7252344221178912</v>
      </c>
      <c r="M183">
        <f t="shared" si="46"/>
        <v>1.0072204568319301</v>
      </c>
      <c r="N183">
        <f t="shared" si="47"/>
        <v>1.0014214480431962</v>
      </c>
      <c r="O183">
        <v>4.7374132458760905E-3</v>
      </c>
      <c r="P183">
        <v>4.4155932984234914E-3</v>
      </c>
      <c r="Q183">
        <f t="shared" si="48"/>
        <v>542.98847266129155</v>
      </c>
      <c r="R183">
        <f t="shared" si="49"/>
        <v>0.54298847266129158</v>
      </c>
    </row>
    <row r="184" spans="1:18" x14ac:dyDescent="0.3">
      <c r="A184">
        <v>0.36599999999999999</v>
      </c>
      <c r="B184" s="4">
        <v>25</v>
      </c>
      <c r="C184">
        <v>-48.417738574302902</v>
      </c>
      <c r="D184">
        <v>1.111738149</v>
      </c>
      <c r="E184">
        <f>$E$183+$R$183</f>
        <v>18.030817584760761</v>
      </c>
      <c r="F184">
        <f t="shared" si="39"/>
        <v>6.2145071286798222E-3</v>
      </c>
      <c r="G184">
        <f t="shared" si="40"/>
        <v>1.9220125140246874E-2</v>
      </c>
      <c r="H184">
        <f t="shared" si="41"/>
        <v>163.45328818964396</v>
      </c>
      <c r="I184">
        <f t="shared" si="42"/>
        <v>1.2552991899527679</v>
      </c>
      <c r="J184">
        <f t="shared" si="43"/>
        <v>1.3200137992696566</v>
      </c>
      <c r="K184">
        <f t="shared" si="44"/>
        <v>8.2173231890637952E-2</v>
      </c>
      <c r="L184">
        <f t="shared" si="45"/>
        <v>1.7149915660316226</v>
      </c>
      <c r="M184">
        <f t="shared" si="46"/>
        <v>0.99966456742114973</v>
      </c>
      <c r="N184">
        <f t="shared" si="47"/>
        <v>1.0007237078525644</v>
      </c>
      <c r="O184">
        <v>4.7923201686359777E-3</v>
      </c>
      <c r="P184">
        <v>4.3671720989159222E-3</v>
      </c>
      <c r="Q184">
        <f t="shared" si="48"/>
        <v>565.41463783904294</v>
      </c>
      <c r="R184">
        <f t="shared" si="49"/>
        <v>0.56541463783904289</v>
      </c>
    </row>
    <row r="185" spans="1:18" x14ac:dyDescent="0.3">
      <c r="A185">
        <v>0.36799999999999999</v>
      </c>
      <c r="B185" s="4"/>
      <c r="C185">
        <v>-48.417738574302902</v>
      </c>
      <c r="D185">
        <v>1.111738149</v>
      </c>
      <c r="E185">
        <f t="shared" ref="E185:E192" si="56">$E$183+$R$183</f>
        <v>18.030817584760761</v>
      </c>
      <c r="F185">
        <f t="shared" si="39"/>
        <v>6.2145071286798222E-3</v>
      </c>
      <c r="G185">
        <f t="shared" si="40"/>
        <v>1.9220125140246874E-2</v>
      </c>
      <c r="H185">
        <f t="shared" si="41"/>
        <v>163.45328818964396</v>
      </c>
      <c r="I185">
        <f t="shared" si="42"/>
        <v>1.2552991899527679</v>
      </c>
      <c r="J185">
        <f t="shared" si="43"/>
        <v>1.3200137992696566</v>
      </c>
      <c r="K185">
        <f t="shared" si="44"/>
        <v>8.2173231890637952E-2</v>
      </c>
      <c r="L185">
        <f t="shared" si="45"/>
        <v>1.7149915660316226</v>
      </c>
      <c r="M185">
        <f t="shared" si="46"/>
        <v>1.009670902812867</v>
      </c>
      <c r="N185">
        <f t="shared" si="47"/>
        <v>1.0010051241200995</v>
      </c>
      <c r="O185">
        <v>4.794378351273729E-3</v>
      </c>
      <c r="P185">
        <v>4.3888456463545564E-3</v>
      </c>
      <c r="Q185">
        <f t="shared" si="48"/>
        <v>565.41463783904294</v>
      </c>
      <c r="R185">
        <f t="shared" si="49"/>
        <v>0.56541463783904289</v>
      </c>
    </row>
    <row r="186" spans="1:18" x14ac:dyDescent="0.3">
      <c r="A186">
        <v>0.37</v>
      </c>
      <c r="B186" s="4"/>
      <c r="C186">
        <v>-48.417738574302902</v>
      </c>
      <c r="D186">
        <v>1.111738149</v>
      </c>
      <c r="E186">
        <f t="shared" si="56"/>
        <v>18.030817584760761</v>
      </c>
      <c r="F186">
        <f t="shared" si="39"/>
        <v>6.2145071286798222E-3</v>
      </c>
      <c r="G186">
        <f t="shared" si="40"/>
        <v>1.9220125140246874E-2</v>
      </c>
      <c r="H186">
        <f t="shared" si="41"/>
        <v>163.45328818964396</v>
      </c>
      <c r="I186">
        <f t="shared" si="42"/>
        <v>1.2552991899527679</v>
      </c>
      <c r="J186">
        <f t="shared" si="43"/>
        <v>1.3200137992696566</v>
      </c>
      <c r="K186">
        <f t="shared" si="44"/>
        <v>8.2173231890637952E-2</v>
      </c>
      <c r="L186">
        <f t="shared" si="45"/>
        <v>1.7149915660316226</v>
      </c>
      <c r="M186">
        <f t="shared" si="46"/>
        <v>1.0077022515714553</v>
      </c>
      <c r="N186">
        <f t="shared" si="47"/>
        <v>1.0017024580580451</v>
      </c>
      <c r="O186">
        <v>4.7498080274727683E-3</v>
      </c>
      <c r="P186">
        <v>4.432253469680356E-3</v>
      </c>
      <c r="Q186">
        <f t="shared" si="48"/>
        <v>565.41463783904294</v>
      </c>
      <c r="R186">
        <f t="shared" si="49"/>
        <v>0.56541463783904289</v>
      </c>
    </row>
    <row r="187" spans="1:18" x14ac:dyDescent="0.3">
      <c r="A187">
        <v>0.372</v>
      </c>
      <c r="B187" s="4"/>
      <c r="C187">
        <v>-48.417738574302902</v>
      </c>
      <c r="D187">
        <v>1.111738149</v>
      </c>
      <c r="E187">
        <f t="shared" si="56"/>
        <v>18.030817584760761</v>
      </c>
      <c r="F187">
        <f t="shared" si="39"/>
        <v>6.2145071286798222E-3</v>
      </c>
      <c r="G187">
        <f t="shared" si="40"/>
        <v>1.9220125140246874E-2</v>
      </c>
      <c r="H187">
        <f t="shared" si="41"/>
        <v>163.45328818964396</v>
      </c>
      <c r="I187">
        <f t="shared" si="42"/>
        <v>1.2552991899527679</v>
      </c>
      <c r="J187">
        <f t="shared" si="43"/>
        <v>1.3200137992696566</v>
      </c>
      <c r="K187">
        <f t="shared" si="44"/>
        <v>8.2173231890637952E-2</v>
      </c>
      <c r="L187">
        <f t="shared" si="45"/>
        <v>1.7149915660316226</v>
      </c>
      <c r="M187">
        <f t="shared" si="46"/>
        <v>1.0052683279442292</v>
      </c>
      <c r="N187">
        <f t="shared" si="47"/>
        <v>1.0029769205388492</v>
      </c>
      <c r="O187">
        <v>4.6880671849699176E-3</v>
      </c>
      <c r="P187">
        <v>4.493057505677773E-3</v>
      </c>
      <c r="Q187">
        <f t="shared" si="48"/>
        <v>565.41463783904294</v>
      </c>
      <c r="R187">
        <f t="shared" si="49"/>
        <v>0.56541463783904289</v>
      </c>
    </row>
    <row r="188" spans="1:18" x14ac:dyDescent="0.3">
      <c r="A188">
        <v>0.374</v>
      </c>
      <c r="B188" s="4"/>
      <c r="C188">
        <v>-48.417738574302902</v>
      </c>
      <c r="D188">
        <v>1.111738149</v>
      </c>
      <c r="E188">
        <f t="shared" si="56"/>
        <v>18.030817584760761</v>
      </c>
      <c r="F188">
        <f t="shared" si="39"/>
        <v>6.2145071286798222E-3</v>
      </c>
      <c r="G188">
        <f t="shared" si="40"/>
        <v>1.9220125140246874E-2</v>
      </c>
      <c r="H188">
        <f t="shared" si="41"/>
        <v>163.45328818964396</v>
      </c>
      <c r="I188">
        <f t="shared" si="42"/>
        <v>1.2552991899527679</v>
      </c>
      <c r="J188">
        <f t="shared" si="43"/>
        <v>1.3200137992696566</v>
      </c>
      <c r="K188">
        <f t="shared" si="44"/>
        <v>8.2173231890637952E-2</v>
      </c>
      <c r="L188">
        <f t="shared" si="45"/>
        <v>1.7149915660316226</v>
      </c>
      <c r="M188">
        <f t="shared" si="46"/>
        <v>1.0028615643890271</v>
      </c>
      <c r="N188">
        <f t="shared" si="47"/>
        <v>1.0049312018064174</v>
      </c>
      <c r="O188">
        <v>4.615959208630247E-3</v>
      </c>
      <c r="P188">
        <v>4.5650805350640348E-3</v>
      </c>
      <c r="Q188">
        <f t="shared" si="48"/>
        <v>565.41463783904294</v>
      </c>
      <c r="R188">
        <f t="shared" si="49"/>
        <v>0.56541463783904289</v>
      </c>
    </row>
    <row r="189" spans="1:18" x14ac:dyDescent="0.3">
      <c r="A189">
        <v>0.376</v>
      </c>
      <c r="B189" s="4"/>
      <c r="C189">
        <v>-48.417738574302902</v>
      </c>
      <c r="D189">
        <v>1.111738149</v>
      </c>
      <c r="E189">
        <f t="shared" si="56"/>
        <v>18.030817584760761</v>
      </c>
      <c r="F189">
        <f t="shared" si="39"/>
        <v>6.2145071286798222E-3</v>
      </c>
      <c r="G189">
        <f t="shared" si="40"/>
        <v>1.9220125140246874E-2</v>
      </c>
      <c r="H189">
        <f t="shared" si="41"/>
        <v>163.45328818964396</v>
      </c>
      <c r="I189">
        <f t="shared" si="42"/>
        <v>1.2552991899527679</v>
      </c>
      <c r="J189">
        <f t="shared" si="43"/>
        <v>1.3200137992696566</v>
      </c>
      <c r="K189">
        <f t="shared" si="44"/>
        <v>8.2173231890637952E-2</v>
      </c>
      <c r="L189">
        <f t="shared" si="45"/>
        <v>1.7149915660316226</v>
      </c>
      <c r="M189">
        <f t="shared" si="46"/>
        <v>1.0008702064967314</v>
      </c>
      <c r="N189">
        <f t="shared" si="47"/>
        <v>1.00750123263493</v>
      </c>
      <c r="O189">
        <v>4.5412708599968004E-3</v>
      </c>
      <c r="P189">
        <v>4.6408528681195884E-3</v>
      </c>
      <c r="Q189">
        <f t="shared" si="48"/>
        <v>565.41463783904294</v>
      </c>
      <c r="R189">
        <f t="shared" si="49"/>
        <v>0.56541463783904289</v>
      </c>
    </row>
    <row r="190" spans="1:18" x14ac:dyDescent="0.3">
      <c r="A190">
        <v>0.378</v>
      </c>
      <c r="B190" s="4"/>
      <c r="C190">
        <v>-48.417738574302902</v>
      </c>
      <c r="D190">
        <v>1.111738149</v>
      </c>
      <c r="E190">
        <f t="shared" si="56"/>
        <v>18.030817584760761</v>
      </c>
      <c r="F190">
        <f t="shared" si="39"/>
        <v>6.2145071286798222E-3</v>
      </c>
      <c r="G190">
        <f t="shared" si="40"/>
        <v>1.9220125140246874E-2</v>
      </c>
      <c r="H190">
        <f t="shared" si="41"/>
        <v>163.45328818964396</v>
      </c>
      <c r="I190">
        <f t="shared" si="42"/>
        <v>1.2552991899527679</v>
      </c>
      <c r="J190">
        <f t="shared" si="43"/>
        <v>1.3200137992696566</v>
      </c>
      <c r="K190">
        <f t="shared" si="44"/>
        <v>8.2173231890637952E-2</v>
      </c>
      <c r="L190">
        <f t="shared" si="45"/>
        <v>1.7149915660316226</v>
      </c>
      <c r="M190">
        <f t="shared" si="46"/>
        <v>1.0083526354777623</v>
      </c>
      <c r="N190">
        <f t="shared" si="47"/>
        <v>0.99878763632832135</v>
      </c>
      <c r="O190">
        <v>4.4925286507124153E-3</v>
      </c>
      <c r="P190">
        <v>4.6862327258054629E-3</v>
      </c>
      <c r="Q190">
        <f t="shared" si="48"/>
        <v>565.41463783904294</v>
      </c>
      <c r="R190">
        <f t="shared" si="49"/>
        <v>0.56541463783904289</v>
      </c>
    </row>
    <row r="191" spans="1:18" x14ac:dyDescent="0.3">
      <c r="A191">
        <v>0.38</v>
      </c>
      <c r="B191" s="4"/>
      <c r="C191">
        <v>-48.417738574302902</v>
      </c>
      <c r="D191">
        <v>1.111738149</v>
      </c>
      <c r="E191">
        <f t="shared" si="56"/>
        <v>18.030817584760761</v>
      </c>
      <c r="F191">
        <f t="shared" si="39"/>
        <v>6.2145071286798222E-3</v>
      </c>
      <c r="G191">
        <f t="shared" si="40"/>
        <v>1.9220125140246874E-2</v>
      </c>
      <c r="H191">
        <f t="shared" si="41"/>
        <v>163.45328818964396</v>
      </c>
      <c r="I191">
        <f t="shared" si="42"/>
        <v>1.2552991899527679</v>
      </c>
      <c r="J191">
        <f t="shared" si="43"/>
        <v>1.3200137992696566</v>
      </c>
      <c r="K191">
        <f t="shared" si="44"/>
        <v>8.2173231890637952E-2</v>
      </c>
      <c r="L191">
        <f t="shared" si="45"/>
        <v>1.7149915660316226</v>
      </c>
      <c r="M191">
        <f t="shared" si="46"/>
        <v>1.0061404960329863</v>
      </c>
      <c r="N191">
        <f t="shared" si="47"/>
        <v>1.001344049341623</v>
      </c>
      <c r="O191">
        <v>4.4325037291082746E-3</v>
      </c>
      <c r="P191">
        <v>4.7454627990019546E-3</v>
      </c>
      <c r="Q191">
        <f t="shared" si="48"/>
        <v>565.41463783904294</v>
      </c>
      <c r="R191">
        <f t="shared" si="49"/>
        <v>0.56541463783904289</v>
      </c>
    </row>
    <row r="192" spans="1:18" x14ac:dyDescent="0.3">
      <c r="A192">
        <v>0.38200000000000001</v>
      </c>
      <c r="B192" s="4"/>
      <c r="C192">
        <v>-48.417738574302902</v>
      </c>
      <c r="D192">
        <v>1.111738149</v>
      </c>
      <c r="E192">
        <f t="shared" si="56"/>
        <v>18.030817584760761</v>
      </c>
      <c r="F192">
        <f t="shared" si="39"/>
        <v>6.2145071286798222E-3</v>
      </c>
      <c r="G192">
        <f t="shared" si="40"/>
        <v>1.9220125140246874E-2</v>
      </c>
      <c r="H192">
        <f t="shared" si="41"/>
        <v>163.45328818964396</v>
      </c>
      <c r="I192">
        <f t="shared" si="42"/>
        <v>1.2552991899527679</v>
      </c>
      <c r="J192">
        <f t="shared" si="43"/>
        <v>1.3200137992696566</v>
      </c>
      <c r="K192">
        <f t="shared" si="44"/>
        <v>8.2173231890637952E-2</v>
      </c>
      <c r="L192">
        <f t="shared" si="45"/>
        <v>1.7149915660316226</v>
      </c>
      <c r="M192">
        <f t="shared" si="46"/>
        <v>1.0048266217770419</v>
      </c>
      <c r="N192">
        <f t="shared" si="47"/>
        <v>1.0023954584995733</v>
      </c>
      <c r="O192">
        <v>4.3917018184469964E-3</v>
      </c>
      <c r="P192">
        <v>4.7841788564158914E-3</v>
      </c>
      <c r="Q192">
        <f t="shared" si="48"/>
        <v>565.41463783904294</v>
      </c>
      <c r="R192">
        <f t="shared" si="49"/>
        <v>0.56541463783904289</v>
      </c>
    </row>
    <row r="193" spans="1:18" x14ac:dyDescent="0.3">
      <c r="A193">
        <v>0.38400000000000001</v>
      </c>
      <c r="B193" s="4">
        <v>26</v>
      </c>
      <c r="C193">
        <v>-48.394758431541597</v>
      </c>
      <c r="D193">
        <v>1.1162528220000001</v>
      </c>
      <c r="E193">
        <f>$E$192+$R$192</f>
        <v>18.596232222599806</v>
      </c>
      <c r="F193">
        <f t="shared" si="39"/>
        <v>6.3111929963144816E-3</v>
      </c>
      <c r="G193">
        <f t="shared" si="40"/>
        <v>1.9519153596848911E-2</v>
      </c>
      <c r="H193">
        <f t="shared" si="41"/>
        <v>160.94922548777723</v>
      </c>
      <c r="I193">
        <f t="shared" si="42"/>
        <v>1.2470878208003946</v>
      </c>
      <c r="J193">
        <f t="shared" si="43"/>
        <v>1.3122904865279001</v>
      </c>
      <c r="K193">
        <f t="shared" si="44"/>
        <v>8.5835410049627511E-2</v>
      </c>
      <c r="L193">
        <f t="shared" si="45"/>
        <v>1.7049401335700267</v>
      </c>
      <c r="M193">
        <f t="shared" si="46"/>
        <v>1.0085212704939488</v>
      </c>
      <c r="N193">
        <f t="shared" si="47"/>
        <v>1.0005438551019745</v>
      </c>
      <c r="O193">
        <v>4.4978867135374283E-3</v>
      </c>
      <c r="P193">
        <v>4.7120548873397445E-3</v>
      </c>
      <c r="Q193">
        <f t="shared" si="48"/>
        <v>587.42294837522718</v>
      </c>
      <c r="R193">
        <f t="shared" si="49"/>
        <v>0.58742294837522713</v>
      </c>
    </row>
    <row r="194" spans="1:18" x14ac:dyDescent="0.3">
      <c r="A194">
        <v>0.38600000000000001</v>
      </c>
      <c r="B194" s="4"/>
      <c r="C194">
        <v>-48.394758431541597</v>
      </c>
      <c r="D194">
        <v>1.1162528220000001</v>
      </c>
      <c r="E194">
        <f t="shared" ref="E194:E202" si="57">$E$192+$R$192</f>
        <v>18.596232222599806</v>
      </c>
      <c r="F194">
        <f t="shared" si="39"/>
        <v>6.3111929963144816E-3</v>
      </c>
      <c r="G194">
        <f t="shared" si="40"/>
        <v>1.9519153596848911E-2</v>
      </c>
      <c r="H194">
        <f t="shared" si="41"/>
        <v>160.94922548777723</v>
      </c>
      <c r="I194">
        <f t="shared" si="42"/>
        <v>1.2470878208003946</v>
      </c>
      <c r="J194">
        <f t="shared" si="43"/>
        <v>1.3122904865279001</v>
      </c>
      <c r="K194">
        <f t="shared" si="44"/>
        <v>8.5835410049627511E-2</v>
      </c>
      <c r="L194">
        <f t="shared" si="45"/>
        <v>1.7049401335700267</v>
      </c>
      <c r="M194">
        <f t="shared" si="46"/>
        <v>1.0062564574172499</v>
      </c>
      <c r="N194">
        <f t="shared" si="47"/>
        <v>1.0019695931957633</v>
      </c>
      <c r="O194">
        <v>4.4368666082813179E-3</v>
      </c>
      <c r="P194">
        <v>4.7694247474047097E-3</v>
      </c>
      <c r="Q194">
        <f t="shared" si="48"/>
        <v>587.42294837522718</v>
      </c>
      <c r="R194">
        <f t="shared" si="49"/>
        <v>0.58742294837522713</v>
      </c>
    </row>
    <row r="195" spans="1:18" x14ac:dyDescent="0.3">
      <c r="A195">
        <v>0.38800000000000001</v>
      </c>
      <c r="B195" s="4"/>
      <c r="C195">
        <v>-48.394758431541597</v>
      </c>
      <c r="D195">
        <v>1.1162528220000001</v>
      </c>
      <c r="E195">
        <f t="shared" si="57"/>
        <v>18.596232222599806</v>
      </c>
      <c r="F195">
        <f t="shared" ref="F195:F258" si="58">0.0462806*SQRT(E195/1000)</f>
        <v>6.3111929963144816E-3</v>
      </c>
      <c r="G195">
        <f t="shared" ref="G195:G258" si="59">$U$3*F195/2</f>
        <v>1.9519153596848911E-2</v>
      </c>
      <c r="H195">
        <f t="shared" ref="H195:H258" si="60">PI()/G195</f>
        <v>160.94922548777723</v>
      </c>
      <c r="I195">
        <f t="shared" ref="I195:I258" si="61">BESSELI(H195*$Y$5,0)</f>
        <v>1.2470878208003946</v>
      </c>
      <c r="J195">
        <f t="shared" ref="J195:J258" si="62">BESSELI(H195*D195*$Y$5,0)</f>
        <v>1.3122904865279001</v>
      </c>
      <c r="K195">
        <f t="shared" ref="K195:K258" si="63">(D195^2-1)/(D195^2*I195+J195)</f>
        <v>8.5835410049627511E-2</v>
      </c>
      <c r="L195">
        <f t="shared" ref="L195:L258" si="64">I195+J195/(D195^2*I195+J195)</f>
        <v>1.7049401335700267</v>
      </c>
      <c r="M195">
        <f t="shared" ref="M195:M258" si="65">((L195*O195^2)/$Y$5^2)+(K195*BESSELI(O195*H195,0)*COS(H195*A195))</f>
        <v>1.0049184938335367</v>
      </c>
      <c r="N195">
        <f t="shared" ref="N195:N258" si="66">((L195*P195^2)/$Y$5^2)-(K195*BESSELI(P195*H195,0)*COS(H195*A195))</f>
        <v>1.00311497347195</v>
      </c>
      <c r="O195">
        <v>4.395594790960391E-3</v>
      </c>
      <c r="P195">
        <v>4.8086261115073492E-3</v>
      </c>
      <c r="Q195">
        <f t="shared" ref="Q195:Q258" si="67">PI()*K195*$U$4*J195*COS(C195*$Y$7)/(4*$Y$6)</f>
        <v>587.42294837522718</v>
      </c>
      <c r="R195">
        <f t="shared" ref="R195:R258" si="68">Q195/1000</f>
        <v>0.58742294837522713</v>
      </c>
    </row>
    <row r="196" spans="1:18" x14ac:dyDescent="0.3">
      <c r="A196">
        <v>0.39</v>
      </c>
      <c r="B196" s="4"/>
      <c r="C196">
        <v>-48.394758431541597</v>
      </c>
      <c r="D196">
        <v>1.1162528220000001</v>
      </c>
      <c r="E196">
        <f t="shared" si="57"/>
        <v>18.596232222599806</v>
      </c>
      <c r="F196">
        <f t="shared" si="58"/>
        <v>6.3111929963144816E-3</v>
      </c>
      <c r="G196">
        <f t="shared" si="59"/>
        <v>1.9519153596848911E-2</v>
      </c>
      <c r="H196">
        <f t="shared" si="60"/>
        <v>160.94922548777723</v>
      </c>
      <c r="I196">
        <f t="shared" si="61"/>
        <v>1.2470878208003946</v>
      </c>
      <c r="J196">
        <f t="shared" si="62"/>
        <v>1.3122904865279001</v>
      </c>
      <c r="K196">
        <f t="shared" si="63"/>
        <v>8.5835410049627511E-2</v>
      </c>
      <c r="L196">
        <f t="shared" si="64"/>
        <v>1.7049401335700267</v>
      </c>
      <c r="M196">
        <f t="shared" si="65"/>
        <v>1.0043975870155826</v>
      </c>
      <c r="N196">
        <f t="shared" si="66"/>
        <v>1.0036467018233934</v>
      </c>
      <c r="O196">
        <v>4.3780555243443011E-3</v>
      </c>
      <c r="P196">
        <v>4.8253840227135292E-3</v>
      </c>
      <c r="Q196">
        <f t="shared" si="67"/>
        <v>587.42294837522718</v>
      </c>
      <c r="R196">
        <f t="shared" si="68"/>
        <v>0.58742294837522713</v>
      </c>
    </row>
    <row r="197" spans="1:18" x14ac:dyDescent="0.3">
      <c r="A197">
        <v>0.39200000000000002</v>
      </c>
      <c r="B197" s="4"/>
      <c r="C197">
        <v>-48.394758431541597</v>
      </c>
      <c r="D197">
        <v>1.1162528220000001</v>
      </c>
      <c r="E197">
        <f t="shared" si="57"/>
        <v>18.596232222599806</v>
      </c>
      <c r="F197">
        <f t="shared" si="58"/>
        <v>6.3111929963144816E-3</v>
      </c>
      <c r="G197">
        <f t="shared" si="59"/>
        <v>1.9519153596848911E-2</v>
      </c>
      <c r="H197">
        <f t="shared" si="60"/>
        <v>160.94922548777723</v>
      </c>
      <c r="I197">
        <f t="shared" si="61"/>
        <v>1.2470878208003946</v>
      </c>
      <c r="J197">
        <f t="shared" si="62"/>
        <v>1.3122904865279001</v>
      </c>
      <c r="K197">
        <f t="shared" si="63"/>
        <v>8.5835410049627511E-2</v>
      </c>
      <c r="L197">
        <f t="shared" si="64"/>
        <v>1.7049401335700267</v>
      </c>
      <c r="M197">
        <f t="shared" si="65"/>
        <v>1.0046278464391383</v>
      </c>
      <c r="N197">
        <f t="shared" si="66"/>
        <v>1.003404715861038</v>
      </c>
      <c r="O197">
        <v>4.3859273018659337E-3</v>
      </c>
      <c r="P197">
        <v>4.8178556184503432E-3</v>
      </c>
      <c r="Q197">
        <f t="shared" si="67"/>
        <v>587.42294837522718</v>
      </c>
      <c r="R197">
        <f t="shared" si="68"/>
        <v>0.58742294837522713</v>
      </c>
    </row>
    <row r="198" spans="1:18" x14ac:dyDescent="0.3">
      <c r="A198">
        <v>0.39400000000000002</v>
      </c>
      <c r="B198" s="4"/>
      <c r="C198">
        <v>-48.394758431541597</v>
      </c>
      <c r="D198">
        <v>1.1162528220000001</v>
      </c>
      <c r="E198">
        <f t="shared" si="57"/>
        <v>18.596232222599806</v>
      </c>
      <c r="F198">
        <f t="shared" si="58"/>
        <v>6.3111929963144816E-3</v>
      </c>
      <c r="G198">
        <f t="shared" si="59"/>
        <v>1.9519153596848911E-2</v>
      </c>
      <c r="H198">
        <f t="shared" si="60"/>
        <v>160.94922548777723</v>
      </c>
      <c r="I198">
        <f t="shared" si="61"/>
        <v>1.2470878208003946</v>
      </c>
      <c r="J198">
        <f t="shared" si="62"/>
        <v>1.3122904865279001</v>
      </c>
      <c r="K198">
        <f t="shared" si="63"/>
        <v>8.5835410049627511E-2</v>
      </c>
      <c r="L198">
        <f t="shared" si="64"/>
        <v>1.7049401335700267</v>
      </c>
      <c r="M198">
        <f t="shared" si="65"/>
        <v>1.0056402634554491</v>
      </c>
      <c r="N198">
        <f t="shared" si="66"/>
        <v>1.0024622249227542</v>
      </c>
      <c r="O198">
        <v>4.4184578836256273E-3</v>
      </c>
      <c r="P198">
        <v>4.7868699371768526E-3</v>
      </c>
      <c r="Q198">
        <f t="shared" si="67"/>
        <v>587.42294837522718</v>
      </c>
      <c r="R198">
        <f t="shared" si="68"/>
        <v>0.58742294837522713</v>
      </c>
    </row>
    <row r="199" spans="1:18" x14ac:dyDescent="0.3">
      <c r="A199">
        <v>0.39600000000000002</v>
      </c>
      <c r="B199" s="4"/>
      <c r="C199">
        <v>-48.394758431541597</v>
      </c>
      <c r="D199">
        <v>1.1162528220000001</v>
      </c>
      <c r="E199">
        <f t="shared" si="57"/>
        <v>18.596232222599806</v>
      </c>
      <c r="F199">
        <f t="shared" si="58"/>
        <v>6.3111929963144816E-3</v>
      </c>
      <c r="G199">
        <f t="shared" si="59"/>
        <v>1.9519153596848911E-2</v>
      </c>
      <c r="H199">
        <f t="shared" si="60"/>
        <v>160.94922548777723</v>
      </c>
      <c r="I199">
        <f t="shared" si="61"/>
        <v>1.2470878208003946</v>
      </c>
      <c r="J199">
        <f t="shared" si="62"/>
        <v>1.3122904865279001</v>
      </c>
      <c r="K199">
        <f t="shared" si="63"/>
        <v>8.5835410049627511E-2</v>
      </c>
      <c r="L199">
        <f t="shared" si="64"/>
        <v>1.7049401335700267</v>
      </c>
      <c r="M199">
        <f t="shared" si="65"/>
        <v>1.0075384044579321</v>
      </c>
      <c r="N199">
        <f t="shared" si="66"/>
        <v>1.0010981759317412</v>
      </c>
      <c r="O199">
        <v>4.4725198822534711E-3</v>
      </c>
      <c r="P199">
        <v>4.7358195631235448E-3</v>
      </c>
      <c r="Q199">
        <f t="shared" si="67"/>
        <v>587.42294837522718</v>
      </c>
      <c r="R199">
        <f t="shared" si="68"/>
        <v>0.58742294837522713</v>
      </c>
    </row>
    <row r="200" spans="1:18" x14ac:dyDescent="0.3">
      <c r="A200">
        <v>0.39800000000000002</v>
      </c>
      <c r="B200" s="4"/>
      <c r="C200">
        <v>-48.394758431541597</v>
      </c>
      <c r="D200">
        <v>1.1162528220000001</v>
      </c>
      <c r="E200">
        <f t="shared" si="57"/>
        <v>18.596232222599806</v>
      </c>
      <c r="F200">
        <f t="shared" si="58"/>
        <v>6.3111929963144816E-3</v>
      </c>
      <c r="G200">
        <f t="shared" si="59"/>
        <v>1.9519153596848911E-2</v>
      </c>
      <c r="H200">
        <f t="shared" si="60"/>
        <v>160.94922548777723</v>
      </c>
      <c r="I200">
        <f t="shared" si="61"/>
        <v>1.2470878208003946</v>
      </c>
      <c r="J200">
        <f t="shared" si="62"/>
        <v>1.3122904865279001</v>
      </c>
      <c r="K200">
        <f t="shared" si="63"/>
        <v>8.5835410049627511E-2</v>
      </c>
      <c r="L200">
        <f t="shared" si="64"/>
        <v>1.7049401335700267</v>
      </c>
      <c r="M200">
        <f t="shared" si="65"/>
        <v>0.99217084475786221</v>
      </c>
      <c r="N200">
        <f t="shared" si="66"/>
        <v>1.0067565112762389</v>
      </c>
      <c r="O200">
        <v>4.5004490409645539E-3</v>
      </c>
      <c r="P200">
        <v>4.6862327258054629E-3</v>
      </c>
      <c r="Q200">
        <f t="shared" si="67"/>
        <v>587.42294837522718</v>
      </c>
      <c r="R200">
        <f t="shared" si="68"/>
        <v>0.58742294837522713</v>
      </c>
    </row>
    <row r="201" spans="1:18" x14ac:dyDescent="0.3">
      <c r="A201">
        <v>0.4</v>
      </c>
      <c r="B201" s="4"/>
      <c r="C201">
        <v>-48.394758431541597</v>
      </c>
      <c r="D201">
        <v>1.1162528220000001</v>
      </c>
      <c r="E201">
        <f t="shared" si="57"/>
        <v>18.596232222599806</v>
      </c>
      <c r="F201">
        <f t="shared" si="58"/>
        <v>6.3111929963144816E-3</v>
      </c>
      <c r="G201">
        <f t="shared" si="59"/>
        <v>1.9519153596848911E-2</v>
      </c>
      <c r="H201">
        <f t="shared" si="60"/>
        <v>160.94922548777723</v>
      </c>
      <c r="I201">
        <f t="shared" si="61"/>
        <v>1.2470878208003946</v>
      </c>
      <c r="J201">
        <f t="shared" si="62"/>
        <v>1.3122904865279001</v>
      </c>
      <c r="K201">
        <f t="shared" si="63"/>
        <v>8.5835410049627511E-2</v>
      </c>
      <c r="L201">
        <f t="shared" si="64"/>
        <v>1.7049401335700267</v>
      </c>
      <c r="M201">
        <f t="shared" si="65"/>
        <v>1.0022425345330779</v>
      </c>
      <c r="N201">
        <f t="shared" si="66"/>
        <v>1.0065425428134716</v>
      </c>
      <c r="O201">
        <v>4.5951024966652664E-3</v>
      </c>
      <c r="P201">
        <v>4.615279658345614E-3</v>
      </c>
      <c r="Q201">
        <f t="shared" si="67"/>
        <v>587.42294837522718</v>
      </c>
      <c r="R201">
        <f t="shared" si="68"/>
        <v>0.58742294837522713</v>
      </c>
    </row>
    <row r="202" spans="1:18" x14ac:dyDescent="0.3">
      <c r="A202">
        <v>0.40200000000000002</v>
      </c>
      <c r="B202" s="4"/>
      <c r="C202">
        <v>-48.394758431541597</v>
      </c>
      <c r="D202">
        <v>1.1162528220000001</v>
      </c>
      <c r="E202">
        <f t="shared" si="57"/>
        <v>18.596232222599806</v>
      </c>
      <c r="F202">
        <f t="shared" si="58"/>
        <v>6.3111929963144816E-3</v>
      </c>
      <c r="G202">
        <f t="shared" si="59"/>
        <v>1.9519153596848911E-2</v>
      </c>
      <c r="H202">
        <f t="shared" si="60"/>
        <v>160.94922548777723</v>
      </c>
      <c r="I202">
        <f t="shared" si="61"/>
        <v>1.2470878208003946</v>
      </c>
      <c r="J202">
        <f t="shared" si="62"/>
        <v>1.3122904865279001</v>
      </c>
      <c r="K202">
        <f t="shared" si="63"/>
        <v>8.5835410049627511E-2</v>
      </c>
      <c r="L202">
        <f t="shared" si="64"/>
        <v>1.7049401335700267</v>
      </c>
      <c r="M202">
        <f t="shared" si="65"/>
        <v>1.0046603491851303</v>
      </c>
      <c r="N202">
        <f t="shared" si="66"/>
        <v>1.0041230702813535</v>
      </c>
      <c r="O202">
        <v>4.671770523109125E-3</v>
      </c>
      <c r="P202">
        <v>4.5381491671989882E-3</v>
      </c>
      <c r="Q202">
        <f t="shared" si="67"/>
        <v>587.42294837522718</v>
      </c>
      <c r="R202">
        <f t="shared" si="68"/>
        <v>0.58742294837522713</v>
      </c>
    </row>
    <row r="203" spans="1:18" x14ac:dyDescent="0.3">
      <c r="A203">
        <v>0.40400000000000003</v>
      </c>
      <c r="B203" s="4">
        <v>27</v>
      </c>
      <c r="C203">
        <v>-48.341138098431799</v>
      </c>
      <c r="D203">
        <v>1.1207674940000001</v>
      </c>
      <c r="E203">
        <f>$E$202+$R$202</f>
        <v>19.183655170975033</v>
      </c>
      <c r="F203">
        <f t="shared" si="58"/>
        <v>6.4100978688263859E-3</v>
      </c>
      <c r="G203">
        <f t="shared" si="59"/>
        <v>1.9825044955133153E-2</v>
      </c>
      <c r="H203">
        <f t="shared" si="60"/>
        <v>158.46585269792106</v>
      </c>
      <c r="I203">
        <f t="shared" si="61"/>
        <v>1.23909735253081</v>
      </c>
      <c r="J203">
        <f t="shared" si="62"/>
        <v>1.3046814447898576</v>
      </c>
      <c r="K203">
        <f t="shared" si="63"/>
        <v>8.95168085973026E-2</v>
      </c>
      <c r="L203">
        <f t="shared" si="64"/>
        <v>1.6950985297022911</v>
      </c>
      <c r="M203">
        <f t="shared" si="65"/>
        <v>0.99147467439736381</v>
      </c>
      <c r="N203">
        <f t="shared" si="66"/>
        <v>0.99587306012838306</v>
      </c>
      <c r="O203">
        <v>4.5004490409645539E-3</v>
      </c>
      <c r="P203">
        <v>4.6862327258054629E-3</v>
      </c>
      <c r="Q203">
        <f t="shared" si="67"/>
        <v>609.70643971714549</v>
      </c>
      <c r="R203">
        <f t="shared" si="68"/>
        <v>0.60970643971714544</v>
      </c>
    </row>
    <row r="204" spans="1:18" x14ac:dyDescent="0.3">
      <c r="A204">
        <v>0.40600000000000003</v>
      </c>
      <c r="B204" s="4"/>
      <c r="C204">
        <v>-48.341138098431799</v>
      </c>
      <c r="D204">
        <v>1.1207674940000001</v>
      </c>
      <c r="E204">
        <f t="shared" ref="E204:E211" si="69">$E$202+$R$202</f>
        <v>19.183655170975033</v>
      </c>
      <c r="F204">
        <f t="shared" si="58"/>
        <v>6.4100978688263859E-3</v>
      </c>
      <c r="G204">
        <f t="shared" si="59"/>
        <v>1.9825044955133153E-2</v>
      </c>
      <c r="H204">
        <f t="shared" si="60"/>
        <v>158.46585269792106</v>
      </c>
      <c r="I204">
        <f t="shared" si="61"/>
        <v>1.23909735253081</v>
      </c>
      <c r="J204">
        <f t="shared" si="62"/>
        <v>1.3046814447898576</v>
      </c>
      <c r="K204">
        <f t="shared" si="63"/>
        <v>8.95168085973026E-2</v>
      </c>
      <c r="L204">
        <f t="shared" si="64"/>
        <v>1.6950985297022911</v>
      </c>
      <c r="M204">
        <f t="shared" si="65"/>
        <v>1.0023246651064814</v>
      </c>
      <c r="N204">
        <f t="shared" si="66"/>
        <v>1.0074265669419942</v>
      </c>
      <c r="O204">
        <v>4.5984275080154747E-3</v>
      </c>
      <c r="P204">
        <v>4.6408288397882169E-3</v>
      </c>
      <c r="Q204">
        <f t="shared" si="67"/>
        <v>609.70643971714549</v>
      </c>
      <c r="R204">
        <f t="shared" si="68"/>
        <v>0.60970643971714544</v>
      </c>
    </row>
    <row r="205" spans="1:18" x14ac:dyDescent="0.3">
      <c r="A205">
        <v>0.40799999999999997</v>
      </c>
      <c r="B205" s="4"/>
      <c r="C205">
        <v>-48.341138098431799</v>
      </c>
      <c r="D205">
        <v>1.1207674940000001</v>
      </c>
      <c r="E205">
        <f t="shared" si="69"/>
        <v>19.183655170975033</v>
      </c>
      <c r="F205">
        <f t="shared" si="58"/>
        <v>6.4100978688263859E-3</v>
      </c>
      <c r="G205">
        <f t="shared" si="59"/>
        <v>1.9825044955133153E-2</v>
      </c>
      <c r="H205">
        <f t="shared" si="60"/>
        <v>158.46585269792106</v>
      </c>
      <c r="I205">
        <f t="shared" si="61"/>
        <v>1.23909735253081</v>
      </c>
      <c r="J205">
        <f t="shared" si="62"/>
        <v>1.3046814447898576</v>
      </c>
      <c r="K205">
        <f t="shared" si="63"/>
        <v>8.95168085973026E-2</v>
      </c>
      <c r="L205">
        <f t="shared" si="64"/>
        <v>1.6950985297022911</v>
      </c>
      <c r="M205">
        <f t="shared" si="65"/>
        <v>1.0048457634671411</v>
      </c>
      <c r="N205">
        <f t="shared" si="66"/>
        <v>1.0047564655361363</v>
      </c>
      <c r="O205">
        <v>4.6776927686593521E-3</v>
      </c>
      <c r="P205">
        <v>4.5609154168766812E-3</v>
      </c>
      <c r="Q205">
        <f t="shared" si="67"/>
        <v>609.70643971714549</v>
      </c>
      <c r="R205">
        <f t="shared" si="68"/>
        <v>0.60970643971714544</v>
      </c>
    </row>
    <row r="206" spans="1:18" x14ac:dyDescent="0.3">
      <c r="A206">
        <v>0.41</v>
      </c>
      <c r="B206" s="4"/>
      <c r="C206">
        <v>-48.341138098431799</v>
      </c>
      <c r="D206">
        <v>1.1207674940000001</v>
      </c>
      <c r="E206">
        <f t="shared" si="69"/>
        <v>19.183655170975033</v>
      </c>
      <c r="F206">
        <f t="shared" si="58"/>
        <v>6.4100978688263859E-3</v>
      </c>
      <c r="G206">
        <f t="shared" si="59"/>
        <v>1.9825044955133153E-2</v>
      </c>
      <c r="H206">
        <f t="shared" si="60"/>
        <v>158.46585269792106</v>
      </c>
      <c r="I206">
        <f t="shared" si="61"/>
        <v>1.23909735253081</v>
      </c>
      <c r="J206">
        <f t="shared" si="62"/>
        <v>1.3046814447898576</v>
      </c>
      <c r="K206">
        <f t="shared" si="63"/>
        <v>8.95168085973026E-2</v>
      </c>
      <c r="L206">
        <f t="shared" si="64"/>
        <v>1.6950985297022911</v>
      </c>
      <c r="M206">
        <f t="shared" si="65"/>
        <v>1.0076911573864022</v>
      </c>
      <c r="N206">
        <f t="shared" si="66"/>
        <v>1.0028248106590256</v>
      </c>
      <c r="O206">
        <v>4.7512685247251777E-3</v>
      </c>
      <c r="P206">
        <v>4.4878608389837477E-3</v>
      </c>
      <c r="Q206">
        <f t="shared" si="67"/>
        <v>609.70643971714549</v>
      </c>
      <c r="R206">
        <f t="shared" si="68"/>
        <v>0.60970643971714544</v>
      </c>
    </row>
    <row r="207" spans="1:18" x14ac:dyDescent="0.3">
      <c r="A207">
        <v>0.41199999999999998</v>
      </c>
      <c r="B207" s="4"/>
      <c r="C207">
        <v>-48.341138098431799</v>
      </c>
      <c r="D207">
        <v>1.1207674940000001</v>
      </c>
      <c r="E207">
        <f t="shared" si="69"/>
        <v>19.183655170975033</v>
      </c>
      <c r="F207">
        <f t="shared" si="58"/>
        <v>6.4100978688263859E-3</v>
      </c>
      <c r="G207">
        <f t="shared" si="59"/>
        <v>1.9825044955133153E-2</v>
      </c>
      <c r="H207">
        <f t="shared" si="60"/>
        <v>158.46585269792106</v>
      </c>
      <c r="I207">
        <f t="shared" si="61"/>
        <v>1.23909735253081</v>
      </c>
      <c r="J207">
        <f t="shared" si="62"/>
        <v>1.3046814447898576</v>
      </c>
      <c r="K207">
        <f t="shared" si="63"/>
        <v>8.95168085973026E-2</v>
      </c>
      <c r="L207">
        <f t="shared" si="64"/>
        <v>1.6950985297022911</v>
      </c>
      <c r="M207">
        <f t="shared" si="65"/>
        <v>0.99968012707972742</v>
      </c>
      <c r="N207">
        <f t="shared" si="66"/>
        <v>1.0016217813747426</v>
      </c>
      <c r="O207">
        <v>4.7877007290051043E-3</v>
      </c>
      <c r="P207">
        <v>4.4287279253902388E-3</v>
      </c>
      <c r="Q207">
        <f t="shared" si="67"/>
        <v>609.70643971714549</v>
      </c>
      <c r="R207">
        <f t="shared" si="68"/>
        <v>0.60970643971714544</v>
      </c>
    </row>
    <row r="208" spans="1:18" x14ac:dyDescent="0.3">
      <c r="A208">
        <v>0.41399999999999998</v>
      </c>
      <c r="B208" s="4"/>
      <c r="C208">
        <v>-48.341138098431799</v>
      </c>
      <c r="D208">
        <v>1.1207674940000001</v>
      </c>
      <c r="E208">
        <f t="shared" si="69"/>
        <v>19.183655170975033</v>
      </c>
      <c r="F208">
        <f t="shared" si="58"/>
        <v>6.4100978688263859E-3</v>
      </c>
      <c r="G208">
        <f t="shared" si="59"/>
        <v>1.9825044955133153E-2</v>
      </c>
      <c r="H208">
        <f t="shared" si="60"/>
        <v>158.46585269792106</v>
      </c>
      <c r="I208">
        <f t="shared" si="61"/>
        <v>1.23909735253081</v>
      </c>
      <c r="J208">
        <f t="shared" si="62"/>
        <v>1.3046814447898576</v>
      </c>
      <c r="K208">
        <f t="shared" si="63"/>
        <v>8.95168085973026E-2</v>
      </c>
      <c r="L208">
        <f t="shared" si="64"/>
        <v>1.6950985297022911</v>
      </c>
      <c r="M208">
        <f t="shared" si="65"/>
        <v>0.9995722430977938</v>
      </c>
      <c r="N208">
        <f t="shared" si="66"/>
        <v>1.0009981501369771</v>
      </c>
      <c r="O208">
        <v>4.8239786418783357E-3</v>
      </c>
      <c r="P208">
        <v>4.3891229866729617E-3</v>
      </c>
      <c r="Q208">
        <f t="shared" si="67"/>
        <v>609.70643971714549</v>
      </c>
      <c r="R208">
        <f t="shared" si="68"/>
        <v>0.60970643971714544</v>
      </c>
    </row>
    <row r="209" spans="1:18" x14ac:dyDescent="0.3">
      <c r="A209">
        <v>0.41599999999999998</v>
      </c>
      <c r="B209" s="4"/>
      <c r="C209">
        <v>-48.341138098431799</v>
      </c>
      <c r="D209">
        <v>1.1207674940000001</v>
      </c>
      <c r="E209">
        <f t="shared" si="69"/>
        <v>19.183655170975033</v>
      </c>
      <c r="F209">
        <f t="shared" si="58"/>
        <v>6.4100978688263859E-3</v>
      </c>
      <c r="G209">
        <f t="shared" si="59"/>
        <v>1.9825044955133153E-2</v>
      </c>
      <c r="H209">
        <f t="shared" si="60"/>
        <v>158.46585269792106</v>
      </c>
      <c r="I209">
        <f t="shared" si="61"/>
        <v>1.23909735253081</v>
      </c>
      <c r="J209">
        <f t="shared" si="62"/>
        <v>1.3046814447898576</v>
      </c>
      <c r="K209">
        <f t="shared" si="63"/>
        <v>8.95168085973026E-2</v>
      </c>
      <c r="L209">
        <f t="shared" si="64"/>
        <v>1.6950985297022911</v>
      </c>
      <c r="M209">
        <f t="shared" si="65"/>
        <v>0.99952170322895051</v>
      </c>
      <c r="N209">
        <f t="shared" si="66"/>
        <v>1.0007832435842017</v>
      </c>
      <c r="O209">
        <v>4.8389731656471001E-3</v>
      </c>
      <c r="P209">
        <v>4.3727458582056324E-3</v>
      </c>
      <c r="Q209">
        <f t="shared" si="67"/>
        <v>609.70643971714549</v>
      </c>
      <c r="R209">
        <f t="shared" si="68"/>
        <v>0.60970643971714544</v>
      </c>
    </row>
    <row r="210" spans="1:18" x14ac:dyDescent="0.3">
      <c r="A210">
        <v>0.41799999999999998</v>
      </c>
      <c r="B210" s="4"/>
      <c r="C210">
        <v>-48.341138098431799</v>
      </c>
      <c r="D210">
        <v>1.1207674940000001</v>
      </c>
      <c r="E210">
        <f t="shared" si="69"/>
        <v>19.183655170975033</v>
      </c>
      <c r="F210">
        <f t="shared" si="58"/>
        <v>6.4100978688263859E-3</v>
      </c>
      <c r="G210">
        <f t="shared" si="59"/>
        <v>1.9825044955133153E-2</v>
      </c>
      <c r="H210">
        <f t="shared" si="60"/>
        <v>158.46585269792106</v>
      </c>
      <c r="I210">
        <f t="shared" si="61"/>
        <v>1.23909735253081</v>
      </c>
      <c r="J210">
        <f t="shared" si="62"/>
        <v>1.3046814447898576</v>
      </c>
      <c r="K210">
        <f t="shared" si="63"/>
        <v>8.95168085973026E-2</v>
      </c>
      <c r="L210">
        <f t="shared" si="64"/>
        <v>1.6950985297022911</v>
      </c>
      <c r="M210">
        <f t="shared" si="65"/>
        <v>0.99954797373631887</v>
      </c>
      <c r="N210">
        <f t="shared" si="66"/>
        <v>1.0008898984145296</v>
      </c>
      <c r="O210">
        <v>4.831312348110497E-3</v>
      </c>
      <c r="P210">
        <v>4.381113601692326E-3</v>
      </c>
      <c r="Q210">
        <f t="shared" si="67"/>
        <v>609.70643971714549</v>
      </c>
      <c r="R210">
        <f t="shared" si="68"/>
        <v>0.60970643971714544</v>
      </c>
    </row>
    <row r="211" spans="1:18" x14ac:dyDescent="0.3">
      <c r="A211">
        <v>0.42</v>
      </c>
      <c r="B211" s="4"/>
      <c r="C211">
        <v>-48.341138098431799</v>
      </c>
      <c r="D211">
        <v>1.1207674940000001</v>
      </c>
      <c r="E211">
        <f t="shared" si="69"/>
        <v>19.183655170975033</v>
      </c>
      <c r="F211">
        <f t="shared" si="58"/>
        <v>6.4100978688263859E-3</v>
      </c>
      <c r="G211">
        <f t="shared" si="59"/>
        <v>1.9825044955133153E-2</v>
      </c>
      <c r="H211">
        <f t="shared" si="60"/>
        <v>158.46585269792106</v>
      </c>
      <c r="I211">
        <f t="shared" si="61"/>
        <v>1.23909735253081</v>
      </c>
      <c r="J211">
        <f t="shared" si="62"/>
        <v>1.3046814447898576</v>
      </c>
      <c r="K211">
        <f t="shared" si="63"/>
        <v>8.95168085973026E-2</v>
      </c>
      <c r="L211">
        <f t="shared" si="64"/>
        <v>1.6950985297022911</v>
      </c>
      <c r="M211">
        <f t="shared" si="65"/>
        <v>0.99964085117610102</v>
      </c>
      <c r="N211">
        <f t="shared" si="66"/>
        <v>1.0013638626397414</v>
      </c>
      <c r="O211">
        <v>4.8016961569203251E-3</v>
      </c>
      <c r="P211">
        <v>4.4134520275931318E-3</v>
      </c>
      <c r="Q211">
        <f t="shared" si="67"/>
        <v>609.70643971714549</v>
      </c>
      <c r="R211">
        <f t="shared" si="68"/>
        <v>0.60970643971714544</v>
      </c>
    </row>
    <row r="212" spans="1:18" x14ac:dyDescent="0.3">
      <c r="A212">
        <v>0.42199999999999999</v>
      </c>
      <c r="B212" s="4">
        <v>28</v>
      </c>
      <c r="C212">
        <v>-48.287517765322001</v>
      </c>
      <c r="D212">
        <v>1.128668172</v>
      </c>
      <c r="E212">
        <f>$E$211+$R$211</f>
        <v>19.79336161069218</v>
      </c>
      <c r="F212">
        <f t="shared" si="58"/>
        <v>6.511165887467649E-3</v>
      </c>
      <c r="G212">
        <f t="shared" si="59"/>
        <v>2.0137626456085512E-2</v>
      </c>
      <c r="H212">
        <f t="shared" si="60"/>
        <v>156.00610431625202</v>
      </c>
      <c r="I212">
        <f t="shared" si="61"/>
        <v>1.2313318219793128</v>
      </c>
      <c r="J212">
        <f t="shared" si="62"/>
        <v>1.2991139278855579</v>
      </c>
      <c r="K212">
        <f t="shared" si="63"/>
        <v>9.5509321787574833E-2</v>
      </c>
      <c r="L212">
        <f t="shared" si="64"/>
        <v>1.6843481989952331</v>
      </c>
      <c r="M212">
        <f t="shared" si="65"/>
        <v>0.99942133907045161</v>
      </c>
      <c r="N212">
        <f t="shared" si="66"/>
        <v>1.000785980156939</v>
      </c>
      <c r="O212">
        <v>4.8666812663339066E-3</v>
      </c>
      <c r="P212">
        <v>4.3733459993160854E-3</v>
      </c>
      <c r="Q212">
        <f t="shared" si="67"/>
        <v>648.42702680876164</v>
      </c>
      <c r="R212">
        <f t="shared" si="68"/>
        <v>0.64842702680876163</v>
      </c>
    </row>
    <row r="213" spans="1:18" x14ac:dyDescent="0.3">
      <c r="A213">
        <v>0.42399999999999999</v>
      </c>
      <c r="B213" s="4"/>
      <c r="C213">
        <v>-48.287517765322001</v>
      </c>
      <c r="D213">
        <v>1.128668172</v>
      </c>
      <c r="E213">
        <f t="shared" ref="E213:E221" si="70">$E$211+$R$211</f>
        <v>19.79336161069218</v>
      </c>
      <c r="F213">
        <f t="shared" si="58"/>
        <v>6.511165887467649E-3</v>
      </c>
      <c r="G213">
        <f t="shared" si="59"/>
        <v>2.0137626456085512E-2</v>
      </c>
      <c r="H213">
        <f t="shared" si="60"/>
        <v>156.00610431625202</v>
      </c>
      <c r="I213">
        <f t="shared" si="61"/>
        <v>1.2313318219793128</v>
      </c>
      <c r="J213">
        <f t="shared" si="62"/>
        <v>1.2991139278855579</v>
      </c>
      <c r="K213">
        <f t="shared" si="63"/>
        <v>9.5509321787574833E-2</v>
      </c>
      <c r="L213">
        <f t="shared" si="64"/>
        <v>1.6843481989952331</v>
      </c>
      <c r="M213">
        <f t="shared" si="65"/>
        <v>0.99942640382104653</v>
      </c>
      <c r="N213">
        <f t="shared" si="66"/>
        <v>1.000803541941653</v>
      </c>
      <c r="O213">
        <v>4.865391689898268E-3</v>
      </c>
      <c r="P213">
        <v>4.3747619492180709E-3</v>
      </c>
      <c r="Q213">
        <f t="shared" si="67"/>
        <v>648.42702680876164</v>
      </c>
      <c r="R213">
        <f t="shared" si="68"/>
        <v>0.64842702680876163</v>
      </c>
    </row>
    <row r="214" spans="1:18" x14ac:dyDescent="0.3">
      <c r="A214">
        <v>0.42599999999999999</v>
      </c>
      <c r="B214" s="4"/>
      <c r="C214">
        <v>-48.287517765322001</v>
      </c>
      <c r="D214">
        <v>1.128668172</v>
      </c>
      <c r="E214">
        <f t="shared" si="70"/>
        <v>19.79336161069218</v>
      </c>
      <c r="F214">
        <f t="shared" si="58"/>
        <v>6.511165887467649E-3</v>
      </c>
      <c r="G214">
        <f t="shared" si="59"/>
        <v>2.0137626456085512E-2</v>
      </c>
      <c r="H214">
        <f t="shared" si="60"/>
        <v>156.00610431625202</v>
      </c>
      <c r="I214">
        <f t="shared" si="61"/>
        <v>1.2313318219793128</v>
      </c>
      <c r="J214">
        <f t="shared" si="62"/>
        <v>1.2991139278855579</v>
      </c>
      <c r="K214">
        <f t="shared" si="63"/>
        <v>9.5509321787574833E-2</v>
      </c>
      <c r="L214">
        <f t="shared" si="64"/>
        <v>1.6843481989952331</v>
      </c>
      <c r="M214">
        <f t="shared" si="65"/>
        <v>0.99951682771435324</v>
      </c>
      <c r="N214">
        <f t="shared" si="66"/>
        <v>1.0011704685817395</v>
      </c>
      <c r="O214">
        <v>4.8410249325450665E-3</v>
      </c>
      <c r="P214">
        <v>4.4015084072459897E-3</v>
      </c>
      <c r="Q214">
        <f t="shared" si="67"/>
        <v>648.42702680876164</v>
      </c>
      <c r="R214">
        <f t="shared" si="68"/>
        <v>0.64842702680876163</v>
      </c>
    </row>
    <row r="215" spans="1:18" x14ac:dyDescent="0.3">
      <c r="A215">
        <v>0.42799999999999999</v>
      </c>
      <c r="B215" s="4"/>
      <c r="C215">
        <v>-48.287517765322001</v>
      </c>
      <c r="D215">
        <v>1.128668172</v>
      </c>
      <c r="E215">
        <f t="shared" si="70"/>
        <v>19.79336161069218</v>
      </c>
      <c r="F215">
        <f t="shared" si="58"/>
        <v>6.511165887467649E-3</v>
      </c>
      <c r="G215">
        <f t="shared" si="59"/>
        <v>2.0137626456085512E-2</v>
      </c>
      <c r="H215">
        <f t="shared" si="60"/>
        <v>156.00610431625202</v>
      </c>
      <c r="I215">
        <f t="shared" si="61"/>
        <v>1.2313318219793128</v>
      </c>
      <c r="J215">
        <f t="shared" si="62"/>
        <v>1.2991139278855579</v>
      </c>
      <c r="K215">
        <f t="shared" si="63"/>
        <v>9.5509321787574833E-2</v>
      </c>
      <c r="L215">
        <f t="shared" si="64"/>
        <v>1.6843481989952331</v>
      </c>
      <c r="M215">
        <f t="shared" si="65"/>
        <v>0.99965962201615399</v>
      </c>
      <c r="N215">
        <f t="shared" si="66"/>
        <v>1.0020286033931416</v>
      </c>
      <c r="O215">
        <v>4.7957306816341647E-3</v>
      </c>
      <c r="P215">
        <v>4.4511848078523436E-3</v>
      </c>
      <c r="Q215">
        <f t="shared" si="67"/>
        <v>648.42702680876164</v>
      </c>
      <c r="R215">
        <f t="shared" si="68"/>
        <v>0.64842702680876163</v>
      </c>
    </row>
    <row r="216" spans="1:18" x14ac:dyDescent="0.3">
      <c r="A216">
        <v>0.43</v>
      </c>
      <c r="B216" s="4"/>
      <c r="C216">
        <v>-48.287517765322001</v>
      </c>
      <c r="D216">
        <v>1.128668172</v>
      </c>
      <c r="E216">
        <f t="shared" si="70"/>
        <v>19.79336161069218</v>
      </c>
      <c r="F216">
        <f t="shared" si="58"/>
        <v>6.511165887467649E-3</v>
      </c>
      <c r="G216">
        <f t="shared" si="59"/>
        <v>2.0137626456085512E-2</v>
      </c>
      <c r="H216">
        <f t="shared" si="60"/>
        <v>156.00610431625202</v>
      </c>
      <c r="I216">
        <f t="shared" si="61"/>
        <v>1.2313318219793128</v>
      </c>
      <c r="J216">
        <f t="shared" si="62"/>
        <v>1.2991139278855579</v>
      </c>
      <c r="K216">
        <f t="shared" si="63"/>
        <v>9.5509321787574833E-2</v>
      </c>
      <c r="L216">
        <f t="shared" si="64"/>
        <v>1.6843481989952331</v>
      </c>
      <c r="M216">
        <f t="shared" si="65"/>
        <v>1.0076541413817637</v>
      </c>
      <c r="N216">
        <f t="shared" si="66"/>
        <v>1.003575199034644</v>
      </c>
      <c r="O216">
        <v>4.7513468905838099E-3</v>
      </c>
      <c r="P216">
        <v>4.5192823784500347E-3</v>
      </c>
      <c r="Q216">
        <f t="shared" si="67"/>
        <v>648.42702680876164</v>
      </c>
      <c r="R216">
        <f t="shared" si="68"/>
        <v>0.64842702680876163</v>
      </c>
    </row>
    <row r="217" spans="1:18" x14ac:dyDescent="0.3">
      <c r="A217">
        <v>0.432</v>
      </c>
      <c r="B217" s="4"/>
      <c r="C217">
        <v>-48.287517765322001</v>
      </c>
      <c r="D217">
        <v>1.128668172</v>
      </c>
      <c r="E217">
        <f t="shared" si="70"/>
        <v>19.79336161069218</v>
      </c>
      <c r="F217">
        <f t="shared" si="58"/>
        <v>6.511165887467649E-3</v>
      </c>
      <c r="G217">
        <f t="shared" si="59"/>
        <v>2.0137626456085512E-2</v>
      </c>
      <c r="H217">
        <f t="shared" si="60"/>
        <v>156.00610431625202</v>
      </c>
      <c r="I217">
        <f t="shared" si="61"/>
        <v>1.2313318219793128</v>
      </c>
      <c r="J217">
        <f t="shared" si="62"/>
        <v>1.2991139278855579</v>
      </c>
      <c r="K217">
        <f t="shared" si="63"/>
        <v>9.5509321787574833E-2</v>
      </c>
      <c r="L217">
        <f t="shared" si="64"/>
        <v>1.6843481989952331</v>
      </c>
      <c r="M217">
        <f t="shared" si="65"/>
        <v>1.0045822790142964</v>
      </c>
      <c r="N217">
        <f t="shared" si="66"/>
        <v>1.0059408689237956</v>
      </c>
      <c r="O217">
        <v>4.670888336730291E-3</v>
      </c>
      <c r="P217">
        <v>4.5995139481576014E-3</v>
      </c>
      <c r="Q217">
        <f t="shared" si="67"/>
        <v>648.42702680876164</v>
      </c>
      <c r="R217">
        <f t="shared" si="68"/>
        <v>0.64842702680876163</v>
      </c>
    </row>
    <row r="218" spans="1:18" x14ac:dyDescent="0.3">
      <c r="A218">
        <v>0.434</v>
      </c>
      <c r="B218" s="4"/>
      <c r="C218">
        <v>-48.287517765322001</v>
      </c>
      <c r="D218">
        <v>1.128668172</v>
      </c>
      <c r="E218">
        <f t="shared" si="70"/>
        <v>19.79336161069218</v>
      </c>
      <c r="F218">
        <f t="shared" si="58"/>
        <v>6.511165887467649E-3</v>
      </c>
      <c r="G218">
        <f t="shared" si="59"/>
        <v>2.0137626456085512E-2</v>
      </c>
      <c r="H218">
        <f t="shared" si="60"/>
        <v>156.00610431625202</v>
      </c>
      <c r="I218">
        <f t="shared" si="61"/>
        <v>1.2313318219793128</v>
      </c>
      <c r="J218">
        <f t="shared" si="62"/>
        <v>1.2991139278855579</v>
      </c>
      <c r="K218">
        <f t="shared" si="63"/>
        <v>9.5509321787574833E-2</v>
      </c>
      <c r="L218">
        <f t="shared" si="64"/>
        <v>1.6843481989952331</v>
      </c>
      <c r="M218">
        <f t="shared" si="65"/>
        <v>1.0020023203544977</v>
      </c>
      <c r="N218">
        <f t="shared" si="66"/>
        <v>1.0090722292252956</v>
      </c>
      <c r="O218">
        <v>4.5871934134710983E-3</v>
      </c>
      <c r="P218">
        <v>4.6843132625177183E-3</v>
      </c>
      <c r="Q218">
        <f t="shared" si="67"/>
        <v>648.42702680876164</v>
      </c>
      <c r="R218">
        <f t="shared" si="68"/>
        <v>0.64842702680876163</v>
      </c>
    </row>
    <row r="219" spans="1:18" x14ac:dyDescent="0.3">
      <c r="A219">
        <v>0.436</v>
      </c>
      <c r="B219" s="4"/>
      <c r="C219">
        <v>-48.287517765322001</v>
      </c>
      <c r="D219">
        <v>1.128668172</v>
      </c>
      <c r="E219">
        <f t="shared" si="70"/>
        <v>19.79336161069218</v>
      </c>
      <c r="F219">
        <f t="shared" si="58"/>
        <v>6.511165887467649E-3</v>
      </c>
      <c r="G219">
        <f t="shared" si="59"/>
        <v>2.0137626456085512E-2</v>
      </c>
      <c r="H219">
        <f t="shared" si="60"/>
        <v>156.00610431625202</v>
      </c>
      <c r="I219">
        <f t="shared" si="61"/>
        <v>1.2313318219793128</v>
      </c>
      <c r="J219">
        <f t="shared" si="62"/>
        <v>1.2991139278855579</v>
      </c>
      <c r="K219">
        <f t="shared" si="63"/>
        <v>9.5509321787574833E-2</v>
      </c>
      <c r="L219">
        <f t="shared" si="64"/>
        <v>1.6843481989952331</v>
      </c>
      <c r="M219">
        <f t="shared" si="65"/>
        <v>0.99681050923403158</v>
      </c>
      <c r="N219">
        <f t="shared" si="66"/>
        <v>1.0011767592893526</v>
      </c>
      <c r="O219">
        <v>4.5004490409645539E-3</v>
      </c>
      <c r="P219">
        <v>4.7394947226796933E-3</v>
      </c>
      <c r="Q219">
        <f t="shared" si="67"/>
        <v>648.42702680876164</v>
      </c>
      <c r="R219">
        <f t="shared" si="68"/>
        <v>0.64842702680876163</v>
      </c>
    </row>
    <row r="220" spans="1:18" x14ac:dyDescent="0.3">
      <c r="A220">
        <v>0.438</v>
      </c>
      <c r="B220" s="4"/>
      <c r="C220">
        <v>-48.287517765322001</v>
      </c>
      <c r="D220">
        <v>1.128668172</v>
      </c>
      <c r="E220">
        <f t="shared" si="70"/>
        <v>19.79336161069218</v>
      </c>
      <c r="F220">
        <f t="shared" si="58"/>
        <v>6.511165887467649E-3</v>
      </c>
      <c r="G220">
        <f t="shared" si="59"/>
        <v>2.0137626456085512E-2</v>
      </c>
      <c r="H220">
        <f t="shared" si="60"/>
        <v>156.00610431625202</v>
      </c>
      <c r="I220">
        <f t="shared" si="61"/>
        <v>1.2313318219793128</v>
      </c>
      <c r="J220">
        <f t="shared" si="62"/>
        <v>1.2991139278855579</v>
      </c>
      <c r="K220">
        <f t="shared" si="63"/>
        <v>9.5509321787574833E-2</v>
      </c>
      <c r="L220">
        <f t="shared" si="64"/>
        <v>1.6843481989952331</v>
      </c>
      <c r="M220">
        <f t="shared" si="65"/>
        <v>1.0070231779759351</v>
      </c>
      <c r="N220">
        <f t="shared" si="66"/>
        <v>1.0029879323439246</v>
      </c>
      <c r="O220">
        <v>4.4607304651036166E-3</v>
      </c>
      <c r="P220">
        <v>4.8054467961034233E-3</v>
      </c>
      <c r="Q220">
        <f t="shared" si="67"/>
        <v>648.42702680876164</v>
      </c>
      <c r="R220">
        <f t="shared" si="68"/>
        <v>0.64842702680876163</v>
      </c>
    </row>
    <row r="221" spans="1:18" x14ac:dyDescent="0.3">
      <c r="A221">
        <v>0.44</v>
      </c>
      <c r="B221" s="4"/>
      <c r="C221">
        <v>-48.287517765322001</v>
      </c>
      <c r="D221">
        <v>1.128668172</v>
      </c>
      <c r="E221">
        <f t="shared" si="70"/>
        <v>19.79336161069218</v>
      </c>
      <c r="F221">
        <f t="shared" si="58"/>
        <v>6.511165887467649E-3</v>
      </c>
      <c r="G221">
        <f t="shared" si="59"/>
        <v>2.0137626456085512E-2</v>
      </c>
      <c r="H221">
        <f t="shared" si="60"/>
        <v>156.00610431625202</v>
      </c>
      <c r="I221">
        <f t="shared" si="61"/>
        <v>1.2313318219793128</v>
      </c>
      <c r="J221">
        <f t="shared" si="62"/>
        <v>1.2991139278855579</v>
      </c>
      <c r="K221">
        <f t="shared" si="63"/>
        <v>9.5509321787574833E-2</v>
      </c>
      <c r="L221">
        <f t="shared" si="64"/>
        <v>1.6843481989952331</v>
      </c>
      <c r="M221">
        <f t="shared" si="65"/>
        <v>1.0053044312639461</v>
      </c>
      <c r="N221">
        <f t="shared" si="66"/>
        <v>1.0045594098627406</v>
      </c>
      <c r="O221">
        <v>4.4099052511086499E-3</v>
      </c>
      <c r="P221">
        <v>4.8537178916348133E-3</v>
      </c>
      <c r="Q221">
        <f t="shared" si="67"/>
        <v>648.42702680876164</v>
      </c>
      <c r="R221">
        <f t="shared" si="68"/>
        <v>0.64842702680876163</v>
      </c>
    </row>
    <row r="222" spans="1:18" x14ac:dyDescent="0.3">
      <c r="A222">
        <v>0.442</v>
      </c>
      <c r="B222" s="4">
        <v>29</v>
      </c>
      <c r="C222">
        <v>-48.218577337038099</v>
      </c>
      <c r="D222">
        <v>1.1388261850000001</v>
      </c>
      <c r="E222">
        <f>$E$221+$R$221</f>
        <v>20.441788637500942</v>
      </c>
      <c r="F222">
        <f t="shared" si="58"/>
        <v>6.6169587524040081E-3</v>
      </c>
      <c r="G222">
        <f t="shared" si="59"/>
        <v>2.0464820883723738E-2</v>
      </c>
      <c r="H222">
        <f t="shared" si="60"/>
        <v>153.51185683175913</v>
      </c>
      <c r="I222">
        <f t="shared" si="61"/>
        <v>1.22360740049352</v>
      </c>
      <c r="J222">
        <f t="shared" si="62"/>
        <v>1.2945725973349895</v>
      </c>
      <c r="K222">
        <f t="shared" si="63"/>
        <v>0.10304532646857463</v>
      </c>
      <c r="L222">
        <f t="shared" si="64"/>
        <v>1.672877822819073</v>
      </c>
      <c r="M222">
        <f t="shared" si="65"/>
        <v>1.0012838789688907</v>
      </c>
      <c r="N222">
        <f t="shared" si="66"/>
        <v>1.0007634931435394</v>
      </c>
      <c r="O222">
        <v>4.5596371272865104E-3</v>
      </c>
      <c r="P222">
        <v>4.7222599034156239E-3</v>
      </c>
      <c r="Q222">
        <f t="shared" si="67"/>
        <v>698.08508438134061</v>
      </c>
      <c r="R222">
        <f t="shared" si="68"/>
        <v>0.69808508438134065</v>
      </c>
    </row>
    <row r="223" spans="1:18" x14ac:dyDescent="0.3">
      <c r="A223">
        <v>0.44400000000000001</v>
      </c>
      <c r="B223" s="4"/>
      <c r="C223">
        <v>-48.218577337038099</v>
      </c>
      <c r="D223">
        <v>1.1388261850000001</v>
      </c>
      <c r="E223">
        <f t="shared" ref="E223:E231" si="71">$E$221+$R$221</f>
        <v>20.441788637500942</v>
      </c>
      <c r="F223">
        <f t="shared" si="58"/>
        <v>6.6169587524040081E-3</v>
      </c>
      <c r="G223">
        <f t="shared" si="59"/>
        <v>2.0464820883723738E-2</v>
      </c>
      <c r="H223">
        <f t="shared" si="60"/>
        <v>153.51185683175913</v>
      </c>
      <c r="I223">
        <f t="shared" si="61"/>
        <v>1.22360740049352</v>
      </c>
      <c r="J223">
        <f t="shared" si="62"/>
        <v>1.2945725973349895</v>
      </c>
      <c r="K223">
        <f t="shared" si="63"/>
        <v>0.10304532646857463</v>
      </c>
      <c r="L223">
        <f t="shared" si="64"/>
        <v>1.672877822819073</v>
      </c>
      <c r="M223">
        <f t="shared" si="65"/>
        <v>1.0079453169975827</v>
      </c>
      <c r="N223">
        <f t="shared" si="66"/>
        <v>1.0028056793350479</v>
      </c>
      <c r="O223">
        <v>4.5004490409645539E-3</v>
      </c>
      <c r="P223">
        <v>4.7999254858706502E-3</v>
      </c>
      <c r="Q223">
        <f t="shared" si="67"/>
        <v>698.08508438134061</v>
      </c>
      <c r="R223">
        <f t="shared" si="68"/>
        <v>0.69808508438134065</v>
      </c>
    </row>
    <row r="224" spans="1:18" x14ac:dyDescent="0.3">
      <c r="A224">
        <v>0.44600000000000001</v>
      </c>
      <c r="B224" s="4"/>
      <c r="C224">
        <v>-48.218577337038099</v>
      </c>
      <c r="D224">
        <v>1.1388261850000001</v>
      </c>
      <c r="E224">
        <f t="shared" si="71"/>
        <v>20.441788637500942</v>
      </c>
      <c r="F224">
        <f t="shared" si="58"/>
        <v>6.6169587524040081E-3</v>
      </c>
      <c r="G224">
        <f t="shared" si="59"/>
        <v>2.0464820883723738E-2</v>
      </c>
      <c r="H224">
        <f t="shared" si="60"/>
        <v>153.51185683175913</v>
      </c>
      <c r="I224">
        <f t="shared" si="61"/>
        <v>1.22360740049352</v>
      </c>
      <c r="J224">
        <f t="shared" si="62"/>
        <v>1.2945725973349895</v>
      </c>
      <c r="K224">
        <f t="shared" si="63"/>
        <v>0.10304532646857463</v>
      </c>
      <c r="L224">
        <f t="shared" si="64"/>
        <v>1.672877822819073</v>
      </c>
      <c r="M224">
        <f t="shared" si="65"/>
        <v>1.0061003103327375</v>
      </c>
      <c r="N224">
        <f t="shared" si="66"/>
        <v>1.0048486464951782</v>
      </c>
      <c r="O224">
        <v>4.4354550124653998E-3</v>
      </c>
      <c r="P224">
        <v>4.8627169163409983E-3</v>
      </c>
      <c r="Q224">
        <f t="shared" si="67"/>
        <v>698.08508438134061</v>
      </c>
      <c r="R224">
        <f t="shared" si="68"/>
        <v>0.69808508438134065</v>
      </c>
    </row>
    <row r="225" spans="1:18" x14ac:dyDescent="0.3">
      <c r="A225">
        <v>0.44800000000000001</v>
      </c>
      <c r="B225" s="4"/>
      <c r="C225">
        <v>-48.218577337038099</v>
      </c>
      <c r="D225">
        <v>1.1388261850000001</v>
      </c>
      <c r="E225">
        <f t="shared" si="71"/>
        <v>20.441788637500942</v>
      </c>
      <c r="F225">
        <f t="shared" si="58"/>
        <v>6.6169587524040081E-3</v>
      </c>
      <c r="G225">
        <f t="shared" si="59"/>
        <v>2.0464820883723738E-2</v>
      </c>
      <c r="H225">
        <f t="shared" si="60"/>
        <v>153.51185683175913</v>
      </c>
      <c r="I225">
        <f t="shared" si="61"/>
        <v>1.22360740049352</v>
      </c>
      <c r="J225">
        <f t="shared" si="62"/>
        <v>1.2945725973349895</v>
      </c>
      <c r="K225">
        <f t="shared" si="63"/>
        <v>0.10304532646857463</v>
      </c>
      <c r="L225">
        <f t="shared" si="64"/>
        <v>1.672877822819073</v>
      </c>
      <c r="M225">
        <f t="shared" si="65"/>
        <v>1.0047185809516135</v>
      </c>
      <c r="N225">
        <f t="shared" si="66"/>
        <v>1.0063978059764001</v>
      </c>
      <c r="O225">
        <v>4.3917887441517417E-3</v>
      </c>
      <c r="P225">
        <v>4.9044372987764187E-3</v>
      </c>
      <c r="Q225">
        <f t="shared" si="67"/>
        <v>698.08508438134061</v>
      </c>
      <c r="R225">
        <f t="shared" si="68"/>
        <v>0.69808508438134065</v>
      </c>
    </row>
    <row r="226" spans="1:18" x14ac:dyDescent="0.3">
      <c r="A226">
        <v>0.45</v>
      </c>
      <c r="B226" s="4"/>
      <c r="C226">
        <v>-48.218577337038099</v>
      </c>
      <c r="D226">
        <v>1.1388261850000001</v>
      </c>
      <c r="E226">
        <f t="shared" si="71"/>
        <v>20.441788637500942</v>
      </c>
      <c r="F226">
        <f t="shared" si="58"/>
        <v>6.6169587524040081E-3</v>
      </c>
      <c r="G226">
        <f t="shared" si="59"/>
        <v>2.0464820883723738E-2</v>
      </c>
      <c r="H226">
        <f t="shared" si="60"/>
        <v>153.51185683175913</v>
      </c>
      <c r="I226">
        <f t="shared" si="61"/>
        <v>1.22360740049352</v>
      </c>
      <c r="J226">
        <f t="shared" si="62"/>
        <v>1.2945725973349895</v>
      </c>
      <c r="K226">
        <f t="shared" si="63"/>
        <v>0.10304532646857463</v>
      </c>
      <c r="L226">
        <f t="shared" si="64"/>
        <v>1.672877822819073</v>
      </c>
      <c r="M226">
        <f t="shared" si="65"/>
        <v>1.0042236157425561</v>
      </c>
      <c r="N226">
        <f t="shared" si="66"/>
        <v>1.0070513207910099</v>
      </c>
      <c r="O226">
        <v>4.3746441833936896E-3</v>
      </c>
      <c r="P226">
        <v>4.9209095985914084E-3</v>
      </c>
      <c r="Q226">
        <f t="shared" si="67"/>
        <v>698.08508438134061</v>
      </c>
      <c r="R226">
        <f t="shared" si="68"/>
        <v>0.69808508438134065</v>
      </c>
    </row>
    <row r="227" spans="1:18" x14ac:dyDescent="0.3">
      <c r="A227">
        <v>0.45200000000000001</v>
      </c>
      <c r="B227" s="4"/>
      <c r="C227">
        <v>-48.218577337038099</v>
      </c>
      <c r="D227">
        <v>1.1388261850000001</v>
      </c>
      <c r="E227">
        <f t="shared" si="71"/>
        <v>20.441788637500942</v>
      </c>
      <c r="F227">
        <f t="shared" si="58"/>
        <v>6.6169587524040081E-3</v>
      </c>
      <c r="G227">
        <f t="shared" si="59"/>
        <v>2.0464820883723738E-2</v>
      </c>
      <c r="H227">
        <f t="shared" si="60"/>
        <v>153.51185683175913</v>
      </c>
      <c r="I227">
        <f t="shared" si="61"/>
        <v>1.22360740049352</v>
      </c>
      <c r="J227">
        <f t="shared" si="62"/>
        <v>1.2945725973349895</v>
      </c>
      <c r="K227">
        <f t="shared" si="63"/>
        <v>0.10304532646857463</v>
      </c>
      <c r="L227">
        <f t="shared" si="64"/>
        <v>1.672877822819073</v>
      </c>
      <c r="M227">
        <f t="shared" si="65"/>
        <v>1.004533962821847</v>
      </c>
      <c r="N227">
        <f t="shared" si="66"/>
        <v>1.0066344591389393</v>
      </c>
      <c r="O227">
        <v>4.3855020402321027E-3</v>
      </c>
      <c r="P227">
        <v>4.9104714582040871E-3</v>
      </c>
      <c r="Q227">
        <f t="shared" si="67"/>
        <v>698.08508438134061</v>
      </c>
      <c r="R227">
        <f t="shared" si="68"/>
        <v>0.69808508438134065</v>
      </c>
    </row>
    <row r="228" spans="1:18" x14ac:dyDescent="0.3">
      <c r="A228">
        <v>0.45400000000000001</v>
      </c>
      <c r="B228" s="4"/>
      <c r="C228">
        <v>-48.218577337038099</v>
      </c>
      <c r="D228">
        <v>1.1388261850000001</v>
      </c>
      <c r="E228">
        <f t="shared" si="71"/>
        <v>20.441788637500942</v>
      </c>
      <c r="F228">
        <f t="shared" si="58"/>
        <v>6.6169587524040081E-3</v>
      </c>
      <c r="G228">
        <f t="shared" si="59"/>
        <v>2.0464820883723738E-2</v>
      </c>
      <c r="H228">
        <f t="shared" si="60"/>
        <v>153.51185683175913</v>
      </c>
      <c r="I228">
        <f t="shared" si="61"/>
        <v>1.22360740049352</v>
      </c>
      <c r="J228">
        <f t="shared" si="62"/>
        <v>1.2945725973349895</v>
      </c>
      <c r="K228">
        <f t="shared" si="63"/>
        <v>0.10304532646857463</v>
      </c>
      <c r="L228">
        <f t="shared" si="64"/>
        <v>1.672877822819073</v>
      </c>
      <c r="M228">
        <f t="shared" si="65"/>
        <v>1.0057023461478238</v>
      </c>
      <c r="N228">
        <f t="shared" si="66"/>
        <v>1.0052590005467841</v>
      </c>
      <c r="O228">
        <v>4.4234253716078607E-3</v>
      </c>
      <c r="P228">
        <v>4.8741771431764615E-3</v>
      </c>
      <c r="Q228">
        <f t="shared" si="67"/>
        <v>698.08508438134061</v>
      </c>
      <c r="R228">
        <f t="shared" si="68"/>
        <v>0.69808508438134065</v>
      </c>
    </row>
    <row r="229" spans="1:18" x14ac:dyDescent="0.3">
      <c r="A229">
        <v>0.45600000000000002</v>
      </c>
      <c r="B229" s="4"/>
      <c r="C229">
        <v>-48.218577337038099</v>
      </c>
      <c r="D229">
        <v>1.1388261850000001</v>
      </c>
      <c r="E229">
        <f t="shared" si="71"/>
        <v>20.441788637500942</v>
      </c>
      <c r="F229">
        <f t="shared" si="58"/>
        <v>6.6169587524040081E-3</v>
      </c>
      <c r="G229">
        <f t="shared" si="59"/>
        <v>2.0464820883723738E-2</v>
      </c>
      <c r="H229">
        <f t="shared" si="60"/>
        <v>153.51185683175913</v>
      </c>
      <c r="I229">
        <f t="shared" si="61"/>
        <v>1.22360740049352</v>
      </c>
      <c r="J229">
        <f t="shared" si="62"/>
        <v>1.2945725973349895</v>
      </c>
      <c r="K229">
        <f t="shared" si="63"/>
        <v>0.10304532646857463</v>
      </c>
      <c r="L229">
        <f t="shared" si="64"/>
        <v>1.672877822819073</v>
      </c>
      <c r="M229">
        <f t="shared" si="65"/>
        <v>1.0078820343496917</v>
      </c>
      <c r="N229">
        <f t="shared" si="66"/>
        <v>1.0032851720564104</v>
      </c>
      <c r="O229">
        <v>4.485119780308953E-3</v>
      </c>
      <c r="P229">
        <v>4.815669138156219E-3</v>
      </c>
      <c r="Q229">
        <f t="shared" si="67"/>
        <v>698.08508438134061</v>
      </c>
      <c r="R229">
        <f t="shared" si="68"/>
        <v>0.69808508438134065</v>
      </c>
    </row>
    <row r="230" spans="1:18" x14ac:dyDescent="0.3">
      <c r="A230">
        <v>0.45800000000000002</v>
      </c>
      <c r="B230" s="4"/>
      <c r="C230">
        <v>-48.218577337038099</v>
      </c>
      <c r="D230">
        <v>1.1388261850000001</v>
      </c>
      <c r="E230">
        <f t="shared" si="71"/>
        <v>20.441788637500942</v>
      </c>
      <c r="F230">
        <f t="shared" si="58"/>
        <v>6.6169587524040081E-3</v>
      </c>
      <c r="G230">
        <f t="shared" si="59"/>
        <v>2.0464820883723738E-2</v>
      </c>
      <c r="H230">
        <f t="shared" si="60"/>
        <v>153.51185683175913</v>
      </c>
      <c r="I230">
        <f t="shared" si="61"/>
        <v>1.22360740049352</v>
      </c>
      <c r="J230">
        <f t="shared" si="62"/>
        <v>1.2945725973349895</v>
      </c>
      <c r="K230">
        <f t="shared" si="63"/>
        <v>0.10304532646857463</v>
      </c>
      <c r="L230">
        <f t="shared" si="64"/>
        <v>1.672877822819073</v>
      </c>
      <c r="M230">
        <f t="shared" si="65"/>
        <v>1.0008393945390919</v>
      </c>
      <c r="N230">
        <f t="shared" si="66"/>
        <v>1.0012005656098957</v>
      </c>
      <c r="O230">
        <v>4.5407458386080256E-3</v>
      </c>
      <c r="P230">
        <v>4.7407433453332624E-3</v>
      </c>
      <c r="Q230">
        <f t="shared" si="67"/>
        <v>698.08508438134061</v>
      </c>
      <c r="R230">
        <f t="shared" si="68"/>
        <v>0.69808508438134065</v>
      </c>
    </row>
    <row r="231" spans="1:18" x14ac:dyDescent="0.3">
      <c r="A231">
        <v>0.46</v>
      </c>
      <c r="B231" s="4"/>
      <c r="C231">
        <v>-48.218577337038099</v>
      </c>
      <c r="D231">
        <v>1.1388261850000001</v>
      </c>
      <c r="E231">
        <f t="shared" si="71"/>
        <v>20.441788637500942</v>
      </c>
      <c r="F231">
        <f t="shared" si="58"/>
        <v>6.6169587524040081E-3</v>
      </c>
      <c r="G231">
        <f t="shared" si="59"/>
        <v>2.0464820883723738E-2</v>
      </c>
      <c r="H231">
        <f t="shared" si="60"/>
        <v>153.51185683175913</v>
      </c>
      <c r="I231">
        <f t="shared" si="61"/>
        <v>1.22360740049352</v>
      </c>
      <c r="J231">
        <f t="shared" si="62"/>
        <v>1.2945725973349895</v>
      </c>
      <c r="K231">
        <f t="shared" si="63"/>
        <v>0.10304532646857463</v>
      </c>
      <c r="L231">
        <f t="shared" si="64"/>
        <v>1.672877822819073</v>
      </c>
      <c r="M231">
        <f t="shared" si="65"/>
        <v>1.0031384081676824</v>
      </c>
      <c r="N231">
        <f t="shared" si="66"/>
        <v>1.0087721929662978</v>
      </c>
      <c r="O231">
        <v>4.6272128876110267E-3</v>
      </c>
      <c r="P231">
        <v>4.6781709324356553E-3</v>
      </c>
      <c r="Q231">
        <f t="shared" si="67"/>
        <v>698.08508438134061</v>
      </c>
      <c r="R231">
        <f t="shared" si="68"/>
        <v>0.69808508438134065</v>
      </c>
    </row>
    <row r="232" spans="1:18" x14ac:dyDescent="0.3">
      <c r="A232">
        <v>0.46200000000000002</v>
      </c>
      <c r="B232" s="4">
        <v>30</v>
      </c>
      <c r="C232">
        <v>-48.164957003928301</v>
      </c>
      <c r="D232">
        <v>1.14785553</v>
      </c>
      <c r="E232">
        <f>$E$231+$R231</f>
        <v>21.139873721882282</v>
      </c>
      <c r="F232">
        <f t="shared" si="58"/>
        <v>6.728994526696821E-3</v>
      </c>
      <c r="G232">
        <f t="shared" si="59"/>
        <v>2.0811323278443778E-2</v>
      </c>
      <c r="H232">
        <f t="shared" si="60"/>
        <v>150.95592969063301</v>
      </c>
      <c r="I232">
        <f t="shared" si="61"/>
        <v>1.2158473163531021</v>
      </c>
      <c r="J232">
        <f t="shared" si="62"/>
        <v>1.2890320136950797</v>
      </c>
      <c r="K232">
        <f t="shared" si="63"/>
        <v>0.10984865158429402</v>
      </c>
      <c r="L232">
        <f t="shared" si="64"/>
        <v>1.6617250602191662</v>
      </c>
      <c r="M232">
        <f t="shared" si="65"/>
        <v>1.0059511100177208</v>
      </c>
      <c r="N232">
        <f t="shared" si="66"/>
        <v>1.0061447983647349</v>
      </c>
      <c r="O232">
        <v>4.4321143255642449E-3</v>
      </c>
      <c r="P232">
        <v>4.8987477105854674E-3</v>
      </c>
      <c r="Q232">
        <f t="shared" si="67"/>
        <v>741.7653195566603</v>
      </c>
      <c r="R232">
        <f t="shared" si="68"/>
        <v>0.74176531955666025</v>
      </c>
    </row>
    <row r="233" spans="1:18" x14ac:dyDescent="0.3">
      <c r="A233">
        <v>0.46400000000000002</v>
      </c>
      <c r="B233" s="4"/>
      <c r="C233">
        <v>-48.164957003928301</v>
      </c>
      <c r="D233">
        <v>1.14785553</v>
      </c>
      <c r="E233">
        <f t="shared" ref="E233:E241" si="72">$E$231+$R232</f>
        <v>21.183553957057601</v>
      </c>
      <c r="F233">
        <f t="shared" si="58"/>
        <v>6.7359428271903084E-3</v>
      </c>
      <c r="G233">
        <f t="shared" si="59"/>
        <v>2.0832812867598891E-2</v>
      </c>
      <c r="H233">
        <f t="shared" si="60"/>
        <v>150.8002147168464</v>
      </c>
      <c r="I233">
        <f t="shared" si="61"/>
        <v>1.2153795994672536</v>
      </c>
      <c r="J233">
        <f t="shared" si="62"/>
        <v>1.288396158477128</v>
      </c>
      <c r="K233">
        <f t="shared" si="63"/>
        <v>0.10989624819934685</v>
      </c>
      <c r="L233">
        <f t="shared" si="64"/>
        <v>1.6612305004952375</v>
      </c>
      <c r="M233">
        <f t="shared" si="65"/>
        <v>1.0077392342187876</v>
      </c>
      <c r="N233">
        <f t="shared" si="66"/>
        <v>1.0044567217163893</v>
      </c>
      <c r="O233">
        <v>4.4826812182764885E-3</v>
      </c>
      <c r="P233">
        <v>4.8521923205725789E-3</v>
      </c>
      <c r="Q233">
        <f t="shared" si="67"/>
        <v>741.72066362430985</v>
      </c>
      <c r="R233">
        <f t="shared" si="68"/>
        <v>0.74172066362430988</v>
      </c>
    </row>
    <row r="234" spans="1:18" x14ac:dyDescent="0.3">
      <c r="A234">
        <v>0.46600000000000003</v>
      </c>
      <c r="B234" s="4"/>
      <c r="C234">
        <v>-48.164957003928301</v>
      </c>
      <c r="D234">
        <v>1.14785553</v>
      </c>
      <c r="E234">
        <f t="shared" si="72"/>
        <v>21.183509301125252</v>
      </c>
      <c r="F234">
        <f t="shared" si="58"/>
        <v>6.7359357273437401E-3</v>
      </c>
      <c r="G234">
        <f t="shared" si="59"/>
        <v>2.0832790909310537E-2</v>
      </c>
      <c r="H234">
        <f t="shared" si="60"/>
        <v>150.80037366408553</v>
      </c>
      <c r="I234">
        <f t="shared" si="61"/>
        <v>1.2153800765979352</v>
      </c>
      <c r="J234">
        <f t="shared" si="62"/>
        <v>1.2883968071101051</v>
      </c>
      <c r="K234">
        <f t="shared" si="63"/>
        <v>0.1098961996244993</v>
      </c>
      <c r="L234">
        <f t="shared" si="64"/>
        <v>1.6612310050170098</v>
      </c>
      <c r="M234">
        <f t="shared" si="65"/>
        <v>1.0008328302623131</v>
      </c>
      <c r="N234">
        <f t="shared" si="66"/>
        <v>1.0020751356533968</v>
      </c>
      <c r="O234">
        <v>4.5406885103238988E-3</v>
      </c>
      <c r="P234">
        <v>4.7748418611392156E-3</v>
      </c>
      <c r="Q234">
        <f t="shared" si="67"/>
        <v>741.72070919231919</v>
      </c>
      <c r="R234">
        <f t="shared" si="68"/>
        <v>0.74172070919231914</v>
      </c>
    </row>
    <row r="235" spans="1:18" x14ac:dyDescent="0.3">
      <c r="A235">
        <v>0.46800000000000003</v>
      </c>
      <c r="B235" s="4"/>
      <c r="C235">
        <v>-48.164957003928301</v>
      </c>
      <c r="D235">
        <v>1.14785553</v>
      </c>
      <c r="E235">
        <f t="shared" si="72"/>
        <v>21.18350934669326</v>
      </c>
      <c r="F235">
        <f t="shared" si="58"/>
        <v>6.7359357345886011E-3</v>
      </c>
      <c r="G235">
        <f t="shared" si="59"/>
        <v>2.0832790931717325E-2</v>
      </c>
      <c r="H235">
        <f t="shared" si="60"/>
        <v>150.80037350189161</v>
      </c>
      <c r="I235">
        <f t="shared" si="61"/>
        <v>1.2153800761110582</v>
      </c>
      <c r="J235">
        <f t="shared" si="62"/>
        <v>1.2883968064482225</v>
      </c>
      <c r="K235">
        <f t="shared" si="63"/>
        <v>0.10989619967406636</v>
      </c>
      <c r="L235">
        <f t="shared" si="64"/>
        <v>1.6612310045021821</v>
      </c>
      <c r="M235">
        <f t="shared" si="65"/>
        <v>1.0032238085113467</v>
      </c>
      <c r="N235">
        <f t="shared" si="66"/>
        <v>0.99961331755553351</v>
      </c>
      <c r="O235">
        <v>4.6306464148197857E-3</v>
      </c>
      <c r="P235">
        <v>4.6862327258054629E-3</v>
      </c>
      <c r="Q235">
        <f t="shared" si="67"/>
        <v>741.72070914582025</v>
      </c>
      <c r="R235">
        <f t="shared" si="68"/>
        <v>0.74172070914582022</v>
      </c>
    </row>
    <row r="236" spans="1:18" x14ac:dyDescent="0.3">
      <c r="A236">
        <v>0.47</v>
      </c>
      <c r="B236" s="4"/>
      <c r="C236">
        <v>-48.164957003928301</v>
      </c>
      <c r="D236">
        <v>1.14785553</v>
      </c>
      <c r="E236">
        <f t="shared" si="72"/>
        <v>21.183509346646762</v>
      </c>
      <c r="F236">
        <f t="shared" si="58"/>
        <v>6.7359357345812085E-3</v>
      </c>
      <c r="G236">
        <f t="shared" si="59"/>
        <v>2.0832790931694462E-2</v>
      </c>
      <c r="H236">
        <f t="shared" si="60"/>
        <v>150.80037350205711</v>
      </c>
      <c r="I236">
        <f t="shared" si="61"/>
        <v>1.215380076111555</v>
      </c>
      <c r="J236">
        <f t="shared" si="62"/>
        <v>1.288396806448898</v>
      </c>
      <c r="K236">
        <f t="shared" si="63"/>
        <v>0.10989619967401577</v>
      </c>
      <c r="L236">
        <f t="shared" si="64"/>
        <v>1.6612310045027074</v>
      </c>
      <c r="M236">
        <f t="shared" si="65"/>
        <v>1.0064886352846725</v>
      </c>
      <c r="N236">
        <f t="shared" si="66"/>
        <v>1.006402691325033</v>
      </c>
      <c r="O236">
        <v>4.7244973536196711E-3</v>
      </c>
      <c r="P236">
        <v>4.6154756357910673E-3</v>
      </c>
      <c r="Q236">
        <f t="shared" si="67"/>
        <v>741.72070914586766</v>
      </c>
      <c r="R236">
        <f t="shared" si="68"/>
        <v>0.74172070914586763</v>
      </c>
    </row>
    <row r="237" spans="1:18" x14ac:dyDescent="0.3">
      <c r="A237">
        <v>0.47199999999999998</v>
      </c>
      <c r="B237" s="4"/>
      <c r="C237">
        <v>-48.164957003928301</v>
      </c>
      <c r="D237">
        <v>1.14785553</v>
      </c>
      <c r="E237">
        <f t="shared" si="72"/>
        <v>21.183509346646808</v>
      </c>
      <c r="F237">
        <f t="shared" si="58"/>
        <v>6.7359357345812155E-3</v>
      </c>
      <c r="G237">
        <f t="shared" si="59"/>
        <v>2.0832790931694482E-2</v>
      </c>
      <c r="H237">
        <f t="shared" si="60"/>
        <v>150.80037350205697</v>
      </c>
      <c r="I237">
        <f t="shared" si="61"/>
        <v>1.2153800761115545</v>
      </c>
      <c r="J237">
        <f t="shared" si="62"/>
        <v>1.2883968064488975</v>
      </c>
      <c r="K237">
        <f t="shared" si="63"/>
        <v>0.10989619967401582</v>
      </c>
      <c r="L237">
        <f t="shared" si="64"/>
        <v>1.661231004502707</v>
      </c>
      <c r="M237">
        <f t="shared" si="65"/>
        <v>0.99968012163023257</v>
      </c>
      <c r="N237">
        <f t="shared" si="66"/>
        <v>1.0037242370657165</v>
      </c>
      <c r="O237">
        <v>4.7895918064256252E-3</v>
      </c>
      <c r="P237">
        <v>4.5267631362084252E-3</v>
      </c>
      <c r="Q237">
        <f t="shared" si="67"/>
        <v>741.72070914586766</v>
      </c>
      <c r="R237">
        <f t="shared" si="68"/>
        <v>0.74172070914586763</v>
      </c>
    </row>
    <row r="238" spans="1:18" x14ac:dyDescent="0.3">
      <c r="A238">
        <v>0.47399999999999998</v>
      </c>
      <c r="B238" s="4"/>
      <c r="C238">
        <v>-48.164957003928301</v>
      </c>
      <c r="D238">
        <v>1.14785553</v>
      </c>
      <c r="E238">
        <f t="shared" si="72"/>
        <v>21.183509346646808</v>
      </c>
      <c r="F238">
        <f t="shared" si="58"/>
        <v>6.7359357345812155E-3</v>
      </c>
      <c r="G238">
        <f t="shared" si="59"/>
        <v>2.0832790931694482E-2</v>
      </c>
      <c r="H238">
        <f t="shared" si="60"/>
        <v>150.80037350205697</v>
      </c>
      <c r="I238">
        <f t="shared" si="61"/>
        <v>1.2153800761115545</v>
      </c>
      <c r="J238">
        <f t="shared" si="62"/>
        <v>1.2883968064488975</v>
      </c>
      <c r="K238">
        <f t="shared" si="63"/>
        <v>0.10989619967401582</v>
      </c>
      <c r="L238">
        <f t="shared" si="64"/>
        <v>1.661231004502707</v>
      </c>
      <c r="M238">
        <f t="shared" si="65"/>
        <v>0.9994637290717413</v>
      </c>
      <c r="N238">
        <f t="shared" si="66"/>
        <v>1.0020180269541654</v>
      </c>
      <c r="O238">
        <v>4.8571756397345405E-3</v>
      </c>
      <c r="P238">
        <v>4.4519668382829386E-3</v>
      </c>
      <c r="Q238">
        <f t="shared" si="67"/>
        <v>741.72070914586766</v>
      </c>
      <c r="R238">
        <f t="shared" si="68"/>
        <v>0.74172070914586763</v>
      </c>
    </row>
    <row r="239" spans="1:18" x14ac:dyDescent="0.3">
      <c r="A239">
        <v>0.47599999999999998</v>
      </c>
      <c r="B239" s="4"/>
      <c r="C239">
        <v>-48.164957003928301</v>
      </c>
      <c r="D239">
        <v>1.14785553</v>
      </c>
      <c r="E239">
        <f t="shared" si="72"/>
        <v>21.183509346646808</v>
      </c>
      <c r="F239">
        <f t="shared" si="58"/>
        <v>6.7359357345812155E-3</v>
      </c>
      <c r="G239">
        <f t="shared" si="59"/>
        <v>2.0832790931694482E-2</v>
      </c>
      <c r="H239">
        <f t="shared" si="60"/>
        <v>150.80037350205697</v>
      </c>
      <c r="I239">
        <f t="shared" si="61"/>
        <v>1.2153800761115545</v>
      </c>
      <c r="J239">
        <f t="shared" si="62"/>
        <v>1.2883968064488975</v>
      </c>
      <c r="K239">
        <f t="shared" si="63"/>
        <v>0.10989619967401582</v>
      </c>
      <c r="L239">
        <f t="shared" si="64"/>
        <v>1.661231004502707</v>
      </c>
      <c r="M239">
        <f t="shared" si="65"/>
        <v>0.99925921814106289</v>
      </c>
      <c r="N239">
        <f t="shared" si="66"/>
        <v>1.0010969893326986</v>
      </c>
      <c r="O239">
        <v>4.9062802267288881E-3</v>
      </c>
      <c r="P239">
        <v>4.3975050359111563E-3</v>
      </c>
      <c r="Q239">
        <f t="shared" si="67"/>
        <v>741.72070914586766</v>
      </c>
      <c r="R239">
        <f t="shared" si="68"/>
        <v>0.74172070914586763</v>
      </c>
    </row>
    <row r="240" spans="1:18" x14ac:dyDescent="0.3">
      <c r="A240">
        <v>0.47799999999999998</v>
      </c>
      <c r="B240" s="4"/>
      <c r="C240">
        <v>-48.164957003928301</v>
      </c>
      <c r="D240">
        <v>1.14785553</v>
      </c>
      <c r="E240">
        <f t="shared" si="72"/>
        <v>21.183509346646808</v>
      </c>
      <c r="F240">
        <f t="shared" si="58"/>
        <v>6.7359357345812155E-3</v>
      </c>
      <c r="G240">
        <f t="shared" si="59"/>
        <v>2.0832790931694482E-2</v>
      </c>
      <c r="H240">
        <f t="shared" si="60"/>
        <v>150.80037350205697</v>
      </c>
      <c r="I240">
        <f t="shared" si="61"/>
        <v>1.2153800761115545</v>
      </c>
      <c r="J240">
        <f t="shared" si="62"/>
        <v>1.2883968064488975</v>
      </c>
      <c r="K240">
        <f t="shared" si="63"/>
        <v>0.10989619967401582</v>
      </c>
      <c r="L240">
        <f t="shared" si="64"/>
        <v>1.661231004502707</v>
      </c>
      <c r="M240">
        <f t="shared" si="65"/>
        <v>0.99913012293311743</v>
      </c>
      <c r="N240">
        <f t="shared" si="66"/>
        <v>1.0007116414722155</v>
      </c>
      <c r="O240">
        <v>4.9328738838045208E-3</v>
      </c>
      <c r="P240">
        <v>4.3679692439002214E-3</v>
      </c>
      <c r="Q240">
        <f t="shared" si="67"/>
        <v>741.72070914586766</v>
      </c>
      <c r="R240">
        <f t="shared" si="68"/>
        <v>0.74172070914586763</v>
      </c>
    </row>
    <row r="241" spans="1:18" x14ac:dyDescent="0.3">
      <c r="A241">
        <v>0.48</v>
      </c>
      <c r="B241" s="4"/>
      <c r="C241">
        <v>-48.164957003928301</v>
      </c>
      <c r="D241">
        <v>1.14785553</v>
      </c>
      <c r="E241">
        <f t="shared" si="72"/>
        <v>21.183509346646808</v>
      </c>
      <c r="F241">
        <f t="shared" si="58"/>
        <v>6.7359357345812155E-3</v>
      </c>
      <c r="G241">
        <f t="shared" si="59"/>
        <v>2.0832790931694482E-2</v>
      </c>
      <c r="H241">
        <f t="shared" si="60"/>
        <v>150.80037350205697</v>
      </c>
      <c r="I241">
        <f t="shared" si="61"/>
        <v>1.2153800761115545</v>
      </c>
      <c r="J241">
        <f t="shared" si="62"/>
        <v>1.2883968064488975</v>
      </c>
      <c r="K241">
        <f t="shared" si="63"/>
        <v>0.10989619967401582</v>
      </c>
      <c r="L241">
        <f t="shared" si="64"/>
        <v>1.661231004502707</v>
      </c>
      <c r="M241">
        <f t="shared" si="65"/>
        <v>0.99912020920589206</v>
      </c>
      <c r="N241">
        <f t="shared" si="66"/>
        <v>1.000686756870993</v>
      </c>
      <c r="O241">
        <v>4.9348073071793725E-3</v>
      </c>
      <c r="P241">
        <v>4.3658208054895399E-3</v>
      </c>
      <c r="Q241">
        <f t="shared" si="67"/>
        <v>741.72070914586766</v>
      </c>
      <c r="R241">
        <f t="shared" si="68"/>
        <v>0.74172070914586763</v>
      </c>
    </row>
    <row r="242" spans="1:18" x14ac:dyDescent="0.3">
      <c r="A242">
        <v>0.48199999999999998</v>
      </c>
      <c r="B242" s="4">
        <v>31</v>
      </c>
      <c r="C242">
        <v>-48.111336670818503</v>
      </c>
      <c r="D242">
        <v>1.1568848759999999</v>
      </c>
      <c r="E242">
        <f>$E$241+$R$241</f>
        <v>21.925230055792674</v>
      </c>
      <c r="F242">
        <f t="shared" si="58"/>
        <v>6.852847387020986E-3</v>
      </c>
      <c r="G242">
        <f t="shared" si="59"/>
        <v>2.1194373361920576E-2</v>
      </c>
      <c r="H242">
        <f t="shared" si="60"/>
        <v>148.22767344630333</v>
      </c>
      <c r="I242">
        <f t="shared" si="61"/>
        <v>1.2077359843086908</v>
      </c>
      <c r="J242">
        <f t="shared" si="62"/>
        <v>1.2826899514509948</v>
      </c>
      <c r="K242">
        <f t="shared" si="63"/>
        <v>0.11671977156405298</v>
      </c>
      <c r="L242">
        <f t="shared" si="64"/>
        <v>1.6501797473782891</v>
      </c>
      <c r="M242">
        <f t="shared" si="65"/>
        <v>0.99938602779093988</v>
      </c>
      <c r="N242">
        <f t="shared" si="66"/>
        <v>1.0022112509141448</v>
      </c>
      <c r="O242">
        <v>4.8778377290856498E-3</v>
      </c>
      <c r="P242">
        <v>4.4623796563316746E-3</v>
      </c>
      <c r="Q242">
        <f t="shared" si="67"/>
        <v>785.10510058042246</v>
      </c>
      <c r="R242">
        <f t="shared" si="68"/>
        <v>0.78510510058042249</v>
      </c>
    </row>
    <row r="243" spans="1:18" x14ac:dyDescent="0.3">
      <c r="A243">
        <v>0.48399999999999999</v>
      </c>
      <c r="B243" s="4"/>
      <c r="C243">
        <v>-48.111336670818503</v>
      </c>
      <c r="D243">
        <v>1.1568848759999999</v>
      </c>
      <c r="E243">
        <f t="shared" ref="E243:E251" si="73">$E$241+$R$241</f>
        <v>21.925230055792674</v>
      </c>
      <c r="F243">
        <f t="shared" si="58"/>
        <v>6.852847387020986E-3</v>
      </c>
      <c r="G243">
        <f t="shared" si="59"/>
        <v>2.1194373361920576E-2</v>
      </c>
      <c r="H243">
        <f t="shared" si="60"/>
        <v>148.22767344630333</v>
      </c>
      <c r="I243">
        <f t="shared" si="61"/>
        <v>1.2077359843086908</v>
      </c>
      <c r="J243">
        <f t="shared" si="62"/>
        <v>1.2826899514509948</v>
      </c>
      <c r="K243">
        <f t="shared" si="63"/>
        <v>0.11671977156405298</v>
      </c>
      <c r="L243">
        <f t="shared" si="64"/>
        <v>1.6501797473782891</v>
      </c>
      <c r="M243">
        <f t="shared" si="65"/>
        <v>0.99914130384935118</v>
      </c>
      <c r="N243">
        <f t="shared" si="66"/>
        <v>1.0011628036176803</v>
      </c>
      <c r="O243">
        <v>4.931531435030884E-3</v>
      </c>
      <c r="P243">
        <v>4.4025050182125132E-3</v>
      </c>
      <c r="Q243">
        <f t="shared" si="67"/>
        <v>785.10510058042246</v>
      </c>
      <c r="R243">
        <f t="shared" si="68"/>
        <v>0.78510510058042249</v>
      </c>
    </row>
    <row r="244" spans="1:18" x14ac:dyDescent="0.3">
      <c r="A244">
        <v>0.48599999999999999</v>
      </c>
      <c r="B244" s="4"/>
      <c r="C244">
        <v>-48.111336670818503</v>
      </c>
      <c r="D244">
        <v>1.1568848759999999</v>
      </c>
      <c r="E244">
        <f t="shared" si="73"/>
        <v>21.925230055792674</v>
      </c>
      <c r="F244">
        <f t="shared" si="58"/>
        <v>6.852847387020986E-3</v>
      </c>
      <c r="G244">
        <f t="shared" si="59"/>
        <v>2.1194373361920576E-2</v>
      </c>
      <c r="H244">
        <f t="shared" si="60"/>
        <v>148.22767344630333</v>
      </c>
      <c r="I244">
        <f t="shared" si="61"/>
        <v>1.2077359843086908</v>
      </c>
      <c r="J244">
        <f t="shared" si="62"/>
        <v>1.2826899514509948</v>
      </c>
      <c r="K244">
        <f t="shared" si="63"/>
        <v>0.11671977156405298</v>
      </c>
      <c r="L244">
        <f t="shared" si="64"/>
        <v>1.6501797473782891</v>
      </c>
      <c r="M244">
        <f t="shared" si="65"/>
        <v>0.99897462178551921</v>
      </c>
      <c r="N244">
        <f t="shared" si="66"/>
        <v>1.0007051562308491</v>
      </c>
      <c r="O244">
        <v>4.962596505963225E-3</v>
      </c>
      <c r="P244">
        <v>4.3678010391628632E-3</v>
      </c>
      <c r="Q244">
        <f t="shared" si="67"/>
        <v>785.10510058042246</v>
      </c>
      <c r="R244">
        <f t="shared" si="68"/>
        <v>0.78510510058042249</v>
      </c>
    </row>
    <row r="245" spans="1:18" x14ac:dyDescent="0.3">
      <c r="A245">
        <v>0.48799999999999999</v>
      </c>
      <c r="B245" s="4"/>
      <c r="C245">
        <v>-48.111336670818503</v>
      </c>
      <c r="D245">
        <v>1.1568848759999999</v>
      </c>
      <c r="E245">
        <f t="shared" si="73"/>
        <v>21.925230055792674</v>
      </c>
      <c r="F245">
        <f t="shared" si="58"/>
        <v>6.852847387020986E-3</v>
      </c>
      <c r="G245">
        <f t="shared" si="59"/>
        <v>2.1194373361920576E-2</v>
      </c>
      <c r="H245">
        <f t="shared" si="60"/>
        <v>148.22767344630333</v>
      </c>
      <c r="I245">
        <f t="shared" si="61"/>
        <v>1.2077359843086908</v>
      </c>
      <c r="J245">
        <f t="shared" si="62"/>
        <v>1.2826899514509948</v>
      </c>
      <c r="K245">
        <f t="shared" si="63"/>
        <v>0.11671977156405298</v>
      </c>
      <c r="L245">
        <f t="shared" si="64"/>
        <v>1.6501797473782891</v>
      </c>
      <c r="M245">
        <f t="shared" si="65"/>
        <v>0.99894000827570684</v>
      </c>
      <c r="N245">
        <f t="shared" si="66"/>
        <v>1.0006290792614476</v>
      </c>
      <c r="O245">
        <v>4.9686272734852507E-3</v>
      </c>
      <c r="P245">
        <v>4.3610585106897823E-3</v>
      </c>
      <c r="Q245">
        <f t="shared" si="67"/>
        <v>785.10510058042246</v>
      </c>
      <c r="R245">
        <f t="shared" si="68"/>
        <v>0.78510510058042249</v>
      </c>
    </row>
    <row r="246" spans="1:18" x14ac:dyDescent="0.3">
      <c r="A246">
        <v>0.49</v>
      </c>
      <c r="B246" s="4"/>
      <c r="C246">
        <v>-48.111336670818503</v>
      </c>
      <c r="D246">
        <v>1.1568848759999999</v>
      </c>
      <c r="E246">
        <f t="shared" si="73"/>
        <v>21.925230055792674</v>
      </c>
      <c r="F246">
        <f t="shared" si="58"/>
        <v>6.852847387020986E-3</v>
      </c>
      <c r="G246">
        <f t="shared" si="59"/>
        <v>2.1194373361920576E-2</v>
      </c>
      <c r="H246">
        <f t="shared" si="60"/>
        <v>148.22767344630333</v>
      </c>
      <c r="I246">
        <f t="shared" si="61"/>
        <v>1.2077359843086908</v>
      </c>
      <c r="J246">
        <f t="shared" si="62"/>
        <v>1.2826899514509948</v>
      </c>
      <c r="K246">
        <f t="shared" si="63"/>
        <v>0.11671977156405298</v>
      </c>
      <c r="L246">
        <f t="shared" si="64"/>
        <v>1.6501797473782891</v>
      </c>
      <c r="M246">
        <f t="shared" si="65"/>
        <v>0.9990490735605223</v>
      </c>
      <c r="N246">
        <f t="shared" si="66"/>
        <v>1.000889602579943</v>
      </c>
      <c r="O246">
        <v>4.9491604397630378E-3</v>
      </c>
      <c r="P246">
        <v>4.3828166264326387E-3</v>
      </c>
      <c r="Q246">
        <f t="shared" si="67"/>
        <v>785.10510058042246</v>
      </c>
      <c r="R246">
        <f t="shared" si="68"/>
        <v>0.78510510058042249</v>
      </c>
    </row>
    <row r="247" spans="1:18" x14ac:dyDescent="0.3">
      <c r="A247">
        <v>0.49199999999999999</v>
      </c>
      <c r="B247" s="4"/>
      <c r="C247">
        <v>-48.111336670818503</v>
      </c>
      <c r="D247">
        <v>1.1568848759999999</v>
      </c>
      <c r="E247">
        <f t="shared" si="73"/>
        <v>21.925230055792674</v>
      </c>
      <c r="F247">
        <f t="shared" si="58"/>
        <v>6.852847387020986E-3</v>
      </c>
      <c r="G247">
        <f t="shared" si="59"/>
        <v>2.1194373361920576E-2</v>
      </c>
      <c r="H247">
        <f t="shared" si="60"/>
        <v>148.22767344630333</v>
      </c>
      <c r="I247">
        <f t="shared" si="61"/>
        <v>1.2077359843086908</v>
      </c>
      <c r="J247">
        <f t="shared" si="62"/>
        <v>1.2826899514509948</v>
      </c>
      <c r="K247">
        <f t="shared" si="63"/>
        <v>0.11671977156405298</v>
      </c>
      <c r="L247">
        <f t="shared" si="64"/>
        <v>1.6501797473782891</v>
      </c>
      <c r="M247">
        <f t="shared" si="65"/>
        <v>0.99926566929490879</v>
      </c>
      <c r="N247">
        <f t="shared" si="66"/>
        <v>1.0016267946172168</v>
      </c>
      <c r="O247">
        <v>4.9056958383091442E-3</v>
      </c>
      <c r="P247">
        <v>4.4313318808185988E-3</v>
      </c>
      <c r="Q247">
        <f t="shared" si="67"/>
        <v>785.10510058042246</v>
      </c>
      <c r="R247">
        <f t="shared" si="68"/>
        <v>0.78510510058042249</v>
      </c>
    </row>
    <row r="248" spans="1:18" x14ac:dyDescent="0.3">
      <c r="A248">
        <v>0.49399999999999999</v>
      </c>
      <c r="B248" s="4"/>
      <c r="C248">
        <v>-48.111336670818503</v>
      </c>
      <c r="D248">
        <v>1.1568848759999999</v>
      </c>
      <c r="E248">
        <f t="shared" si="73"/>
        <v>21.925230055792674</v>
      </c>
      <c r="F248">
        <f t="shared" si="58"/>
        <v>6.852847387020986E-3</v>
      </c>
      <c r="G248">
        <f t="shared" si="59"/>
        <v>2.1194373361920576E-2</v>
      </c>
      <c r="H248">
        <f t="shared" si="60"/>
        <v>148.22767344630333</v>
      </c>
      <c r="I248">
        <f t="shared" si="61"/>
        <v>1.2077359843086908</v>
      </c>
      <c r="J248">
        <f t="shared" si="62"/>
        <v>1.2826899514509948</v>
      </c>
      <c r="K248">
        <f t="shared" si="63"/>
        <v>0.11671977156405298</v>
      </c>
      <c r="L248">
        <f t="shared" si="64"/>
        <v>1.6501797473782891</v>
      </c>
      <c r="M248">
        <f t="shared" si="65"/>
        <v>0.99952240540546855</v>
      </c>
      <c r="N248">
        <f t="shared" si="66"/>
        <v>1.003100274834541</v>
      </c>
      <c r="O248">
        <v>4.8416279058302964E-3</v>
      </c>
      <c r="P248">
        <v>4.5026797919731328E-3</v>
      </c>
      <c r="Q248">
        <f t="shared" si="67"/>
        <v>785.10510058042246</v>
      </c>
      <c r="R248">
        <f t="shared" si="68"/>
        <v>0.78510510058042249</v>
      </c>
    </row>
    <row r="249" spans="1:18" x14ac:dyDescent="0.3">
      <c r="A249">
        <v>0.496</v>
      </c>
      <c r="B249" s="4"/>
      <c r="C249">
        <v>-48.111336670818503</v>
      </c>
      <c r="D249">
        <v>1.1568848759999999</v>
      </c>
      <c r="E249">
        <f t="shared" si="73"/>
        <v>21.925230055792674</v>
      </c>
      <c r="F249">
        <f t="shared" si="58"/>
        <v>6.852847387020986E-3</v>
      </c>
      <c r="G249">
        <f t="shared" si="59"/>
        <v>2.1194373361920576E-2</v>
      </c>
      <c r="H249">
        <f t="shared" si="60"/>
        <v>148.22767344630333</v>
      </c>
      <c r="I249">
        <f t="shared" si="61"/>
        <v>1.2077359843086908</v>
      </c>
      <c r="J249">
        <f t="shared" si="62"/>
        <v>1.2826899514509948</v>
      </c>
      <c r="K249">
        <f t="shared" si="63"/>
        <v>0.11671977156405298</v>
      </c>
      <c r="L249">
        <f t="shared" si="64"/>
        <v>1.6501797473782891</v>
      </c>
      <c r="M249">
        <f t="shared" si="65"/>
        <v>1.0088670713205838</v>
      </c>
      <c r="N249">
        <f t="shared" si="66"/>
        <v>1.0055596648555392</v>
      </c>
      <c r="O249">
        <v>4.7830074768450944E-3</v>
      </c>
      <c r="P249">
        <v>4.5909960270273031E-3</v>
      </c>
      <c r="Q249">
        <f t="shared" si="67"/>
        <v>785.10510058042246</v>
      </c>
      <c r="R249">
        <f t="shared" si="68"/>
        <v>0.78510510058042249</v>
      </c>
    </row>
    <row r="250" spans="1:18" x14ac:dyDescent="0.3">
      <c r="A250">
        <v>0.498</v>
      </c>
      <c r="B250" s="4"/>
      <c r="C250">
        <v>-48.111336670818503</v>
      </c>
      <c r="D250">
        <v>1.1568848759999999</v>
      </c>
      <c r="E250">
        <f t="shared" si="73"/>
        <v>21.925230055792674</v>
      </c>
      <c r="F250">
        <f t="shared" si="58"/>
        <v>6.852847387020986E-3</v>
      </c>
      <c r="G250">
        <f t="shared" si="59"/>
        <v>2.1194373361920576E-2</v>
      </c>
      <c r="H250">
        <f t="shared" si="60"/>
        <v>148.22767344630333</v>
      </c>
      <c r="I250">
        <f t="shared" si="61"/>
        <v>1.2077359843086908</v>
      </c>
      <c r="J250">
        <f t="shared" si="62"/>
        <v>1.2826899514509948</v>
      </c>
      <c r="K250">
        <f t="shared" si="63"/>
        <v>0.11671977156405298</v>
      </c>
      <c r="L250">
        <f t="shared" si="64"/>
        <v>1.6501797473782891</v>
      </c>
      <c r="M250">
        <f t="shared" si="65"/>
        <v>1.005007644456317</v>
      </c>
      <c r="N250">
        <f t="shared" si="66"/>
        <v>1.0079635789247254</v>
      </c>
      <c r="O250">
        <v>4.6854893008166382E-3</v>
      </c>
      <c r="P250">
        <v>4.6862327258054637E-3</v>
      </c>
      <c r="Q250">
        <f t="shared" si="67"/>
        <v>785.10510058042246</v>
      </c>
      <c r="R250">
        <f t="shared" si="68"/>
        <v>0.78510510058042249</v>
      </c>
    </row>
    <row r="251" spans="1:18" x14ac:dyDescent="0.3">
      <c r="A251">
        <v>0.5</v>
      </c>
      <c r="B251" s="4"/>
      <c r="C251">
        <v>-48.111336670818503</v>
      </c>
      <c r="D251">
        <v>1.1568848759999999</v>
      </c>
      <c r="E251">
        <f t="shared" si="73"/>
        <v>21.925230055792674</v>
      </c>
      <c r="F251">
        <f t="shared" si="58"/>
        <v>6.852847387020986E-3</v>
      </c>
      <c r="G251">
        <f t="shared" si="59"/>
        <v>2.1194373361920576E-2</v>
      </c>
      <c r="H251">
        <f t="shared" si="60"/>
        <v>148.22767344630333</v>
      </c>
      <c r="I251">
        <f t="shared" si="61"/>
        <v>1.2077359843086908</v>
      </c>
      <c r="J251">
        <f t="shared" si="62"/>
        <v>1.2826899514509948</v>
      </c>
      <c r="K251">
        <f t="shared" si="63"/>
        <v>0.11671977156405298</v>
      </c>
      <c r="L251">
        <f t="shared" si="64"/>
        <v>1.6501797473782891</v>
      </c>
      <c r="M251">
        <f t="shared" si="65"/>
        <v>1.0020013753072992</v>
      </c>
      <c r="N251">
        <f t="shared" si="66"/>
        <v>1.0016876916188973</v>
      </c>
      <c r="O251">
        <v>4.5885152187532408E-3</v>
      </c>
      <c r="P251">
        <v>4.7607110270022355E-3</v>
      </c>
      <c r="Q251">
        <f t="shared" si="67"/>
        <v>785.10510058042246</v>
      </c>
      <c r="R251">
        <f t="shared" si="68"/>
        <v>0.78510510058042249</v>
      </c>
    </row>
    <row r="252" spans="1:18" x14ac:dyDescent="0.3">
      <c r="A252">
        <v>0.502</v>
      </c>
      <c r="B252" s="4">
        <v>32</v>
      </c>
      <c r="C252">
        <v>-48.061336670818498</v>
      </c>
      <c r="D252">
        <v>1.167042889</v>
      </c>
      <c r="E252">
        <f>$E$251+$R$251</f>
        <v>22.710335156373098</v>
      </c>
      <c r="F252">
        <f t="shared" si="58"/>
        <v>6.9744626433968998E-3</v>
      </c>
      <c r="G252">
        <f t="shared" si="59"/>
        <v>2.1570503020815156E-2</v>
      </c>
      <c r="H252">
        <f t="shared" si="60"/>
        <v>145.6429945355568</v>
      </c>
      <c r="I252">
        <f t="shared" si="61"/>
        <v>1.2002138580276425</v>
      </c>
      <c r="J252">
        <f t="shared" si="62"/>
        <v>1.2774111661551839</v>
      </c>
      <c r="K252">
        <f t="shared" si="63"/>
        <v>0.12430563059582654</v>
      </c>
      <c r="L252">
        <f t="shared" si="64"/>
        <v>1.6388718133325415</v>
      </c>
      <c r="M252">
        <f t="shared" si="65"/>
        <v>0.99931076448578215</v>
      </c>
      <c r="N252">
        <f t="shared" si="66"/>
        <v>1.0024831086177208</v>
      </c>
      <c r="O252">
        <v>4.8964776619257301E-3</v>
      </c>
      <c r="P252">
        <v>4.476178994256225E-3</v>
      </c>
      <c r="Q252">
        <f t="shared" si="67"/>
        <v>833.49956814388599</v>
      </c>
      <c r="R252">
        <f t="shared" si="68"/>
        <v>0.83349956814388604</v>
      </c>
    </row>
    <row r="253" spans="1:18" x14ac:dyDescent="0.3">
      <c r="A253">
        <v>0.504</v>
      </c>
      <c r="B253" s="4"/>
      <c r="C253">
        <v>-48.061336670818498</v>
      </c>
      <c r="D253">
        <v>1.167042889</v>
      </c>
      <c r="E253">
        <f t="shared" ref="E253:E262" si="74">$E$251+$R$251</f>
        <v>22.710335156373098</v>
      </c>
      <c r="F253">
        <f t="shared" si="58"/>
        <v>6.9744626433968998E-3</v>
      </c>
      <c r="G253">
        <f t="shared" si="59"/>
        <v>2.1570503020815156E-2</v>
      </c>
      <c r="H253">
        <f t="shared" si="60"/>
        <v>145.6429945355568</v>
      </c>
      <c r="I253">
        <f t="shared" si="61"/>
        <v>1.2002138580276425</v>
      </c>
      <c r="J253">
        <f t="shared" si="62"/>
        <v>1.2774111661551839</v>
      </c>
      <c r="K253">
        <f t="shared" si="63"/>
        <v>0.12430563059582654</v>
      </c>
      <c r="L253">
        <f t="shared" si="64"/>
        <v>1.6388718133325415</v>
      </c>
      <c r="M253">
        <f t="shared" si="65"/>
        <v>0.99959937516692221</v>
      </c>
      <c r="N253">
        <f t="shared" si="66"/>
        <v>1.0046714651912891</v>
      </c>
      <c r="O253">
        <v>4.8188954489469873E-3</v>
      </c>
      <c r="P253">
        <v>4.5628786226631843E-3</v>
      </c>
      <c r="Q253">
        <f t="shared" si="67"/>
        <v>833.49956814388599</v>
      </c>
      <c r="R253">
        <f t="shared" si="68"/>
        <v>0.83349956814388604</v>
      </c>
    </row>
    <row r="254" spans="1:18" x14ac:dyDescent="0.3">
      <c r="A254">
        <v>0.50600000000000001</v>
      </c>
      <c r="B254" s="4"/>
      <c r="C254">
        <v>-48.061336670818498</v>
      </c>
      <c r="D254">
        <v>1.167042889</v>
      </c>
      <c r="E254">
        <f t="shared" si="74"/>
        <v>22.710335156373098</v>
      </c>
      <c r="F254">
        <f t="shared" si="58"/>
        <v>6.9744626433968998E-3</v>
      </c>
      <c r="G254">
        <f t="shared" si="59"/>
        <v>2.1570503020815156E-2</v>
      </c>
      <c r="H254">
        <f t="shared" si="60"/>
        <v>145.6429945355568</v>
      </c>
      <c r="I254">
        <f t="shared" si="61"/>
        <v>1.2002138580276425</v>
      </c>
      <c r="J254">
        <f t="shared" si="62"/>
        <v>1.2774111661551839</v>
      </c>
      <c r="K254">
        <f t="shared" si="63"/>
        <v>0.12430563059582654</v>
      </c>
      <c r="L254">
        <f t="shared" si="64"/>
        <v>1.6388718133325415</v>
      </c>
      <c r="M254">
        <f t="shared" si="65"/>
        <v>1.0072854893990173</v>
      </c>
      <c r="N254">
        <f t="shared" si="66"/>
        <v>1.0080161844447135</v>
      </c>
      <c r="O254">
        <v>4.7465996841481086E-3</v>
      </c>
      <c r="P254">
        <v>4.6626356099351909E-3</v>
      </c>
      <c r="Q254">
        <f t="shared" si="67"/>
        <v>833.49956814388599</v>
      </c>
      <c r="R254">
        <f t="shared" si="68"/>
        <v>0.83349956814388604</v>
      </c>
    </row>
    <row r="255" spans="1:18" x14ac:dyDescent="0.3">
      <c r="A255">
        <v>0.50800000000000001</v>
      </c>
      <c r="B255" s="4"/>
      <c r="C255">
        <v>-48.061336670818498</v>
      </c>
      <c r="D255">
        <v>1.167042889</v>
      </c>
      <c r="E255">
        <f t="shared" si="74"/>
        <v>22.710335156373098</v>
      </c>
      <c r="F255">
        <f t="shared" si="58"/>
        <v>6.9744626433968998E-3</v>
      </c>
      <c r="G255">
        <f t="shared" si="59"/>
        <v>2.1570503020815156E-2</v>
      </c>
      <c r="H255">
        <f t="shared" si="60"/>
        <v>145.6429945355568</v>
      </c>
      <c r="I255">
        <f t="shared" si="61"/>
        <v>1.2002138580276425</v>
      </c>
      <c r="J255">
        <f t="shared" si="62"/>
        <v>1.2774111661551839</v>
      </c>
      <c r="K255">
        <f t="shared" si="63"/>
        <v>0.12430563059582654</v>
      </c>
      <c r="L255">
        <f t="shared" si="64"/>
        <v>1.6388718133325415</v>
      </c>
      <c r="M255">
        <f t="shared" si="65"/>
        <v>1.0035780759344279</v>
      </c>
      <c r="N255">
        <f t="shared" si="66"/>
        <v>1.001189643603694</v>
      </c>
      <c r="O255">
        <v>4.6433923106160811E-3</v>
      </c>
      <c r="P255">
        <v>4.7411527931243026E-3</v>
      </c>
      <c r="Q255">
        <f t="shared" si="67"/>
        <v>833.49956814388599</v>
      </c>
      <c r="R255">
        <f t="shared" si="68"/>
        <v>0.83349956814388604</v>
      </c>
    </row>
    <row r="256" spans="1:18" x14ac:dyDescent="0.3">
      <c r="A256">
        <v>0.51</v>
      </c>
      <c r="B256" s="4"/>
      <c r="C256">
        <v>-48.061336670818498</v>
      </c>
      <c r="D256">
        <v>1.167042889</v>
      </c>
      <c r="E256">
        <f t="shared" si="74"/>
        <v>22.710335156373098</v>
      </c>
      <c r="F256">
        <f t="shared" si="58"/>
        <v>6.9744626433968998E-3</v>
      </c>
      <c r="G256">
        <f t="shared" si="59"/>
        <v>2.1570503020815156E-2</v>
      </c>
      <c r="H256">
        <f t="shared" si="60"/>
        <v>145.6429945355568</v>
      </c>
      <c r="I256">
        <f t="shared" si="61"/>
        <v>1.2002138580276425</v>
      </c>
      <c r="J256">
        <f t="shared" si="62"/>
        <v>1.2774111661551839</v>
      </c>
      <c r="K256">
        <f t="shared" si="63"/>
        <v>0.12430563059582654</v>
      </c>
      <c r="L256">
        <f t="shared" si="64"/>
        <v>1.6388718133325415</v>
      </c>
      <c r="M256">
        <f t="shared" si="65"/>
        <v>1.0009369899764011</v>
      </c>
      <c r="N256">
        <f t="shared" si="66"/>
        <v>1.0038907898366753</v>
      </c>
      <c r="O256">
        <v>4.545778027186983E-3</v>
      </c>
      <c r="P256">
        <v>4.8366145894901949E-3</v>
      </c>
      <c r="Q256">
        <f t="shared" si="67"/>
        <v>833.49956814388599</v>
      </c>
      <c r="R256">
        <f t="shared" si="68"/>
        <v>0.83349956814388604</v>
      </c>
    </row>
    <row r="257" spans="1:18" x14ac:dyDescent="0.3">
      <c r="A257">
        <v>0.51200000000000001</v>
      </c>
      <c r="B257" s="4"/>
      <c r="C257">
        <v>-48.061336670818498</v>
      </c>
      <c r="D257">
        <v>1.167042889</v>
      </c>
      <c r="E257">
        <f t="shared" si="74"/>
        <v>22.710335156373098</v>
      </c>
      <c r="F257">
        <f t="shared" si="58"/>
        <v>6.9744626433968998E-3</v>
      </c>
      <c r="G257">
        <f t="shared" si="59"/>
        <v>2.1570503020815156E-2</v>
      </c>
      <c r="H257">
        <f t="shared" si="60"/>
        <v>145.6429945355568</v>
      </c>
      <c r="I257">
        <f t="shared" si="61"/>
        <v>1.2002138580276425</v>
      </c>
      <c r="J257">
        <f t="shared" si="62"/>
        <v>1.2774111661551839</v>
      </c>
      <c r="K257">
        <f t="shared" si="63"/>
        <v>0.12430563059582654</v>
      </c>
      <c r="L257">
        <f t="shared" si="64"/>
        <v>1.6388718133325415</v>
      </c>
      <c r="M257">
        <f t="shared" si="65"/>
        <v>1.007610903837445</v>
      </c>
      <c r="N257">
        <f t="shared" si="66"/>
        <v>1.0069039474728436</v>
      </c>
      <c r="O257">
        <v>4.4818462970496803E-3</v>
      </c>
      <c r="P257">
        <v>4.9200889190273486E-3</v>
      </c>
      <c r="Q257">
        <f t="shared" si="67"/>
        <v>833.49956814388599</v>
      </c>
      <c r="R257">
        <f t="shared" si="68"/>
        <v>0.83349956814388604</v>
      </c>
    </row>
    <row r="258" spans="1:18" x14ac:dyDescent="0.3">
      <c r="A258">
        <v>0.51400000000000001</v>
      </c>
      <c r="B258" s="4"/>
      <c r="C258">
        <v>-48.061336670818498</v>
      </c>
      <c r="D258">
        <v>1.167042889</v>
      </c>
      <c r="E258">
        <f t="shared" si="74"/>
        <v>22.710335156373098</v>
      </c>
      <c r="F258">
        <f t="shared" si="58"/>
        <v>6.9744626433968998E-3</v>
      </c>
      <c r="G258">
        <f t="shared" si="59"/>
        <v>2.1570503020815156E-2</v>
      </c>
      <c r="H258">
        <f t="shared" si="60"/>
        <v>145.6429945355568</v>
      </c>
      <c r="I258">
        <f t="shared" si="61"/>
        <v>1.2002138580276425</v>
      </c>
      <c r="J258">
        <f t="shared" si="62"/>
        <v>1.2774111661551839</v>
      </c>
      <c r="K258">
        <f t="shared" si="63"/>
        <v>0.12430563059582654</v>
      </c>
      <c r="L258">
        <f t="shared" si="64"/>
        <v>1.6388718133325415</v>
      </c>
      <c r="M258">
        <f t="shared" si="65"/>
        <v>1.0053161372779627</v>
      </c>
      <c r="N258">
        <f t="shared" si="66"/>
        <v>1.0096255645197063</v>
      </c>
      <c r="O258">
        <v>4.4146573266583018E-3</v>
      </c>
      <c r="P258">
        <v>4.9841990012064212E-3</v>
      </c>
      <c r="Q258">
        <f t="shared" si="67"/>
        <v>833.49956814388599</v>
      </c>
      <c r="R258">
        <f t="shared" si="68"/>
        <v>0.83349956814388604</v>
      </c>
    </row>
    <row r="259" spans="1:18" x14ac:dyDescent="0.3">
      <c r="A259">
        <v>0.51600000000000001</v>
      </c>
      <c r="B259" s="4"/>
      <c r="C259">
        <v>-48.061336670818498</v>
      </c>
      <c r="D259">
        <v>1.167042889</v>
      </c>
      <c r="E259">
        <f t="shared" si="74"/>
        <v>22.710335156373098</v>
      </c>
      <c r="F259">
        <f t="shared" ref="F259:F322" si="75">0.0462806*SQRT(E259/1000)</f>
        <v>6.9744626433968998E-3</v>
      </c>
      <c r="G259">
        <f t="shared" ref="G259:G322" si="76">$U$3*F259/2</f>
        <v>2.1570503020815156E-2</v>
      </c>
      <c r="H259">
        <f t="shared" ref="H259:H322" si="77">PI()/G259</f>
        <v>145.6429945355568</v>
      </c>
      <c r="I259">
        <f t="shared" ref="I259:I322" si="78">BESSELI(H259*$Y$5,0)</f>
        <v>1.2002138580276425</v>
      </c>
      <c r="J259">
        <f t="shared" ref="J259:J322" si="79">BESSELI(H259*D259*$Y$5,0)</f>
        <v>1.2774111661551839</v>
      </c>
      <c r="K259">
        <f t="shared" ref="K259:K322" si="80">(D259^2-1)/(D259^2*I259+J259)</f>
        <v>0.12430563059582654</v>
      </c>
      <c r="L259">
        <f t="shared" ref="L259:L322" si="81">I259+J259/(D259^2*I259+J259)</f>
        <v>1.6388718133325415</v>
      </c>
      <c r="M259">
        <f t="shared" ref="M259:M322" si="82">((L259*O259^2)/$Y$5^2)+(K259*BESSELI(O259*H259,0)*COS(H259*A259))</f>
        <v>1.0041284638060428</v>
      </c>
      <c r="N259">
        <f t="shared" ref="N259:N322" si="83">((L259*P259^2)/$Y$5^2)-(K259*BESSELI(P259*H259,0)*COS(H259*A259))</f>
        <v>0.99963432418577525</v>
      </c>
      <c r="O259">
        <v>4.374174516314739E-3</v>
      </c>
      <c r="P259">
        <v>4.9968731844458464E-3</v>
      </c>
      <c r="Q259">
        <f t="shared" ref="Q259:Q322" si="84">PI()*K259*$U$4*J259*COS(C259*$Y$7)/(4*$Y$6)</f>
        <v>833.49956814388599</v>
      </c>
      <c r="R259">
        <f t="shared" ref="R259:R322" si="85">Q259/1000</f>
        <v>0.83349956814388604</v>
      </c>
    </row>
    <row r="260" spans="1:18" x14ac:dyDescent="0.3">
      <c r="A260">
        <v>0.51800000000000002</v>
      </c>
      <c r="B260" s="4"/>
      <c r="C260">
        <v>-48.061336670818498</v>
      </c>
      <c r="D260">
        <v>1.167042889</v>
      </c>
      <c r="E260">
        <f t="shared" si="74"/>
        <v>22.710335156373098</v>
      </c>
      <c r="F260">
        <f t="shared" si="75"/>
        <v>6.9744626433968998E-3</v>
      </c>
      <c r="G260">
        <f t="shared" si="76"/>
        <v>2.1570503020815156E-2</v>
      </c>
      <c r="H260">
        <f t="shared" si="77"/>
        <v>145.6429945355568</v>
      </c>
      <c r="I260">
        <f t="shared" si="78"/>
        <v>1.2002138580276425</v>
      </c>
      <c r="J260">
        <f t="shared" si="79"/>
        <v>1.2774111661551839</v>
      </c>
      <c r="K260">
        <f t="shared" si="80"/>
        <v>0.12430563059582654</v>
      </c>
      <c r="L260">
        <f t="shared" si="81"/>
        <v>1.6388718133325415</v>
      </c>
      <c r="M260">
        <f t="shared" si="82"/>
        <v>1.0038408135091679</v>
      </c>
      <c r="N260">
        <f t="shared" si="83"/>
        <v>0.99960745160682885</v>
      </c>
      <c r="O260">
        <v>4.3635361023714294E-3</v>
      </c>
      <c r="P260">
        <v>5.0060193877598394E-3</v>
      </c>
      <c r="Q260">
        <f t="shared" si="84"/>
        <v>833.49956814388599</v>
      </c>
      <c r="R260">
        <f t="shared" si="85"/>
        <v>0.83349956814388604</v>
      </c>
    </row>
    <row r="261" spans="1:18" x14ac:dyDescent="0.3">
      <c r="A261">
        <v>0.52</v>
      </c>
      <c r="B261" s="4"/>
      <c r="C261">
        <v>-48.061336670818498</v>
      </c>
      <c r="D261">
        <v>1.167042889</v>
      </c>
      <c r="E261">
        <f t="shared" si="74"/>
        <v>22.710335156373098</v>
      </c>
      <c r="F261">
        <f t="shared" si="75"/>
        <v>6.9744626433968998E-3</v>
      </c>
      <c r="G261">
        <f t="shared" si="76"/>
        <v>2.1570503020815156E-2</v>
      </c>
      <c r="H261">
        <f t="shared" si="77"/>
        <v>145.6429945355568</v>
      </c>
      <c r="I261">
        <f t="shared" si="78"/>
        <v>1.2002138580276425</v>
      </c>
      <c r="J261">
        <f t="shared" si="79"/>
        <v>1.2774111661551839</v>
      </c>
      <c r="K261">
        <f t="shared" si="80"/>
        <v>0.12430563059582654</v>
      </c>
      <c r="L261">
        <f t="shared" si="81"/>
        <v>1.6388718133325415</v>
      </c>
      <c r="M261">
        <f t="shared" si="82"/>
        <v>1.0043907426442888</v>
      </c>
      <c r="N261">
        <f t="shared" si="83"/>
        <v>0.99965704841811187</v>
      </c>
      <c r="O261">
        <v>4.3835615233729121E-3</v>
      </c>
      <c r="P261">
        <v>4.9888003938790048E-3</v>
      </c>
      <c r="Q261">
        <f t="shared" si="84"/>
        <v>833.49956814388599</v>
      </c>
      <c r="R261">
        <f t="shared" si="85"/>
        <v>0.83349956814388604</v>
      </c>
    </row>
    <row r="262" spans="1:18" x14ac:dyDescent="0.3">
      <c r="A262">
        <v>0.52200000000000002</v>
      </c>
      <c r="B262" s="4"/>
      <c r="C262">
        <v>-48.061336670818498</v>
      </c>
      <c r="D262">
        <v>1.167042889</v>
      </c>
      <c r="E262">
        <f t="shared" si="74"/>
        <v>22.710335156373098</v>
      </c>
      <c r="F262">
        <f t="shared" si="75"/>
        <v>6.9744626433968998E-3</v>
      </c>
      <c r="G262">
        <f t="shared" si="76"/>
        <v>2.1570503020815156E-2</v>
      </c>
      <c r="H262">
        <f t="shared" si="77"/>
        <v>145.6429945355568</v>
      </c>
      <c r="I262">
        <f t="shared" si="78"/>
        <v>1.2002138580276425</v>
      </c>
      <c r="J262">
        <f t="shared" si="79"/>
        <v>1.2774111661551839</v>
      </c>
      <c r="K262">
        <f t="shared" si="80"/>
        <v>0.12430563059582654</v>
      </c>
      <c r="L262">
        <f t="shared" si="81"/>
        <v>1.6388718133325415</v>
      </c>
      <c r="M262">
        <f t="shared" si="82"/>
        <v>1.0058930185268029</v>
      </c>
      <c r="N262">
        <f t="shared" si="83"/>
        <v>1.0088568342708761</v>
      </c>
      <c r="O262">
        <v>4.4327064790334681E-3</v>
      </c>
      <c r="P262">
        <v>4.9669066757383048E-3</v>
      </c>
      <c r="Q262">
        <f t="shared" si="84"/>
        <v>833.49956814388599</v>
      </c>
      <c r="R262">
        <f t="shared" si="85"/>
        <v>0.83349956814388604</v>
      </c>
    </row>
    <row r="263" spans="1:18" x14ac:dyDescent="0.3">
      <c r="A263">
        <v>0.52400000000000002</v>
      </c>
      <c r="B263" s="4">
        <v>33</v>
      </c>
      <c r="C263">
        <v>-48.019416099773203</v>
      </c>
      <c r="D263">
        <v>1.1738148980000001</v>
      </c>
      <c r="E263">
        <f>$E$262+$R$262</f>
        <v>23.543834724516984</v>
      </c>
      <c r="F263">
        <f t="shared" si="75"/>
        <v>7.1012954335885042E-3</v>
      </c>
      <c r="G263">
        <f t="shared" si="76"/>
        <v>2.1962769382232489E-2</v>
      </c>
      <c r="H263">
        <f t="shared" si="77"/>
        <v>143.04173571713997</v>
      </c>
      <c r="I263">
        <f t="shared" si="78"/>
        <v>1.1928015411399957</v>
      </c>
      <c r="J263">
        <f t="shared" si="79"/>
        <v>1.2702827156205334</v>
      </c>
      <c r="K263">
        <f t="shared" si="80"/>
        <v>0.12967423162340283</v>
      </c>
      <c r="L263">
        <f t="shared" si="81"/>
        <v>1.6287594024407985</v>
      </c>
      <c r="M263">
        <f t="shared" si="82"/>
        <v>1.0048370056336342</v>
      </c>
      <c r="N263">
        <f t="shared" si="83"/>
        <v>0.99961994325364378</v>
      </c>
      <c r="O263">
        <v>4.3999011906966142E-3</v>
      </c>
      <c r="P263">
        <v>5.0024125541065284E-3</v>
      </c>
      <c r="Q263">
        <f t="shared" si="84"/>
        <v>865.34909223597458</v>
      </c>
      <c r="R263">
        <f t="shared" si="85"/>
        <v>0.86534909223597456</v>
      </c>
    </row>
    <row r="264" spans="1:18" x14ac:dyDescent="0.3">
      <c r="A264">
        <v>0.52600000000000002</v>
      </c>
      <c r="B264" s="4"/>
      <c r="C264">
        <v>-48.019416099773203</v>
      </c>
      <c r="D264">
        <v>1.1738148980000001</v>
      </c>
      <c r="E264">
        <f t="shared" ref="E264:E272" si="86">$E$262+$R$262</f>
        <v>23.543834724516984</v>
      </c>
      <c r="F264">
        <f t="shared" si="75"/>
        <v>7.1012954335885042E-3</v>
      </c>
      <c r="G264">
        <f t="shared" si="76"/>
        <v>2.1962769382232489E-2</v>
      </c>
      <c r="H264">
        <f t="shared" si="77"/>
        <v>143.04173571713997</v>
      </c>
      <c r="I264">
        <f t="shared" si="78"/>
        <v>1.1928015411399957</v>
      </c>
      <c r="J264">
        <f t="shared" si="79"/>
        <v>1.2702827156205334</v>
      </c>
      <c r="K264">
        <f t="shared" si="80"/>
        <v>0.12967423162340283</v>
      </c>
      <c r="L264">
        <f t="shared" si="81"/>
        <v>1.6287594024407985</v>
      </c>
      <c r="M264">
        <f t="shared" si="82"/>
        <v>1.0039263561661005</v>
      </c>
      <c r="N264">
        <f t="shared" si="83"/>
        <v>0.99953319319354827</v>
      </c>
      <c r="O264">
        <v>4.3676279957472683E-3</v>
      </c>
      <c r="P264">
        <v>5.0300149483865231E-3</v>
      </c>
      <c r="Q264">
        <f t="shared" si="84"/>
        <v>865.34909223597458</v>
      </c>
      <c r="R264">
        <f t="shared" si="85"/>
        <v>0.86534909223597456</v>
      </c>
    </row>
    <row r="265" spans="1:18" x14ac:dyDescent="0.3">
      <c r="A265">
        <v>0.52800000000000002</v>
      </c>
      <c r="B265" s="4"/>
      <c r="C265">
        <v>-48.019416099773203</v>
      </c>
      <c r="D265">
        <v>1.1738148980000001</v>
      </c>
      <c r="E265">
        <f t="shared" si="86"/>
        <v>23.543834724516984</v>
      </c>
      <c r="F265">
        <f t="shared" si="75"/>
        <v>7.1012954335885042E-3</v>
      </c>
      <c r="G265">
        <f t="shared" si="76"/>
        <v>2.1962769382232489E-2</v>
      </c>
      <c r="H265">
        <f t="shared" si="77"/>
        <v>143.04173571713997</v>
      </c>
      <c r="I265">
        <f t="shared" si="78"/>
        <v>1.1928015411399957</v>
      </c>
      <c r="J265">
        <f t="shared" si="79"/>
        <v>1.2702827156205334</v>
      </c>
      <c r="K265">
        <f t="shared" si="80"/>
        <v>0.12967423162340283</v>
      </c>
      <c r="L265">
        <f t="shared" si="81"/>
        <v>1.6287594024407985</v>
      </c>
      <c r="M265">
        <f t="shared" si="82"/>
        <v>1.0038822031798313</v>
      </c>
      <c r="N265">
        <f t="shared" si="83"/>
        <v>0.99952844161536425</v>
      </c>
      <c r="O265">
        <v>4.3659741779942989E-3</v>
      </c>
      <c r="P265">
        <v>5.0314285596729444E-3</v>
      </c>
      <c r="Q265">
        <f t="shared" si="84"/>
        <v>865.34909223597458</v>
      </c>
      <c r="R265">
        <f t="shared" si="85"/>
        <v>0.86534909223597456</v>
      </c>
    </row>
    <row r="266" spans="1:18" x14ac:dyDescent="0.3">
      <c r="A266">
        <v>0.53</v>
      </c>
      <c r="B266" s="4"/>
      <c r="C266">
        <v>-48.019416099773203</v>
      </c>
      <c r="D266">
        <v>1.1738148980000001</v>
      </c>
      <c r="E266">
        <f t="shared" si="86"/>
        <v>23.543834724516984</v>
      </c>
      <c r="F266">
        <f t="shared" si="75"/>
        <v>7.1012954335885042E-3</v>
      </c>
      <c r="G266">
        <f t="shared" si="76"/>
        <v>2.1962769382232489E-2</v>
      </c>
      <c r="H266">
        <f t="shared" si="77"/>
        <v>143.04173571713997</v>
      </c>
      <c r="I266">
        <f t="shared" si="78"/>
        <v>1.1928015411399957</v>
      </c>
      <c r="J266">
        <f t="shared" si="79"/>
        <v>1.2702827156205334</v>
      </c>
      <c r="K266">
        <f t="shared" si="80"/>
        <v>0.12967423162340283</v>
      </c>
      <c r="L266">
        <f t="shared" si="81"/>
        <v>1.6287594024407985</v>
      </c>
      <c r="M266">
        <f t="shared" si="82"/>
        <v>1.0046945342807838</v>
      </c>
      <c r="N266">
        <f t="shared" si="83"/>
        <v>0.99960764839560823</v>
      </c>
      <c r="O266">
        <v>4.3950624503355561E-3</v>
      </c>
      <c r="P266">
        <v>5.0065530232240142E-3</v>
      </c>
      <c r="Q266">
        <f t="shared" si="84"/>
        <v>865.34909223597458</v>
      </c>
      <c r="R266">
        <f t="shared" si="85"/>
        <v>0.86534909223597456</v>
      </c>
    </row>
    <row r="267" spans="1:18" x14ac:dyDescent="0.3">
      <c r="A267">
        <v>0.53200000000000003</v>
      </c>
      <c r="B267" s="4"/>
      <c r="C267">
        <v>-48.019416099773203</v>
      </c>
      <c r="D267">
        <v>1.1738148980000001</v>
      </c>
      <c r="E267">
        <f t="shared" si="86"/>
        <v>23.543834724516984</v>
      </c>
      <c r="F267">
        <f t="shared" si="75"/>
        <v>7.1012954335885042E-3</v>
      </c>
      <c r="G267">
        <f t="shared" si="76"/>
        <v>2.1962769382232489E-2</v>
      </c>
      <c r="H267">
        <f t="shared" si="77"/>
        <v>143.04173571713997</v>
      </c>
      <c r="I267">
        <f t="shared" si="78"/>
        <v>1.1928015411399957</v>
      </c>
      <c r="J267">
        <f t="shared" si="79"/>
        <v>1.2702827156205334</v>
      </c>
      <c r="K267">
        <f t="shared" si="80"/>
        <v>0.12967423162340283</v>
      </c>
      <c r="L267">
        <f t="shared" si="81"/>
        <v>1.6287594024407985</v>
      </c>
      <c r="M267">
        <f t="shared" si="82"/>
        <v>1.0065281497524026</v>
      </c>
      <c r="N267">
        <f t="shared" si="83"/>
        <v>1.009335343863992</v>
      </c>
      <c r="O267">
        <v>4.4527272828319368E-3</v>
      </c>
      <c r="P267">
        <v>4.9787689169886202E-3</v>
      </c>
      <c r="Q267">
        <f t="shared" si="84"/>
        <v>865.34909223597458</v>
      </c>
      <c r="R267">
        <f t="shared" si="85"/>
        <v>0.86534909223597456</v>
      </c>
    </row>
    <row r="268" spans="1:18" x14ac:dyDescent="0.3">
      <c r="A268">
        <v>0.53400000000000003</v>
      </c>
      <c r="B268" s="4"/>
      <c r="C268">
        <v>-48.019416099773203</v>
      </c>
      <c r="D268">
        <v>1.1738148980000001</v>
      </c>
      <c r="E268">
        <f t="shared" si="86"/>
        <v>23.543834724516984</v>
      </c>
      <c r="F268">
        <f t="shared" si="75"/>
        <v>7.1012954335885042E-3</v>
      </c>
      <c r="G268">
        <f t="shared" si="76"/>
        <v>2.1962769382232489E-2</v>
      </c>
      <c r="H268">
        <f t="shared" si="77"/>
        <v>143.04173571713997</v>
      </c>
      <c r="I268">
        <f t="shared" si="78"/>
        <v>1.1928015411399957</v>
      </c>
      <c r="J268">
        <f t="shared" si="79"/>
        <v>1.2702827156205334</v>
      </c>
      <c r="K268">
        <f t="shared" si="80"/>
        <v>0.12967423162340283</v>
      </c>
      <c r="L268">
        <f t="shared" si="81"/>
        <v>1.6287594024407985</v>
      </c>
      <c r="M268">
        <f t="shared" si="82"/>
        <v>0.99554718693976507</v>
      </c>
      <c r="N268">
        <f t="shared" si="83"/>
        <v>1.0061344324484278</v>
      </c>
      <c r="O268">
        <v>4.5004490409645539E-3</v>
      </c>
      <c r="P268">
        <v>4.9011011302044659E-3</v>
      </c>
      <c r="Q268">
        <f t="shared" si="84"/>
        <v>865.34909223597458</v>
      </c>
      <c r="R268">
        <f t="shared" si="85"/>
        <v>0.86534909223597456</v>
      </c>
    </row>
    <row r="269" spans="1:18" x14ac:dyDescent="0.3">
      <c r="A269">
        <v>0.53600000000000003</v>
      </c>
      <c r="B269" s="4"/>
      <c r="C269">
        <v>-48.019416099773203</v>
      </c>
      <c r="D269">
        <v>1.1738148980000001</v>
      </c>
      <c r="E269">
        <f t="shared" si="86"/>
        <v>23.543834724516984</v>
      </c>
      <c r="F269">
        <f t="shared" si="75"/>
        <v>7.1012954335885042E-3</v>
      </c>
      <c r="G269">
        <f t="shared" si="76"/>
        <v>2.1962769382232489E-2</v>
      </c>
      <c r="H269">
        <f t="shared" si="77"/>
        <v>143.04173571713997</v>
      </c>
      <c r="I269">
        <f t="shared" si="78"/>
        <v>1.1928015411399957</v>
      </c>
      <c r="J269">
        <f t="shared" si="79"/>
        <v>1.2702827156205334</v>
      </c>
      <c r="K269">
        <f t="shared" si="80"/>
        <v>0.12967423162340283</v>
      </c>
      <c r="L269">
        <f t="shared" si="81"/>
        <v>1.6287594024407985</v>
      </c>
      <c r="M269">
        <f t="shared" si="82"/>
        <v>1.0024665009737925</v>
      </c>
      <c r="N269">
        <f t="shared" si="83"/>
        <v>1.0029741127070244</v>
      </c>
      <c r="O269">
        <v>4.6065030180017898E-3</v>
      </c>
      <c r="P269">
        <v>4.8077490739013191E-3</v>
      </c>
      <c r="Q269">
        <f t="shared" si="84"/>
        <v>865.34909223597458</v>
      </c>
      <c r="R269">
        <f t="shared" si="85"/>
        <v>0.86534909223597456</v>
      </c>
    </row>
    <row r="270" spans="1:18" x14ac:dyDescent="0.3">
      <c r="A270">
        <v>0.53800000000000003</v>
      </c>
      <c r="B270" s="4"/>
      <c r="C270">
        <v>-48.019416099773203</v>
      </c>
      <c r="D270">
        <v>1.1738148980000001</v>
      </c>
      <c r="E270">
        <f t="shared" si="86"/>
        <v>23.543834724516984</v>
      </c>
      <c r="F270">
        <f t="shared" si="75"/>
        <v>7.1012954335885042E-3</v>
      </c>
      <c r="G270">
        <f t="shared" si="76"/>
        <v>2.1962769382232489E-2</v>
      </c>
      <c r="H270">
        <f t="shared" si="77"/>
        <v>143.04173571713997</v>
      </c>
      <c r="I270">
        <f t="shared" si="78"/>
        <v>1.1928015411399957</v>
      </c>
      <c r="J270">
        <f t="shared" si="79"/>
        <v>1.2702827156205334</v>
      </c>
      <c r="K270">
        <f t="shared" si="80"/>
        <v>0.12967423162340283</v>
      </c>
      <c r="L270">
        <f t="shared" si="81"/>
        <v>1.6287594024407985</v>
      </c>
      <c r="M270">
        <f t="shared" si="82"/>
        <v>1.0058635746204483</v>
      </c>
      <c r="N270">
        <f t="shared" si="83"/>
        <v>0.99176067695342973</v>
      </c>
      <c r="O270">
        <v>4.7108482572384321E-3</v>
      </c>
      <c r="P270">
        <v>4.6862327258054629E-3</v>
      </c>
      <c r="Q270">
        <f t="shared" si="84"/>
        <v>865.34909223597458</v>
      </c>
      <c r="R270">
        <f t="shared" si="85"/>
        <v>0.86534909223597456</v>
      </c>
    </row>
    <row r="271" spans="1:18" x14ac:dyDescent="0.3">
      <c r="A271">
        <v>0.54</v>
      </c>
      <c r="B271" s="4"/>
      <c r="C271">
        <v>-48.019416099773203</v>
      </c>
      <c r="D271">
        <v>1.1738148980000001</v>
      </c>
      <c r="E271">
        <f t="shared" si="86"/>
        <v>23.543834724516984</v>
      </c>
      <c r="F271">
        <f t="shared" si="75"/>
        <v>7.1012954335885042E-3</v>
      </c>
      <c r="G271">
        <f t="shared" si="76"/>
        <v>2.1962769382232489E-2</v>
      </c>
      <c r="H271">
        <f t="shared" si="77"/>
        <v>143.04173571713997</v>
      </c>
      <c r="I271">
        <f t="shared" si="78"/>
        <v>1.1928015411399957</v>
      </c>
      <c r="J271">
        <f t="shared" si="79"/>
        <v>1.2702827156205334</v>
      </c>
      <c r="K271">
        <f t="shared" si="80"/>
        <v>0.12967423162340283</v>
      </c>
      <c r="L271">
        <f t="shared" si="81"/>
        <v>1.6287594024407985</v>
      </c>
      <c r="M271">
        <f t="shared" si="82"/>
        <v>0.99967879265607629</v>
      </c>
      <c r="N271">
        <f t="shared" si="83"/>
        <v>1.0066018161485764</v>
      </c>
      <c r="O271">
        <v>4.792020738243986E-3</v>
      </c>
      <c r="P271">
        <v>4.6246494089314631E-3</v>
      </c>
      <c r="Q271">
        <f t="shared" si="84"/>
        <v>865.34909223597458</v>
      </c>
      <c r="R271">
        <f t="shared" si="85"/>
        <v>0.86534909223597456</v>
      </c>
    </row>
    <row r="272" spans="1:18" x14ac:dyDescent="0.3">
      <c r="A272">
        <v>0.54200000000000004</v>
      </c>
      <c r="B272" s="4"/>
      <c r="C272">
        <v>-48.019416099773203</v>
      </c>
      <c r="D272">
        <v>1.1738148980000001</v>
      </c>
      <c r="E272">
        <f t="shared" si="86"/>
        <v>23.543834724516984</v>
      </c>
      <c r="F272">
        <f t="shared" si="75"/>
        <v>7.1012954335885042E-3</v>
      </c>
      <c r="G272">
        <f t="shared" si="76"/>
        <v>2.1962769382232489E-2</v>
      </c>
      <c r="H272">
        <f t="shared" si="77"/>
        <v>143.04173571713997</v>
      </c>
      <c r="I272">
        <f t="shared" si="78"/>
        <v>1.1928015411399957</v>
      </c>
      <c r="J272">
        <f t="shared" si="79"/>
        <v>1.2702827156205334</v>
      </c>
      <c r="K272">
        <f t="shared" si="80"/>
        <v>0.12967423162340283</v>
      </c>
      <c r="L272">
        <f t="shared" si="81"/>
        <v>1.6287594024407985</v>
      </c>
      <c r="M272">
        <f t="shared" si="82"/>
        <v>0.99938889796537866</v>
      </c>
      <c r="N272">
        <f t="shared" si="83"/>
        <v>1.003677302908091</v>
      </c>
      <c r="O272">
        <v>4.8786938939334081E-3</v>
      </c>
      <c r="P272">
        <v>4.5275524605873736E-3</v>
      </c>
      <c r="Q272">
        <f t="shared" si="84"/>
        <v>865.34909223597458</v>
      </c>
      <c r="R272">
        <f t="shared" si="85"/>
        <v>0.86534909223597456</v>
      </c>
    </row>
    <row r="273" spans="1:18" x14ac:dyDescent="0.3">
      <c r="A273">
        <v>0.54400000000000004</v>
      </c>
      <c r="B273" s="4">
        <v>34</v>
      </c>
      <c r="C273">
        <v>-47.958135719076303</v>
      </c>
      <c r="D273">
        <v>1.18510158</v>
      </c>
      <c r="E273">
        <f>$E$272+$R$272</f>
        <v>24.409183816752957</v>
      </c>
      <c r="F273">
        <f t="shared" si="75"/>
        <v>7.2306211910595757E-3</v>
      </c>
      <c r="G273">
        <f t="shared" si="76"/>
        <v>2.2362745951730649E-2</v>
      </c>
      <c r="H273">
        <f t="shared" si="77"/>
        <v>140.48331364899605</v>
      </c>
      <c r="I273">
        <f t="shared" si="78"/>
        <v>1.1856646355163554</v>
      </c>
      <c r="J273">
        <f t="shared" si="79"/>
        <v>1.2654570033479289</v>
      </c>
      <c r="K273">
        <f t="shared" si="80"/>
        <v>0.13801077782273546</v>
      </c>
      <c r="L273">
        <f t="shared" si="81"/>
        <v>1.6174606607904074</v>
      </c>
      <c r="M273">
        <f t="shared" si="82"/>
        <v>1.0005541795784751</v>
      </c>
      <c r="N273">
        <f t="shared" si="83"/>
        <v>1.0068008070588834</v>
      </c>
      <c r="O273">
        <v>4.528639095219506E-3</v>
      </c>
      <c r="P273">
        <v>4.9193533095995608E-3</v>
      </c>
      <c r="Q273">
        <f t="shared" si="84"/>
        <v>918.57229150163903</v>
      </c>
      <c r="R273">
        <f t="shared" si="85"/>
        <v>0.91857229150163899</v>
      </c>
    </row>
    <row r="274" spans="1:18" x14ac:dyDescent="0.3">
      <c r="A274">
        <v>0.54600000000000004</v>
      </c>
      <c r="B274" s="4"/>
      <c r="C274">
        <v>-47.958135719076303</v>
      </c>
      <c r="D274">
        <v>1.18510158</v>
      </c>
      <c r="E274">
        <f t="shared" ref="E274:E283" si="87">$E$272+$R$272</f>
        <v>24.409183816752957</v>
      </c>
      <c r="F274">
        <f t="shared" si="75"/>
        <v>7.2306211910595757E-3</v>
      </c>
      <c r="G274">
        <f t="shared" si="76"/>
        <v>2.2362745951730649E-2</v>
      </c>
      <c r="H274">
        <f t="shared" si="77"/>
        <v>140.48331364899605</v>
      </c>
      <c r="I274">
        <f t="shared" si="78"/>
        <v>1.1856646355163554</v>
      </c>
      <c r="J274">
        <f t="shared" si="79"/>
        <v>1.2654570033479289</v>
      </c>
      <c r="K274">
        <f t="shared" si="80"/>
        <v>0.13801077782273546</v>
      </c>
      <c r="L274">
        <f t="shared" si="81"/>
        <v>1.6174606607904074</v>
      </c>
      <c r="M274">
        <f t="shared" si="82"/>
        <v>1.0031196322272435</v>
      </c>
      <c r="N274">
        <f t="shared" si="83"/>
        <v>1.0033209837619748</v>
      </c>
      <c r="O274">
        <v>4.6297133393242108E-3</v>
      </c>
      <c r="P274">
        <v>4.8198401761913963E-3</v>
      </c>
      <c r="Q274">
        <f t="shared" si="84"/>
        <v>918.57229150163903</v>
      </c>
      <c r="R274">
        <f t="shared" si="85"/>
        <v>0.91857229150163899</v>
      </c>
    </row>
    <row r="275" spans="1:18" x14ac:dyDescent="0.3">
      <c r="A275">
        <v>0.54800000000000004</v>
      </c>
      <c r="B275" s="4"/>
      <c r="C275">
        <v>-47.958135719076303</v>
      </c>
      <c r="D275">
        <v>1.18510158</v>
      </c>
      <c r="E275">
        <f t="shared" si="87"/>
        <v>24.409183816752957</v>
      </c>
      <c r="F275">
        <f t="shared" si="75"/>
        <v>7.2306211910595757E-3</v>
      </c>
      <c r="G275">
        <f t="shared" si="76"/>
        <v>2.2362745951730649E-2</v>
      </c>
      <c r="H275">
        <f t="shared" si="77"/>
        <v>140.48331364899605</v>
      </c>
      <c r="I275">
        <f t="shared" si="78"/>
        <v>1.1856646355163554</v>
      </c>
      <c r="J275">
        <f t="shared" si="79"/>
        <v>1.2654570033479289</v>
      </c>
      <c r="K275">
        <f t="shared" si="80"/>
        <v>0.13801077782273546</v>
      </c>
      <c r="L275">
        <f t="shared" si="81"/>
        <v>1.6174606607904074</v>
      </c>
      <c r="M275">
        <f t="shared" si="82"/>
        <v>1.0069316195733842</v>
      </c>
      <c r="N275">
        <f t="shared" si="83"/>
        <v>1.0005463879464602</v>
      </c>
      <c r="O275">
        <v>4.7397860748881948E-3</v>
      </c>
      <c r="P275">
        <v>4.7132950747399253E-3</v>
      </c>
      <c r="Q275">
        <f t="shared" si="84"/>
        <v>918.57229150163903</v>
      </c>
      <c r="R275">
        <f t="shared" si="85"/>
        <v>0.91857229150163899</v>
      </c>
    </row>
    <row r="276" spans="1:18" x14ac:dyDescent="0.3">
      <c r="A276">
        <v>0.55000000000000004</v>
      </c>
      <c r="B276" s="4"/>
      <c r="C276">
        <v>-47.958135719076303</v>
      </c>
      <c r="D276">
        <v>1.18510158</v>
      </c>
      <c r="E276">
        <f t="shared" si="87"/>
        <v>24.409183816752957</v>
      </c>
      <c r="F276">
        <f t="shared" si="75"/>
        <v>7.2306211910595757E-3</v>
      </c>
      <c r="G276">
        <f t="shared" si="76"/>
        <v>2.2362745951730649E-2</v>
      </c>
      <c r="H276">
        <f t="shared" si="77"/>
        <v>140.48331364899605</v>
      </c>
      <c r="I276">
        <f t="shared" si="78"/>
        <v>1.1856646355163554</v>
      </c>
      <c r="J276">
        <f t="shared" si="79"/>
        <v>1.2654570033479289</v>
      </c>
      <c r="K276">
        <f t="shared" si="80"/>
        <v>0.13801077782273546</v>
      </c>
      <c r="L276">
        <f t="shared" si="81"/>
        <v>1.6174606607904074</v>
      </c>
      <c r="M276">
        <f t="shared" si="82"/>
        <v>0.99959387211093353</v>
      </c>
      <c r="N276">
        <f t="shared" si="83"/>
        <v>1.0066406331359345</v>
      </c>
      <c r="O276">
        <v>4.8220844238542563E-3</v>
      </c>
      <c r="P276">
        <v>4.6269982965939649E-3</v>
      </c>
      <c r="Q276">
        <f t="shared" si="84"/>
        <v>918.57229150163903</v>
      </c>
      <c r="R276">
        <f t="shared" si="85"/>
        <v>0.91857229150163899</v>
      </c>
    </row>
    <row r="277" spans="1:18" x14ac:dyDescent="0.3">
      <c r="A277">
        <v>0.55200000000000005</v>
      </c>
      <c r="B277" s="4"/>
      <c r="C277">
        <v>-47.958135719076303</v>
      </c>
      <c r="D277">
        <v>1.18510158</v>
      </c>
      <c r="E277">
        <f t="shared" si="87"/>
        <v>24.409183816752957</v>
      </c>
      <c r="F277">
        <f t="shared" si="75"/>
        <v>7.2306211910595757E-3</v>
      </c>
      <c r="G277">
        <f t="shared" si="76"/>
        <v>2.2362745951730649E-2</v>
      </c>
      <c r="H277">
        <f t="shared" si="77"/>
        <v>140.48331364899605</v>
      </c>
      <c r="I277">
        <f t="shared" si="78"/>
        <v>1.1856646355163554</v>
      </c>
      <c r="J277">
        <f t="shared" si="79"/>
        <v>1.2654570033479289</v>
      </c>
      <c r="K277">
        <f t="shared" si="80"/>
        <v>0.13801077782273546</v>
      </c>
      <c r="L277">
        <f t="shared" si="81"/>
        <v>1.6174606607904074</v>
      </c>
      <c r="M277">
        <f t="shared" si="82"/>
        <v>0.99925030363651235</v>
      </c>
      <c r="N277">
        <f t="shared" si="83"/>
        <v>1.0036177190139801</v>
      </c>
      <c r="O277">
        <v>4.9115949352002922E-3</v>
      </c>
      <c r="P277">
        <v>4.5261558692367794E-3</v>
      </c>
      <c r="Q277">
        <f t="shared" si="84"/>
        <v>918.57229150163903</v>
      </c>
      <c r="R277">
        <f t="shared" si="85"/>
        <v>0.91857229150163899</v>
      </c>
    </row>
    <row r="278" spans="1:18" x14ac:dyDescent="0.3">
      <c r="A278">
        <v>0.55400000000000005</v>
      </c>
      <c r="B278" s="4"/>
      <c r="C278">
        <v>-47.958135719076303</v>
      </c>
      <c r="D278">
        <v>1.18510158</v>
      </c>
      <c r="E278">
        <f t="shared" si="87"/>
        <v>24.409183816752957</v>
      </c>
      <c r="F278">
        <f t="shared" si="75"/>
        <v>7.2306211910595757E-3</v>
      </c>
      <c r="G278">
        <f t="shared" si="76"/>
        <v>2.2362745951730649E-2</v>
      </c>
      <c r="H278">
        <f t="shared" si="77"/>
        <v>140.48331364899605</v>
      </c>
      <c r="I278">
        <f t="shared" si="78"/>
        <v>1.1856646355163554</v>
      </c>
      <c r="J278">
        <f t="shared" si="79"/>
        <v>1.2654570033479289</v>
      </c>
      <c r="K278">
        <f t="shared" si="80"/>
        <v>0.13801077782273546</v>
      </c>
      <c r="L278">
        <f t="shared" si="81"/>
        <v>1.6174606607904074</v>
      </c>
      <c r="M278">
        <f t="shared" si="82"/>
        <v>0.9988591990576311</v>
      </c>
      <c r="N278">
        <f t="shared" si="83"/>
        <v>1.0018005690269944</v>
      </c>
      <c r="O278">
        <v>4.9850817572966765E-3</v>
      </c>
      <c r="P278">
        <v>4.4429484862874152E-3</v>
      </c>
      <c r="Q278">
        <f t="shared" si="84"/>
        <v>918.57229150163903</v>
      </c>
      <c r="R278">
        <f t="shared" si="85"/>
        <v>0.91857229150163899</v>
      </c>
    </row>
    <row r="279" spans="1:18" x14ac:dyDescent="0.3">
      <c r="A279">
        <v>0.55600000000000005</v>
      </c>
      <c r="B279" s="4"/>
      <c r="C279">
        <v>-47.958135719076303</v>
      </c>
      <c r="D279">
        <v>1.18510158</v>
      </c>
      <c r="E279">
        <f t="shared" si="87"/>
        <v>24.409183816752957</v>
      </c>
      <c r="F279">
        <f t="shared" si="75"/>
        <v>7.2306211910595757E-3</v>
      </c>
      <c r="G279">
        <f t="shared" si="76"/>
        <v>2.2362745951730649E-2</v>
      </c>
      <c r="H279">
        <f t="shared" si="77"/>
        <v>140.48331364899605</v>
      </c>
      <c r="I279">
        <f t="shared" si="78"/>
        <v>1.1856646355163554</v>
      </c>
      <c r="J279">
        <f t="shared" si="79"/>
        <v>1.2654570033479289</v>
      </c>
      <c r="K279">
        <f t="shared" si="80"/>
        <v>0.13801077782273546</v>
      </c>
      <c r="L279">
        <f t="shared" si="81"/>
        <v>1.6174606607904074</v>
      </c>
      <c r="M279">
        <f t="shared" si="82"/>
        <v>0.99851244318833587</v>
      </c>
      <c r="N279">
        <f t="shared" si="83"/>
        <v>1.0008813511286745</v>
      </c>
      <c r="O279">
        <v>5.0373769265856117E-3</v>
      </c>
      <c r="P279">
        <v>4.3835066517456311E-3</v>
      </c>
      <c r="Q279">
        <f t="shared" si="84"/>
        <v>918.57229150163903</v>
      </c>
      <c r="R279">
        <f t="shared" si="85"/>
        <v>0.91857229150163899</v>
      </c>
    </row>
    <row r="280" spans="1:18" x14ac:dyDescent="0.3">
      <c r="A280">
        <v>0.55800000000000005</v>
      </c>
      <c r="B280" s="4"/>
      <c r="C280">
        <v>-47.958135719076303</v>
      </c>
      <c r="D280">
        <v>1.18510158</v>
      </c>
      <c r="E280">
        <f t="shared" si="87"/>
        <v>24.409183816752957</v>
      </c>
      <c r="F280">
        <f t="shared" si="75"/>
        <v>7.2306211910595757E-3</v>
      </c>
      <c r="G280">
        <f t="shared" si="76"/>
        <v>2.2362745951730649E-2</v>
      </c>
      <c r="H280">
        <f t="shared" si="77"/>
        <v>140.48331364899605</v>
      </c>
      <c r="I280">
        <f t="shared" si="78"/>
        <v>1.1856646355163554</v>
      </c>
      <c r="J280">
        <f t="shared" si="79"/>
        <v>1.2654570033479289</v>
      </c>
      <c r="K280">
        <f t="shared" si="80"/>
        <v>0.13801077782273546</v>
      </c>
      <c r="L280">
        <f t="shared" si="81"/>
        <v>1.6174606607904074</v>
      </c>
      <c r="M280">
        <f t="shared" si="82"/>
        <v>0.99830495326547186</v>
      </c>
      <c r="N280">
        <f t="shared" si="83"/>
        <v>1.0005244961464255</v>
      </c>
      <c r="O280">
        <v>5.0649093287307096E-3</v>
      </c>
      <c r="P280">
        <v>4.3521350620938535E-3</v>
      </c>
      <c r="Q280">
        <f t="shared" si="84"/>
        <v>918.57229150163903</v>
      </c>
      <c r="R280">
        <f t="shared" si="85"/>
        <v>0.91857229150163899</v>
      </c>
    </row>
    <row r="281" spans="1:18" x14ac:dyDescent="0.3">
      <c r="A281">
        <v>0.56000000000000005</v>
      </c>
      <c r="B281" s="4"/>
      <c r="C281">
        <v>-47.958135719076303</v>
      </c>
      <c r="D281">
        <v>1.18510158</v>
      </c>
      <c r="E281">
        <f t="shared" si="87"/>
        <v>24.409183816752957</v>
      </c>
      <c r="F281">
        <f t="shared" si="75"/>
        <v>7.2306211910595757E-3</v>
      </c>
      <c r="G281">
        <f t="shared" si="76"/>
        <v>2.2362745951730649E-2</v>
      </c>
      <c r="H281">
        <f t="shared" si="77"/>
        <v>140.48331364899605</v>
      </c>
      <c r="I281">
        <f t="shared" si="78"/>
        <v>1.1856646355163554</v>
      </c>
      <c r="J281">
        <f t="shared" si="79"/>
        <v>1.2654570033479289</v>
      </c>
      <c r="K281">
        <f t="shared" si="80"/>
        <v>0.13801077782273546</v>
      </c>
      <c r="L281">
        <f t="shared" si="81"/>
        <v>1.6174606607904074</v>
      </c>
      <c r="M281">
        <f t="shared" si="82"/>
        <v>0.99829767339113107</v>
      </c>
      <c r="N281">
        <f t="shared" si="83"/>
        <v>1.0005140469318898</v>
      </c>
      <c r="O281">
        <v>5.0658339713754719E-3</v>
      </c>
      <c r="P281">
        <v>4.3510805679302829E-3</v>
      </c>
      <c r="Q281">
        <f t="shared" si="84"/>
        <v>918.57229150163903</v>
      </c>
      <c r="R281">
        <f t="shared" si="85"/>
        <v>0.91857229150163899</v>
      </c>
    </row>
    <row r="282" spans="1:18" x14ac:dyDescent="0.3">
      <c r="A282">
        <v>0.56200000000000006</v>
      </c>
      <c r="B282" s="4"/>
      <c r="C282">
        <v>-47.958135719076303</v>
      </c>
      <c r="D282">
        <v>1.18510158</v>
      </c>
      <c r="E282">
        <f t="shared" si="87"/>
        <v>24.409183816752957</v>
      </c>
      <c r="F282">
        <f t="shared" si="75"/>
        <v>7.2306211910595757E-3</v>
      </c>
      <c r="G282">
        <f t="shared" si="76"/>
        <v>2.2362745951730649E-2</v>
      </c>
      <c r="H282">
        <f t="shared" si="77"/>
        <v>140.48331364899605</v>
      </c>
      <c r="I282">
        <f t="shared" si="78"/>
        <v>1.1856646355163554</v>
      </c>
      <c r="J282">
        <f t="shared" si="79"/>
        <v>1.2654570033479289</v>
      </c>
      <c r="K282">
        <f t="shared" si="80"/>
        <v>0.13801077782273546</v>
      </c>
      <c r="L282">
        <f t="shared" si="81"/>
        <v>1.6174606607904074</v>
      </c>
      <c r="M282">
        <f t="shared" si="82"/>
        <v>0.99849278854064627</v>
      </c>
      <c r="N282">
        <f t="shared" si="83"/>
        <v>1.0008422782489783</v>
      </c>
      <c r="O282">
        <v>5.0400893101968354E-3</v>
      </c>
      <c r="P282">
        <v>4.3804183928683798E-3</v>
      </c>
      <c r="Q282">
        <f t="shared" si="84"/>
        <v>918.57229150163903</v>
      </c>
      <c r="R282">
        <f t="shared" si="85"/>
        <v>0.91857229150163899</v>
      </c>
    </row>
    <row r="283" spans="1:18" x14ac:dyDescent="0.3">
      <c r="A283">
        <v>0.56399999999999995</v>
      </c>
      <c r="B283" s="4"/>
      <c r="C283">
        <v>-47.958135719076303</v>
      </c>
      <c r="D283">
        <v>1.18510158</v>
      </c>
      <c r="E283">
        <f t="shared" si="87"/>
        <v>24.409183816752957</v>
      </c>
      <c r="F283">
        <f t="shared" si="75"/>
        <v>7.2306211910595757E-3</v>
      </c>
      <c r="G283">
        <f t="shared" si="76"/>
        <v>2.2362745951730649E-2</v>
      </c>
      <c r="H283">
        <f t="shared" si="77"/>
        <v>140.48331364899605</v>
      </c>
      <c r="I283">
        <f t="shared" si="78"/>
        <v>1.1856646355163554</v>
      </c>
      <c r="J283">
        <f t="shared" si="79"/>
        <v>1.2654570033479289</v>
      </c>
      <c r="K283">
        <f t="shared" si="80"/>
        <v>0.13801077782273546</v>
      </c>
      <c r="L283">
        <f t="shared" si="81"/>
        <v>1.6174606607904074</v>
      </c>
      <c r="M283">
        <f t="shared" si="82"/>
        <v>0.99883282550606078</v>
      </c>
      <c r="N283">
        <f t="shared" si="83"/>
        <v>1.0017128045097561</v>
      </c>
      <c r="O283">
        <v>4.9893990497289651E-3</v>
      </c>
      <c r="P283">
        <v>4.4380484119822816E-3</v>
      </c>
      <c r="Q283">
        <f t="shared" si="84"/>
        <v>918.57229150163903</v>
      </c>
      <c r="R283">
        <f t="shared" si="85"/>
        <v>0.91857229150163899</v>
      </c>
    </row>
    <row r="284" spans="1:18" x14ac:dyDescent="0.3">
      <c r="A284">
        <v>0.56599999999999995</v>
      </c>
      <c r="B284" s="4">
        <v>35</v>
      </c>
      <c r="C284">
        <v>-47.850895052856799</v>
      </c>
      <c r="D284">
        <v>1.1986455979999999</v>
      </c>
      <c r="E284">
        <f>$E$283+$R$283</f>
        <v>25.327756108254597</v>
      </c>
      <c r="F284">
        <f t="shared" si="75"/>
        <v>7.3654169759678548E-3</v>
      </c>
      <c r="G284">
        <f t="shared" si="76"/>
        <v>2.2779640131859347E-2</v>
      </c>
      <c r="H284">
        <f t="shared" si="77"/>
        <v>137.91230394355514</v>
      </c>
      <c r="I284">
        <f t="shared" si="78"/>
        <v>1.1786445220458917</v>
      </c>
      <c r="J284">
        <f t="shared" si="79"/>
        <v>1.2614818407495496</v>
      </c>
      <c r="K284">
        <f t="shared" si="80"/>
        <v>0.14780572721492974</v>
      </c>
      <c r="L284">
        <f t="shared" si="81"/>
        <v>1.6055562537716872</v>
      </c>
      <c r="M284">
        <f t="shared" si="82"/>
        <v>0.99828525504929189</v>
      </c>
      <c r="N284">
        <f t="shared" si="83"/>
        <v>1.0008968308164707</v>
      </c>
      <c r="O284">
        <v>5.0686296674542601E-3</v>
      </c>
      <c r="P284">
        <v>4.3852105501410339E-3</v>
      </c>
      <c r="Q284">
        <f t="shared" si="84"/>
        <v>982.70909109995421</v>
      </c>
      <c r="R284">
        <f t="shared" si="85"/>
        <v>0.98270909109995419</v>
      </c>
    </row>
    <row r="285" spans="1:18" x14ac:dyDescent="0.3">
      <c r="A285">
        <v>0.56799999999999995</v>
      </c>
      <c r="B285" s="4"/>
      <c r="C285">
        <v>-47.850895052856799</v>
      </c>
      <c r="D285">
        <v>1.1986455979999999</v>
      </c>
      <c r="E285">
        <f t="shared" ref="E285:E294" si="88">$E$283+$R$283</f>
        <v>25.327756108254597</v>
      </c>
      <c r="F285">
        <f t="shared" si="75"/>
        <v>7.3654169759678548E-3</v>
      </c>
      <c r="G285">
        <f t="shared" si="76"/>
        <v>2.2779640131859347E-2</v>
      </c>
      <c r="H285">
        <f t="shared" si="77"/>
        <v>137.91230394355514</v>
      </c>
      <c r="I285">
        <f t="shared" si="78"/>
        <v>1.1786445220458917</v>
      </c>
      <c r="J285">
        <f t="shared" si="79"/>
        <v>1.2614818407495496</v>
      </c>
      <c r="K285">
        <f t="shared" si="80"/>
        <v>0.14780572721492974</v>
      </c>
      <c r="L285">
        <f t="shared" si="81"/>
        <v>1.6055562537716872</v>
      </c>
      <c r="M285">
        <f t="shared" si="82"/>
        <v>0.99800291412427278</v>
      </c>
      <c r="N285">
        <f t="shared" si="83"/>
        <v>1.0004644676108305</v>
      </c>
      <c r="O285">
        <v>5.1025389652858359E-3</v>
      </c>
      <c r="P285">
        <v>4.3462891131565767E-3</v>
      </c>
      <c r="Q285">
        <f t="shared" si="84"/>
        <v>982.70909109995421</v>
      </c>
      <c r="R285">
        <f t="shared" si="85"/>
        <v>0.98270909109995419</v>
      </c>
    </row>
    <row r="286" spans="1:18" x14ac:dyDescent="0.3">
      <c r="A286">
        <v>0.56999999999999995</v>
      </c>
      <c r="B286" s="4"/>
      <c r="C286">
        <v>-47.850895052856799</v>
      </c>
      <c r="D286">
        <v>1.1986455979999999</v>
      </c>
      <c r="E286">
        <f t="shared" si="88"/>
        <v>25.327756108254597</v>
      </c>
      <c r="F286">
        <f t="shared" si="75"/>
        <v>7.3654169759678548E-3</v>
      </c>
      <c r="G286">
        <f t="shared" si="76"/>
        <v>2.2779640131859347E-2</v>
      </c>
      <c r="H286">
        <f t="shared" si="77"/>
        <v>137.91230394355514</v>
      </c>
      <c r="I286">
        <f t="shared" si="78"/>
        <v>1.1786445220458917</v>
      </c>
      <c r="J286">
        <f t="shared" si="79"/>
        <v>1.2614818407495496</v>
      </c>
      <c r="K286">
        <f t="shared" si="80"/>
        <v>0.14780572721492974</v>
      </c>
      <c r="L286">
        <f t="shared" si="81"/>
        <v>1.6055562537716872</v>
      </c>
      <c r="M286">
        <f t="shared" si="82"/>
        <v>0.99794292163112452</v>
      </c>
      <c r="N286">
        <f t="shared" si="83"/>
        <v>1.000394153159835</v>
      </c>
      <c r="O286">
        <v>5.109329393709049E-3</v>
      </c>
      <c r="P286">
        <v>4.3384843204445018E-3</v>
      </c>
      <c r="Q286">
        <f t="shared" si="84"/>
        <v>982.70909109995421</v>
      </c>
      <c r="R286">
        <f t="shared" si="85"/>
        <v>0.98270909109995419</v>
      </c>
    </row>
    <row r="287" spans="1:18" x14ac:dyDescent="0.3">
      <c r="A287">
        <v>0.57199999999999995</v>
      </c>
      <c r="B287" s="4"/>
      <c r="C287">
        <v>-47.850895052856799</v>
      </c>
      <c r="D287">
        <v>1.1986455979999999</v>
      </c>
      <c r="E287">
        <f t="shared" si="88"/>
        <v>25.327756108254597</v>
      </c>
      <c r="F287">
        <f t="shared" si="75"/>
        <v>7.3654169759678548E-3</v>
      </c>
      <c r="G287">
        <f t="shared" si="76"/>
        <v>2.2779640131859347E-2</v>
      </c>
      <c r="H287">
        <f t="shared" si="77"/>
        <v>137.91230394355514</v>
      </c>
      <c r="I287">
        <f t="shared" si="78"/>
        <v>1.1786445220458917</v>
      </c>
      <c r="J287">
        <f t="shared" si="79"/>
        <v>1.2614818407495496</v>
      </c>
      <c r="K287">
        <f t="shared" si="80"/>
        <v>0.14780572721492974</v>
      </c>
      <c r="L287">
        <f t="shared" si="81"/>
        <v>1.6055562537716872</v>
      </c>
      <c r="M287">
        <f t="shared" si="82"/>
        <v>0.99812264923511873</v>
      </c>
      <c r="N287">
        <f t="shared" si="83"/>
        <v>1.0006261950054742</v>
      </c>
      <c r="O287">
        <v>5.0885723255642626E-3</v>
      </c>
      <c r="P287">
        <v>4.3623309166755837E-3</v>
      </c>
      <c r="Q287">
        <f t="shared" si="84"/>
        <v>982.70909109995421</v>
      </c>
      <c r="R287">
        <f t="shared" si="85"/>
        <v>0.98270909109995419</v>
      </c>
    </row>
    <row r="288" spans="1:18" x14ac:dyDescent="0.3">
      <c r="A288">
        <v>0.57399999999999995</v>
      </c>
      <c r="B288" s="4"/>
      <c r="C288">
        <v>-47.850895052856799</v>
      </c>
      <c r="D288">
        <v>1.1986455979999999</v>
      </c>
      <c r="E288">
        <f t="shared" si="88"/>
        <v>25.327756108254597</v>
      </c>
      <c r="F288">
        <f t="shared" si="75"/>
        <v>7.3654169759678548E-3</v>
      </c>
      <c r="G288">
        <f t="shared" si="76"/>
        <v>2.2779640131859347E-2</v>
      </c>
      <c r="H288">
        <f t="shared" si="77"/>
        <v>137.91230394355514</v>
      </c>
      <c r="I288">
        <f t="shared" si="78"/>
        <v>1.1786445220458917</v>
      </c>
      <c r="J288">
        <f t="shared" si="79"/>
        <v>1.2614818407495496</v>
      </c>
      <c r="K288">
        <f t="shared" si="80"/>
        <v>0.14780572721492974</v>
      </c>
      <c r="L288">
        <f t="shared" si="81"/>
        <v>1.6055562537716872</v>
      </c>
      <c r="M288">
        <f t="shared" si="82"/>
        <v>0.9984905563352322</v>
      </c>
      <c r="N288">
        <f t="shared" si="83"/>
        <v>1.0013379833328371</v>
      </c>
      <c r="O288">
        <v>5.0415824990491954E-3</v>
      </c>
      <c r="P288">
        <v>4.4161919351543722E-3</v>
      </c>
      <c r="Q288">
        <f t="shared" si="84"/>
        <v>982.70909109995421</v>
      </c>
      <c r="R288">
        <f t="shared" si="85"/>
        <v>0.98270909109995419</v>
      </c>
    </row>
    <row r="289" spans="1:18" x14ac:dyDescent="0.3">
      <c r="A289">
        <v>0.57599999999999996</v>
      </c>
      <c r="B289" s="4"/>
      <c r="C289">
        <v>-47.850895052856799</v>
      </c>
      <c r="D289">
        <v>1.1986455979999999</v>
      </c>
      <c r="E289">
        <f t="shared" si="88"/>
        <v>25.327756108254597</v>
      </c>
      <c r="F289">
        <f t="shared" si="75"/>
        <v>7.3654169759678548E-3</v>
      </c>
      <c r="G289">
        <f t="shared" si="76"/>
        <v>2.2779640131859347E-2</v>
      </c>
      <c r="H289">
        <f t="shared" si="77"/>
        <v>137.91230394355514</v>
      </c>
      <c r="I289">
        <f t="shared" si="78"/>
        <v>1.1786445220458917</v>
      </c>
      <c r="J289">
        <f t="shared" si="79"/>
        <v>1.2614818407495496</v>
      </c>
      <c r="K289">
        <f t="shared" si="80"/>
        <v>0.14780572721492974</v>
      </c>
      <c r="L289">
        <f t="shared" si="81"/>
        <v>1.6055562537716872</v>
      </c>
      <c r="M289">
        <f t="shared" si="82"/>
        <v>0.99894651198758533</v>
      </c>
      <c r="N289">
        <f t="shared" si="83"/>
        <v>1.0028755450434499</v>
      </c>
      <c r="O289">
        <v>4.9713859642754338E-3</v>
      </c>
      <c r="P289">
        <v>4.4963358643567309E-3</v>
      </c>
      <c r="Q289">
        <f t="shared" si="84"/>
        <v>982.70909109995421</v>
      </c>
      <c r="R289">
        <f t="shared" si="85"/>
        <v>0.98270909109995419</v>
      </c>
    </row>
    <row r="290" spans="1:18" x14ac:dyDescent="0.3">
      <c r="A290">
        <v>0.57799999999999996</v>
      </c>
      <c r="B290" s="4"/>
      <c r="C290">
        <v>-47.850895052856799</v>
      </c>
      <c r="D290">
        <v>1.1986455979999999</v>
      </c>
      <c r="E290">
        <f t="shared" si="88"/>
        <v>25.327756108254597</v>
      </c>
      <c r="F290">
        <f t="shared" si="75"/>
        <v>7.3654169759678548E-3</v>
      </c>
      <c r="G290">
        <f t="shared" si="76"/>
        <v>2.2779640131859347E-2</v>
      </c>
      <c r="H290">
        <f t="shared" si="77"/>
        <v>137.91230394355514</v>
      </c>
      <c r="I290">
        <f t="shared" si="78"/>
        <v>1.1786445220458917</v>
      </c>
      <c r="J290">
        <f t="shared" si="79"/>
        <v>1.2614818407495496</v>
      </c>
      <c r="K290">
        <f t="shared" si="80"/>
        <v>0.14780572721492974</v>
      </c>
      <c r="L290">
        <f t="shared" si="81"/>
        <v>1.6055562537716872</v>
      </c>
      <c r="M290">
        <f t="shared" si="82"/>
        <v>0.99938015570566152</v>
      </c>
      <c r="N290">
        <f t="shared" si="83"/>
        <v>1.005613533256817</v>
      </c>
      <c r="O290">
        <v>4.8826333582757536E-3</v>
      </c>
      <c r="P290">
        <v>4.5971222713293933E-3</v>
      </c>
      <c r="Q290">
        <f t="shared" si="84"/>
        <v>982.70909109995421</v>
      </c>
      <c r="R290">
        <f t="shared" si="85"/>
        <v>0.98270909109995419</v>
      </c>
    </row>
    <row r="291" spans="1:18" x14ac:dyDescent="0.3">
      <c r="A291">
        <v>0.57999999999999996</v>
      </c>
      <c r="B291" s="4"/>
      <c r="C291">
        <v>-47.850895052856799</v>
      </c>
      <c r="D291">
        <v>1.1986455979999999</v>
      </c>
      <c r="E291">
        <f t="shared" si="88"/>
        <v>25.327756108254597</v>
      </c>
      <c r="F291">
        <f t="shared" si="75"/>
        <v>7.3654169759678548E-3</v>
      </c>
      <c r="G291">
        <f t="shared" si="76"/>
        <v>2.2779640131859347E-2</v>
      </c>
      <c r="H291">
        <f t="shared" si="77"/>
        <v>137.91230394355514</v>
      </c>
      <c r="I291">
        <f t="shared" si="78"/>
        <v>1.1786445220458917</v>
      </c>
      <c r="J291">
        <f t="shared" si="79"/>
        <v>1.2614818407495496</v>
      </c>
      <c r="K291">
        <f t="shared" si="80"/>
        <v>0.14780572721492974</v>
      </c>
      <c r="L291">
        <f t="shared" si="81"/>
        <v>1.6055562537716872</v>
      </c>
      <c r="M291">
        <f t="shared" si="82"/>
        <v>1.0096055479139252</v>
      </c>
      <c r="N291">
        <f t="shared" si="83"/>
        <v>0.99925443506245704</v>
      </c>
      <c r="O291">
        <v>4.8046244781149491E-3</v>
      </c>
      <c r="P291">
        <v>4.6862327258054629E-3</v>
      </c>
      <c r="Q291">
        <f t="shared" si="84"/>
        <v>982.70909109995421</v>
      </c>
      <c r="R291">
        <f t="shared" si="85"/>
        <v>0.98270909109995419</v>
      </c>
    </row>
    <row r="292" spans="1:18" x14ac:dyDescent="0.3">
      <c r="A292">
        <v>0.58199999999999996</v>
      </c>
      <c r="B292" s="4"/>
      <c r="C292">
        <v>-47.850895052856799</v>
      </c>
      <c r="D292">
        <v>1.1986455979999999</v>
      </c>
      <c r="E292">
        <f t="shared" si="88"/>
        <v>25.327756108254597</v>
      </c>
      <c r="F292">
        <f t="shared" si="75"/>
        <v>7.3654169759678548E-3</v>
      </c>
      <c r="G292">
        <f t="shared" si="76"/>
        <v>2.2779640131859347E-2</v>
      </c>
      <c r="H292">
        <f t="shared" si="77"/>
        <v>137.91230394355514</v>
      </c>
      <c r="I292">
        <f t="shared" si="78"/>
        <v>1.1786445220458917</v>
      </c>
      <c r="J292">
        <f t="shared" si="79"/>
        <v>1.2614818407495496</v>
      </c>
      <c r="K292">
        <f t="shared" si="80"/>
        <v>0.14780572721492974</v>
      </c>
      <c r="L292">
        <f t="shared" si="81"/>
        <v>1.6055562537716872</v>
      </c>
      <c r="M292">
        <f t="shared" si="82"/>
        <v>1.0049421939085723</v>
      </c>
      <c r="N292">
        <f t="shared" si="83"/>
        <v>1.0027435311393014</v>
      </c>
      <c r="O292">
        <v>4.6870909268453718E-3</v>
      </c>
      <c r="P292">
        <v>4.8010981629421157E-3</v>
      </c>
      <c r="Q292">
        <f t="shared" si="84"/>
        <v>982.70909109995421</v>
      </c>
      <c r="R292">
        <f t="shared" si="85"/>
        <v>0.98270909109995419</v>
      </c>
    </row>
    <row r="293" spans="1:18" x14ac:dyDescent="0.3">
      <c r="A293">
        <v>0.58399999999999996</v>
      </c>
      <c r="B293" s="4"/>
      <c r="C293">
        <v>-47.850895052856799</v>
      </c>
      <c r="D293">
        <v>1.1986455979999999</v>
      </c>
      <c r="E293">
        <f t="shared" si="88"/>
        <v>25.327756108254597</v>
      </c>
      <c r="F293">
        <f t="shared" si="75"/>
        <v>7.3654169759678548E-3</v>
      </c>
      <c r="G293">
        <f t="shared" si="76"/>
        <v>2.2779640131859347E-2</v>
      </c>
      <c r="H293">
        <f t="shared" si="77"/>
        <v>137.91230394355514</v>
      </c>
      <c r="I293">
        <f t="shared" si="78"/>
        <v>1.1786445220458917</v>
      </c>
      <c r="J293">
        <f t="shared" si="79"/>
        <v>1.2614818407495496</v>
      </c>
      <c r="K293">
        <f t="shared" si="80"/>
        <v>0.14780572721492974</v>
      </c>
      <c r="L293">
        <f t="shared" si="81"/>
        <v>1.6055562537716872</v>
      </c>
      <c r="M293">
        <f t="shared" si="82"/>
        <v>1.0016207881252988</v>
      </c>
      <c r="N293">
        <f t="shared" si="83"/>
        <v>1.0064086393696112</v>
      </c>
      <c r="O293">
        <v>4.5755167143188497E-3</v>
      </c>
      <c r="P293">
        <v>4.9102914128273719E-3</v>
      </c>
      <c r="Q293">
        <f t="shared" si="84"/>
        <v>982.70909109995421</v>
      </c>
      <c r="R293">
        <f t="shared" si="85"/>
        <v>0.98270909109995419</v>
      </c>
    </row>
    <row r="294" spans="1:18" x14ac:dyDescent="0.3">
      <c r="A294">
        <v>0.58599999999999997</v>
      </c>
      <c r="B294" s="4"/>
      <c r="C294">
        <v>-47.850895052856799</v>
      </c>
      <c r="D294">
        <v>1.1986455979999999</v>
      </c>
      <c r="E294">
        <f t="shared" si="88"/>
        <v>25.327756108254597</v>
      </c>
      <c r="F294">
        <f t="shared" si="75"/>
        <v>7.3654169759678548E-3</v>
      </c>
      <c r="G294">
        <f t="shared" si="76"/>
        <v>2.2779640131859347E-2</v>
      </c>
      <c r="H294">
        <f t="shared" si="77"/>
        <v>137.91230394355514</v>
      </c>
      <c r="I294">
        <f t="shared" si="78"/>
        <v>1.1786445220458917</v>
      </c>
      <c r="J294">
        <f t="shared" si="79"/>
        <v>1.2614818407495496</v>
      </c>
      <c r="K294">
        <f t="shared" si="80"/>
        <v>0.14780572721492974</v>
      </c>
      <c r="L294">
        <f t="shared" si="81"/>
        <v>1.6055562537716872</v>
      </c>
      <c r="M294">
        <f t="shared" si="82"/>
        <v>1.008105178990623</v>
      </c>
      <c r="N294">
        <f t="shared" si="83"/>
        <v>0.99967897205315581</v>
      </c>
      <c r="O294">
        <v>4.4990786030221488E-3</v>
      </c>
      <c r="P294">
        <v>4.9826230126991822E-3</v>
      </c>
      <c r="Q294">
        <f t="shared" si="84"/>
        <v>982.70909109995421</v>
      </c>
      <c r="R294">
        <f t="shared" si="85"/>
        <v>0.98270909109995419</v>
      </c>
    </row>
    <row r="295" spans="1:18" x14ac:dyDescent="0.3">
      <c r="A295">
        <v>0.58799999999999997</v>
      </c>
      <c r="B295" s="4">
        <v>36</v>
      </c>
      <c r="C295">
        <v>-47.766634529398601</v>
      </c>
      <c r="D295">
        <v>1.242663657</v>
      </c>
      <c r="E295">
        <f>$E$294+$R$294</f>
        <v>26.310465199354553</v>
      </c>
      <c r="F295">
        <f t="shared" si="75"/>
        <v>7.5069451758560425E-3</v>
      </c>
      <c r="G295">
        <f t="shared" si="76"/>
        <v>2.321735621398776E-2</v>
      </c>
      <c r="H295">
        <f t="shared" si="77"/>
        <v>135.3122476407145</v>
      </c>
      <c r="I295">
        <f t="shared" si="78"/>
        <v>1.1716986778713696</v>
      </c>
      <c r="J295">
        <f t="shared" si="79"/>
        <v>1.2711153892255709</v>
      </c>
      <c r="K295">
        <f t="shared" si="80"/>
        <v>0.17666569537980895</v>
      </c>
      <c r="L295">
        <f t="shared" si="81"/>
        <v>1.5843358232971263</v>
      </c>
      <c r="M295">
        <f t="shared" si="82"/>
        <v>0.99876905899213886</v>
      </c>
      <c r="N295">
        <f t="shared" si="83"/>
        <v>1.0036329720430308</v>
      </c>
      <c r="O295">
        <v>5.002859794954212E-3</v>
      </c>
      <c r="P295">
        <v>4.5294919889495621E-3</v>
      </c>
      <c r="Q295">
        <f t="shared" si="84"/>
        <v>1185.4807296468605</v>
      </c>
      <c r="R295">
        <f t="shared" si="85"/>
        <v>1.1854807296468606</v>
      </c>
    </row>
    <row r="296" spans="1:18" x14ac:dyDescent="0.3">
      <c r="A296">
        <v>0.59</v>
      </c>
      <c r="B296" s="4"/>
      <c r="C296">
        <v>-47.766634529398601</v>
      </c>
      <c r="D296">
        <v>1.242663657</v>
      </c>
      <c r="E296">
        <f t="shared" ref="E296:E306" si="89">$E$294+$R$294</f>
        <v>26.310465199354553</v>
      </c>
      <c r="F296">
        <f t="shared" si="75"/>
        <v>7.5069451758560425E-3</v>
      </c>
      <c r="G296">
        <f t="shared" si="76"/>
        <v>2.321735621398776E-2</v>
      </c>
      <c r="H296">
        <f t="shared" si="77"/>
        <v>135.3122476407145</v>
      </c>
      <c r="I296">
        <f t="shared" si="78"/>
        <v>1.1716986778713696</v>
      </c>
      <c r="J296">
        <f t="shared" si="79"/>
        <v>1.2711153892255709</v>
      </c>
      <c r="K296">
        <f t="shared" si="80"/>
        <v>0.17666569537980895</v>
      </c>
      <c r="L296">
        <f t="shared" si="81"/>
        <v>1.5843358232971263</v>
      </c>
      <c r="M296">
        <f t="shared" si="82"/>
        <v>0.99935094475633801</v>
      </c>
      <c r="N296">
        <f t="shared" si="83"/>
        <v>1.0075679216787741</v>
      </c>
      <c r="O296">
        <v>4.8914643132266095E-3</v>
      </c>
      <c r="P296">
        <v>4.6569865358168146E-3</v>
      </c>
      <c r="Q296">
        <f t="shared" si="84"/>
        <v>1185.4807296468605</v>
      </c>
      <c r="R296">
        <f t="shared" si="85"/>
        <v>1.1854807296468606</v>
      </c>
    </row>
    <row r="297" spans="1:18" x14ac:dyDescent="0.3">
      <c r="A297">
        <v>0.59199999999999997</v>
      </c>
      <c r="B297" s="4"/>
      <c r="C297">
        <v>-47.766634529398601</v>
      </c>
      <c r="D297">
        <v>1.242663657</v>
      </c>
      <c r="E297">
        <f t="shared" si="89"/>
        <v>26.310465199354553</v>
      </c>
      <c r="F297">
        <f t="shared" si="75"/>
        <v>7.5069451758560425E-3</v>
      </c>
      <c r="G297">
        <f t="shared" si="76"/>
        <v>2.321735621398776E-2</v>
      </c>
      <c r="H297">
        <f t="shared" si="77"/>
        <v>135.3122476407145</v>
      </c>
      <c r="I297">
        <f t="shared" si="78"/>
        <v>1.1716986778713696</v>
      </c>
      <c r="J297">
        <f t="shared" si="79"/>
        <v>1.2711153892255709</v>
      </c>
      <c r="K297">
        <f t="shared" si="80"/>
        <v>0.17666569537980895</v>
      </c>
      <c r="L297">
        <f t="shared" si="81"/>
        <v>1.5843358232971263</v>
      </c>
      <c r="M297">
        <f t="shared" si="82"/>
        <v>1.0088814251864695</v>
      </c>
      <c r="N297">
        <f t="shared" si="83"/>
        <v>1.0018259252947435</v>
      </c>
      <c r="O297">
        <v>4.7906041305939822E-3</v>
      </c>
      <c r="P297">
        <v>4.7684739320641815E-3</v>
      </c>
      <c r="Q297">
        <f t="shared" si="84"/>
        <v>1185.4807296468605</v>
      </c>
      <c r="R297">
        <f t="shared" si="85"/>
        <v>1.1854807296468606</v>
      </c>
    </row>
    <row r="298" spans="1:18" x14ac:dyDescent="0.3">
      <c r="A298">
        <v>0.59399999999999997</v>
      </c>
      <c r="B298" s="4"/>
      <c r="C298">
        <v>-47.766634529398601</v>
      </c>
      <c r="D298">
        <v>1.242663657</v>
      </c>
      <c r="E298">
        <f t="shared" si="89"/>
        <v>26.310465199354553</v>
      </c>
      <c r="F298">
        <f t="shared" si="75"/>
        <v>7.5069451758560425E-3</v>
      </c>
      <c r="G298">
        <f t="shared" si="76"/>
        <v>2.321735621398776E-2</v>
      </c>
      <c r="H298">
        <f t="shared" si="77"/>
        <v>135.3122476407145</v>
      </c>
      <c r="I298">
        <f t="shared" si="78"/>
        <v>1.1716986778713696</v>
      </c>
      <c r="J298">
        <f t="shared" si="79"/>
        <v>1.2711153892255709</v>
      </c>
      <c r="K298">
        <f t="shared" si="80"/>
        <v>0.17666569537980895</v>
      </c>
      <c r="L298">
        <f t="shared" si="81"/>
        <v>1.5843358232971263</v>
      </c>
      <c r="M298">
        <f t="shared" si="82"/>
        <v>1.0037668529391428</v>
      </c>
      <c r="N298">
        <f t="shared" si="83"/>
        <v>1.0060217220155603</v>
      </c>
      <c r="O298">
        <v>4.653004904572761E-3</v>
      </c>
      <c r="P298">
        <v>4.90193081345417E-3</v>
      </c>
      <c r="Q298">
        <f t="shared" si="84"/>
        <v>1185.4807296468605</v>
      </c>
      <c r="R298">
        <f t="shared" si="85"/>
        <v>1.1854807296468606</v>
      </c>
    </row>
    <row r="299" spans="1:18" x14ac:dyDescent="0.3">
      <c r="A299">
        <v>0.59599999999999997</v>
      </c>
      <c r="B299" s="4"/>
      <c r="C299">
        <v>-47.766634529398601</v>
      </c>
      <c r="D299">
        <v>1.242663657</v>
      </c>
      <c r="E299">
        <f t="shared" si="89"/>
        <v>26.310465199354553</v>
      </c>
      <c r="F299">
        <f t="shared" si="75"/>
        <v>7.5069451758560425E-3</v>
      </c>
      <c r="G299">
        <f t="shared" si="76"/>
        <v>2.321735621398776E-2</v>
      </c>
      <c r="H299">
        <f t="shared" si="77"/>
        <v>135.3122476407145</v>
      </c>
      <c r="I299">
        <f t="shared" si="78"/>
        <v>1.1716986778713696</v>
      </c>
      <c r="J299">
        <f t="shared" si="79"/>
        <v>1.2711153892255709</v>
      </c>
      <c r="K299">
        <f t="shared" si="80"/>
        <v>0.17666569537980895</v>
      </c>
      <c r="L299">
        <f t="shared" si="81"/>
        <v>1.5843358232971263</v>
      </c>
      <c r="M299">
        <f t="shared" si="82"/>
        <v>0.99006525691302971</v>
      </c>
      <c r="N299">
        <f t="shared" si="83"/>
        <v>0.99963416824335727</v>
      </c>
      <c r="O299">
        <v>4.5004490409645539E-3</v>
      </c>
      <c r="P299">
        <v>5.0003693552857558E-3</v>
      </c>
      <c r="Q299">
        <f t="shared" si="84"/>
        <v>1185.4807296468605</v>
      </c>
      <c r="R299">
        <f t="shared" si="85"/>
        <v>1.1854807296468606</v>
      </c>
    </row>
    <row r="300" spans="1:18" x14ac:dyDescent="0.3">
      <c r="A300">
        <v>0.59799999999999998</v>
      </c>
      <c r="B300" s="4"/>
      <c r="C300">
        <v>-47.766634529398601</v>
      </c>
      <c r="D300">
        <v>1.242663657</v>
      </c>
      <c r="E300">
        <f t="shared" si="89"/>
        <v>26.310465199354553</v>
      </c>
      <c r="F300">
        <f t="shared" si="75"/>
        <v>7.5069451758560425E-3</v>
      </c>
      <c r="G300">
        <f t="shared" si="76"/>
        <v>2.321735621398776E-2</v>
      </c>
      <c r="H300">
        <f t="shared" si="77"/>
        <v>135.3122476407145</v>
      </c>
      <c r="I300">
        <f t="shared" si="78"/>
        <v>1.1716986778713696</v>
      </c>
      <c r="J300">
        <f t="shared" si="79"/>
        <v>1.2711153892255709</v>
      </c>
      <c r="K300">
        <f t="shared" si="80"/>
        <v>0.17666569537980895</v>
      </c>
      <c r="L300">
        <f t="shared" si="81"/>
        <v>1.5843358232971263</v>
      </c>
      <c r="M300">
        <f t="shared" si="82"/>
        <v>1.0058614016387004</v>
      </c>
      <c r="N300">
        <f t="shared" si="83"/>
        <v>0.99929740339549089</v>
      </c>
      <c r="O300">
        <v>4.4375548487000371E-3</v>
      </c>
      <c r="P300">
        <v>5.0948734407714009E-3</v>
      </c>
      <c r="Q300">
        <f t="shared" si="84"/>
        <v>1185.4807296468605</v>
      </c>
      <c r="R300">
        <f t="shared" si="85"/>
        <v>1.1854807296468606</v>
      </c>
    </row>
    <row r="301" spans="1:18" x14ac:dyDescent="0.3">
      <c r="A301">
        <v>0.6</v>
      </c>
      <c r="B301" s="4"/>
      <c r="C301">
        <v>-47.766634529398601</v>
      </c>
      <c r="D301">
        <v>1.242663657</v>
      </c>
      <c r="E301">
        <f t="shared" si="89"/>
        <v>26.310465199354553</v>
      </c>
      <c r="F301">
        <f t="shared" si="75"/>
        <v>7.5069451758560425E-3</v>
      </c>
      <c r="G301">
        <f t="shared" si="76"/>
        <v>2.321735621398776E-2</v>
      </c>
      <c r="H301">
        <f t="shared" si="77"/>
        <v>135.3122476407145</v>
      </c>
      <c r="I301">
        <f t="shared" si="78"/>
        <v>1.1716986778713696</v>
      </c>
      <c r="J301">
        <f t="shared" si="79"/>
        <v>1.2711153892255709</v>
      </c>
      <c r="K301">
        <f t="shared" si="80"/>
        <v>0.17666569537980895</v>
      </c>
      <c r="L301">
        <f t="shared" si="81"/>
        <v>1.5843358232971263</v>
      </c>
      <c r="M301">
        <f t="shared" si="82"/>
        <v>1.0034656641774204</v>
      </c>
      <c r="N301">
        <f t="shared" si="83"/>
        <v>0.99894937312585963</v>
      </c>
      <c r="O301">
        <v>4.3535776902391557E-3</v>
      </c>
      <c r="P301">
        <v>5.1650502576112622E-3</v>
      </c>
      <c r="Q301">
        <f t="shared" si="84"/>
        <v>1185.4807296468605</v>
      </c>
      <c r="R301">
        <f t="shared" si="85"/>
        <v>1.1854807296468606</v>
      </c>
    </row>
    <row r="302" spans="1:18" x14ac:dyDescent="0.3">
      <c r="A302">
        <v>0.60199999999999998</v>
      </c>
      <c r="B302" s="4"/>
      <c r="C302">
        <v>-47.766634529398601</v>
      </c>
      <c r="D302">
        <v>1.242663657</v>
      </c>
      <c r="E302">
        <f t="shared" si="89"/>
        <v>26.310465199354553</v>
      </c>
      <c r="F302">
        <f t="shared" si="75"/>
        <v>7.5069451758560425E-3</v>
      </c>
      <c r="G302">
        <f t="shared" si="76"/>
        <v>2.321735621398776E-2</v>
      </c>
      <c r="H302">
        <f t="shared" si="77"/>
        <v>135.3122476407145</v>
      </c>
      <c r="I302">
        <f t="shared" si="78"/>
        <v>1.1716986778713696</v>
      </c>
      <c r="J302">
        <f t="shared" si="79"/>
        <v>1.2711153892255709</v>
      </c>
      <c r="K302">
        <f t="shared" si="80"/>
        <v>0.17666569537980895</v>
      </c>
      <c r="L302">
        <f t="shared" si="81"/>
        <v>1.5843358232971263</v>
      </c>
      <c r="M302">
        <f t="shared" si="82"/>
        <v>1.0023356992639334</v>
      </c>
      <c r="N302">
        <f t="shared" si="83"/>
        <v>0.9986987918353516</v>
      </c>
      <c r="O302">
        <v>4.3037260832234992E-3</v>
      </c>
      <c r="P302">
        <v>5.2065713008025887E-3</v>
      </c>
      <c r="Q302">
        <f t="shared" si="84"/>
        <v>1185.4807296468605</v>
      </c>
      <c r="R302">
        <f t="shared" si="85"/>
        <v>1.1854807296468606</v>
      </c>
    </row>
    <row r="303" spans="1:18" x14ac:dyDescent="0.3">
      <c r="A303">
        <v>0.60399999999999998</v>
      </c>
      <c r="B303" s="4"/>
      <c r="C303">
        <v>-47.766634529398601</v>
      </c>
      <c r="D303">
        <v>1.242663657</v>
      </c>
      <c r="E303">
        <f t="shared" si="89"/>
        <v>26.310465199354553</v>
      </c>
      <c r="F303">
        <f t="shared" si="75"/>
        <v>7.5069451758560425E-3</v>
      </c>
      <c r="G303">
        <f t="shared" si="76"/>
        <v>2.321735621398776E-2</v>
      </c>
      <c r="H303">
        <f t="shared" si="77"/>
        <v>135.3122476407145</v>
      </c>
      <c r="I303">
        <f t="shared" si="78"/>
        <v>1.1716986778713696</v>
      </c>
      <c r="J303">
        <f t="shared" si="79"/>
        <v>1.2711153892255709</v>
      </c>
      <c r="K303">
        <f t="shared" si="80"/>
        <v>0.17666569537980895</v>
      </c>
      <c r="L303">
        <f t="shared" si="81"/>
        <v>1.5843358232971263</v>
      </c>
      <c r="M303">
        <f t="shared" si="82"/>
        <v>1.0020873102328003</v>
      </c>
      <c r="N303">
        <f t="shared" si="83"/>
        <v>0.99863066176696758</v>
      </c>
      <c r="O303">
        <v>4.2912576694627731E-3</v>
      </c>
      <c r="P303">
        <v>5.2169401681550634E-3</v>
      </c>
      <c r="Q303">
        <f t="shared" si="84"/>
        <v>1185.4807296468605</v>
      </c>
      <c r="R303">
        <f t="shared" si="85"/>
        <v>1.1854807296468606</v>
      </c>
    </row>
    <row r="304" spans="1:18" x14ac:dyDescent="0.3">
      <c r="A304">
        <v>0.60599999999999998</v>
      </c>
      <c r="B304" s="4"/>
      <c r="C304">
        <v>-47.766634529398601</v>
      </c>
      <c r="D304">
        <v>1.242663657</v>
      </c>
      <c r="E304">
        <f t="shared" si="89"/>
        <v>26.310465199354553</v>
      </c>
      <c r="F304">
        <f t="shared" si="75"/>
        <v>7.5069451758560425E-3</v>
      </c>
      <c r="G304">
        <f t="shared" si="76"/>
        <v>2.321735621398776E-2</v>
      </c>
      <c r="H304">
        <f t="shared" si="77"/>
        <v>135.3122476407145</v>
      </c>
      <c r="I304">
        <f t="shared" si="78"/>
        <v>1.1716986778713696</v>
      </c>
      <c r="J304">
        <f t="shared" si="79"/>
        <v>1.2711153892255709</v>
      </c>
      <c r="K304">
        <f t="shared" si="80"/>
        <v>0.17666569537980895</v>
      </c>
      <c r="L304">
        <f t="shared" si="81"/>
        <v>1.5843358232971263</v>
      </c>
      <c r="M304">
        <f t="shared" si="82"/>
        <v>1.0026148097404652</v>
      </c>
      <c r="N304">
        <f t="shared" si="83"/>
        <v>0.99876879151350884</v>
      </c>
      <c r="O304">
        <v>4.3169816097250093E-3</v>
      </c>
      <c r="P304">
        <v>5.1955408603160417E-3</v>
      </c>
      <c r="Q304">
        <f t="shared" si="84"/>
        <v>1185.4807296468605</v>
      </c>
      <c r="R304">
        <f t="shared" si="85"/>
        <v>1.1854807296468606</v>
      </c>
    </row>
    <row r="305" spans="1:18" x14ac:dyDescent="0.3">
      <c r="A305">
        <v>0.60799999999999998</v>
      </c>
      <c r="B305" s="4"/>
      <c r="C305">
        <v>-47.766634529398601</v>
      </c>
      <c r="D305">
        <v>1.242663657</v>
      </c>
      <c r="E305">
        <f t="shared" si="89"/>
        <v>26.310465199354553</v>
      </c>
      <c r="F305">
        <f t="shared" si="75"/>
        <v>7.5069451758560425E-3</v>
      </c>
      <c r="G305">
        <f t="shared" si="76"/>
        <v>2.321735621398776E-2</v>
      </c>
      <c r="H305">
        <f t="shared" si="77"/>
        <v>135.3122476407145</v>
      </c>
      <c r="I305">
        <f t="shared" si="78"/>
        <v>1.1716986778713696</v>
      </c>
      <c r="J305">
        <f t="shared" si="79"/>
        <v>1.2711153892255709</v>
      </c>
      <c r="K305">
        <f t="shared" si="80"/>
        <v>0.17666569537980895</v>
      </c>
      <c r="L305">
        <f t="shared" si="81"/>
        <v>1.5843358232971263</v>
      </c>
      <c r="M305">
        <f t="shared" si="82"/>
        <v>1.004132033911129</v>
      </c>
      <c r="N305">
        <f t="shared" si="83"/>
        <v>0.99906519709086261</v>
      </c>
      <c r="O305">
        <v>4.3792260414933426E-3</v>
      </c>
      <c r="P305">
        <v>5.1436479237109813E-3</v>
      </c>
      <c r="Q305">
        <f t="shared" si="84"/>
        <v>1185.4807296468605</v>
      </c>
      <c r="R305">
        <f t="shared" si="85"/>
        <v>1.1854807296468606</v>
      </c>
    </row>
    <row r="306" spans="1:18" x14ac:dyDescent="0.3">
      <c r="A306">
        <v>0.61</v>
      </c>
      <c r="B306" s="4"/>
      <c r="C306">
        <v>-47.766634529398601</v>
      </c>
      <c r="D306">
        <v>1.242663657</v>
      </c>
      <c r="E306">
        <f t="shared" si="89"/>
        <v>26.310465199354553</v>
      </c>
      <c r="F306">
        <f t="shared" si="75"/>
        <v>7.5069451758560425E-3</v>
      </c>
      <c r="G306">
        <f t="shared" si="76"/>
        <v>2.321735621398776E-2</v>
      </c>
      <c r="H306">
        <f t="shared" si="77"/>
        <v>135.3122476407145</v>
      </c>
      <c r="I306">
        <f t="shared" si="78"/>
        <v>1.1716986778713696</v>
      </c>
      <c r="J306">
        <f t="shared" si="79"/>
        <v>1.2711153892255709</v>
      </c>
      <c r="K306">
        <f t="shared" si="80"/>
        <v>0.17666569537980895</v>
      </c>
      <c r="L306">
        <f t="shared" si="81"/>
        <v>1.5843358232971263</v>
      </c>
      <c r="M306">
        <f t="shared" si="82"/>
        <v>1.0070887784628157</v>
      </c>
      <c r="N306">
        <f t="shared" si="83"/>
        <v>0.99942142487009844</v>
      </c>
      <c r="O306">
        <v>4.4739059808052957E-3</v>
      </c>
      <c r="P306">
        <v>5.0644046866269296E-3</v>
      </c>
      <c r="Q306">
        <f t="shared" si="84"/>
        <v>1185.4807296468605</v>
      </c>
      <c r="R306">
        <f t="shared" si="85"/>
        <v>1.1854807296468606</v>
      </c>
    </row>
    <row r="307" spans="1:18" x14ac:dyDescent="0.3">
      <c r="A307">
        <v>0.61199999999999999</v>
      </c>
      <c r="B307" s="4">
        <v>37</v>
      </c>
      <c r="C307">
        <v>-47.6364137204177</v>
      </c>
      <c r="D307">
        <v>1.299097065</v>
      </c>
      <c r="E307">
        <f>$E$306+$R$306</f>
        <v>27.495945929001415</v>
      </c>
      <c r="F307">
        <f t="shared" si="75"/>
        <v>7.6742035326026218E-3</v>
      </c>
      <c r="G307">
        <f t="shared" si="76"/>
        <v>2.3734650100832852E-2</v>
      </c>
      <c r="H307">
        <f t="shared" si="77"/>
        <v>132.36313323530118</v>
      </c>
      <c r="I307">
        <f t="shared" si="78"/>
        <v>1.1640056783971064</v>
      </c>
      <c r="J307">
        <f t="shared" si="79"/>
        <v>1.2843448819877452</v>
      </c>
      <c r="K307">
        <f t="shared" si="80"/>
        <v>0.21166487039037304</v>
      </c>
      <c r="L307">
        <f t="shared" si="81"/>
        <v>1.5593367830767453</v>
      </c>
      <c r="M307">
        <f t="shared" si="82"/>
        <v>1.0036360334588623</v>
      </c>
      <c r="N307">
        <f t="shared" si="83"/>
        <v>0.99856937321291062</v>
      </c>
      <c r="O307">
        <v>4.362511274593063E-3</v>
      </c>
      <c r="P307">
        <v>5.2286568180746141E-3</v>
      </c>
      <c r="Q307">
        <f t="shared" si="84"/>
        <v>1438.7076715414166</v>
      </c>
      <c r="R307">
        <f t="shared" si="85"/>
        <v>1.4387076715414167</v>
      </c>
    </row>
    <row r="308" spans="1:18" x14ac:dyDescent="0.3">
      <c r="A308">
        <v>0.61399999999999999</v>
      </c>
      <c r="B308" s="4"/>
      <c r="C308">
        <v>-47.6364137204177</v>
      </c>
      <c r="D308">
        <v>1.299097065</v>
      </c>
      <c r="E308">
        <f t="shared" ref="E308:E320" si="90">$E$306+$R$306</f>
        <v>27.495945929001415</v>
      </c>
      <c r="F308">
        <f t="shared" si="75"/>
        <v>7.6742035326026218E-3</v>
      </c>
      <c r="G308">
        <f t="shared" si="76"/>
        <v>2.3734650100832852E-2</v>
      </c>
      <c r="H308">
        <f t="shared" si="77"/>
        <v>132.36313323530118</v>
      </c>
      <c r="I308">
        <f t="shared" si="78"/>
        <v>1.1640056783971064</v>
      </c>
      <c r="J308">
        <f t="shared" si="79"/>
        <v>1.2843448819877452</v>
      </c>
      <c r="K308">
        <f t="shared" si="80"/>
        <v>0.21166487039037304</v>
      </c>
      <c r="L308">
        <f t="shared" si="81"/>
        <v>1.5593367830767453</v>
      </c>
      <c r="M308">
        <f t="shared" si="82"/>
        <v>1.001767725624205</v>
      </c>
      <c r="N308">
        <f t="shared" si="83"/>
        <v>0.99802357319054491</v>
      </c>
      <c r="O308">
        <v>4.2755989572168052E-3</v>
      </c>
      <c r="P308">
        <v>5.3000357262259091E-3</v>
      </c>
      <c r="Q308">
        <f t="shared" si="84"/>
        <v>1438.7076715414166</v>
      </c>
      <c r="R308">
        <f t="shared" si="85"/>
        <v>1.4387076715414167</v>
      </c>
    </row>
    <row r="309" spans="1:18" x14ac:dyDescent="0.3">
      <c r="A309">
        <v>0.61599999999999999</v>
      </c>
      <c r="B309" s="4"/>
      <c r="C309">
        <v>-47.6364137204177</v>
      </c>
      <c r="D309">
        <v>1.299097065</v>
      </c>
      <c r="E309">
        <f t="shared" si="90"/>
        <v>27.495945929001415</v>
      </c>
      <c r="F309">
        <f t="shared" si="75"/>
        <v>7.6742035326026218E-3</v>
      </c>
      <c r="G309">
        <f t="shared" si="76"/>
        <v>2.3734650100832852E-2</v>
      </c>
      <c r="H309">
        <f t="shared" si="77"/>
        <v>132.36313323530118</v>
      </c>
      <c r="I309">
        <f t="shared" si="78"/>
        <v>1.1640056783971064</v>
      </c>
      <c r="J309">
        <f t="shared" si="79"/>
        <v>1.2843448819877452</v>
      </c>
      <c r="K309">
        <f t="shared" si="80"/>
        <v>0.21166487039037304</v>
      </c>
      <c r="L309">
        <f t="shared" si="81"/>
        <v>1.5593367830767453</v>
      </c>
      <c r="M309">
        <f t="shared" si="82"/>
        <v>1.0010454453266588</v>
      </c>
      <c r="N309">
        <f t="shared" si="83"/>
        <v>0.99768748587840561</v>
      </c>
      <c r="O309">
        <v>4.22961962181657E-3</v>
      </c>
      <c r="P309">
        <v>5.3376618518487474E-3</v>
      </c>
      <c r="Q309">
        <f t="shared" si="84"/>
        <v>1438.7076715414166</v>
      </c>
      <c r="R309">
        <f t="shared" si="85"/>
        <v>1.4387076715414167</v>
      </c>
    </row>
    <row r="310" spans="1:18" x14ac:dyDescent="0.3">
      <c r="A310">
        <v>0.61799999999999999</v>
      </c>
      <c r="B310" s="4"/>
      <c r="C310">
        <v>-47.6364137204177</v>
      </c>
      <c r="D310">
        <v>1.299097065</v>
      </c>
      <c r="E310">
        <f t="shared" si="90"/>
        <v>27.495945929001415</v>
      </c>
      <c r="F310">
        <f t="shared" si="75"/>
        <v>7.6742035326026218E-3</v>
      </c>
      <c r="G310">
        <f t="shared" si="76"/>
        <v>2.3734650100832852E-2</v>
      </c>
      <c r="H310">
        <f t="shared" si="77"/>
        <v>132.36313323530118</v>
      </c>
      <c r="I310">
        <f t="shared" si="78"/>
        <v>1.1640056783971064</v>
      </c>
      <c r="J310">
        <f t="shared" si="79"/>
        <v>1.2843448819877452</v>
      </c>
      <c r="K310">
        <f t="shared" si="80"/>
        <v>0.21166487039037304</v>
      </c>
      <c r="L310">
        <f t="shared" si="81"/>
        <v>1.5593367830767453</v>
      </c>
      <c r="M310">
        <f t="shared" si="82"/>
        <v>1.0010150759051033</v>
      </c>
      <c r="N310">
        <f t="shared" si="83"/>
        <v>0.99767028744992703</v>
      </c>
      <c r="O310">
        <v>4.2273863529670372E-3</v>
      </c>
      <c r="P310">
        <v>5.3394870232120143E-3</v>
      </c>
      <c r="Q310">
        <f t="shared" si="84"/>
        <v>1438.7076715414166</v>
      </c>
      <c r="R310">
        <f t="shared" si="85"/>
        <v>1.4387076715414167</v>
      </c>
    </row>
    <row r="311" spans="1:18" x14ac:dyDescent="0.3">
      <c r="A311">
        <v>0.62</v>
      </c>
      <c r="B311" s="4"/>
      <c r="C311">
        <v>-47.6364137204177</v>
      </c>
      <c r="D311">
        <v>1.299097065</v>
      </c>
      <c r="E311">
        <f t="shared" si="90"/>
        <v>27.495945929001415</v>
      </c>
      <c r="F311">
        <f t="shared" si="75"/>
        <v>7.6742035326026218E-3</v>
      </c>
      <c r="G311">
        <f t="shared" si="76"/>
        <v>2.3734650100832852E-2</v>
      </c>
      <c r="H311">
        <f t="shared" si="77"/>
        <v>132.36313323530118</v>
      </c>
      <c r="I311">
        <f t="shared" si="78"/>
        <v>1.1640056783971064</v>
      </c>
      <c r="J311">
        <f t="shared" si="79"/>
        <v>1.2843448819877452</v>
      </c>
      <c r="K311">
        <f t="shared" si="80"/>
        <v>0.21166487039037304</v>
      </c>
      <c r="L311">
        <f t="shared" si="81"/>
        <v>1.5593367830767453</v>
      </c>
      <c r="M311">
        <f t="shared" si="82"/>
        <v>1.0016533086326307</v>
      </c>
      <c r="N311">
        <f t="shared" si="83"/>
        <v>0.99797766551208078</v>
      </c>
      <c r="O311">
        <v>4.2690350763544922E-3</v>
      </c>
      <c r="P311">
        <v>5.3054128391151652E-3</v>
      </c>
      <c r="Q311">
        <f t="shared" si="84"/>
        <v>1438.7076715414166</v>
      </c>
      <c r="R311">
        <f t="shared" si="85"/>
        <v>1.4387076715414167</v>
      </c>
    </row>
    <row r="312" spans="1:18" x14ac:dyDescent="0.3">
      <c r="A312">
        <v>0.622</v>
      </c>
      <c r="B312" s="4"/>
      <c r="C312">
        <v>-47.6364137204177</v>
      </c>
      <c r="D312">
        <v>1.299097065</v>
      </c>
      <c r="E312">
        <f t="shared" si="90"/>
        <v>27.495945929001415</v>
      </c>
      <c r="F312">
        <f t="shared" si="75"/>
        <v>7.6742035326026218E-3</v>
      </c>
      <c r="G312">
        <f t="shared" si="76"/>
        <v>2.3734650100832852E-2</v>
      </c>
      <c r="H312">
        <f t="shared" si="77"/>
        <v>132.36313323530118</v>
      </c>
      <c r="I312">
        <f t="shared" si="78"/>
        <v>1.1640056783971064</v>
      </c>
      <c r="J312">
        <f t="shared" si="79"/>
        <v>1.2843448819877452</v>
      </c>
      <c r="K312">
        <f t="shared" si="80"/>
        <v>0.21166487039037304</v>
      </c>
      <c r="L312">
        <f t="shared" si="81"/>
        <v>1.5593367830767453</v>
      </c>
      <c r="M312">
        <f t="shared" si="82"/>
        <v>1.0033757487230319</v>
      </c>
      <c r="N312">
        <f t="shared" si="83"/>
        <v>0.9985094302103682</v>
      </c>
      <c r="O312">
        <v>4.3520200749809796E-3</v>
      </c>
      <c r="P312">
        <v>5.2372908707898711E-3</v>
      </c>
      <c r="Q312">
        <f t="shared" si="84"/>
        <v>1438.7076715414166</v>
      </c>
      <c r="R312">
        <f t="shared" si="85"/>
        <v>1.4387076715414167</v>
      </c>
    </row>
    <row r="313" spans="1:18" x14ac:dyDescent="0.3">
      <c r="A313">
        <v>0.624</v>
      </c>
      <c r="B313" s="4"/>
      <c r="C313">
        <v>-47.6364137204177</v>
      </c>
      <c r="D313">
        <v>1.299097065</v>
      </c>
      <c r="E313">
        <f t="shared" si="90"/>
        <v>27.495945929001415</v>
      </c>
      <c r="F313">
        <f t="shared" si="75"/>
        <v>7.6742035326026218E-3</v>
      </c>
      <c r="G313">
        <f t="shared" si="76"/>
        <v>2.3734650100832852E-2</v>
      </c>
      <c r="H313">
        <f t="shared" si="77"/>
        <v>132.36313323530118</v>
      </c>
      <c r="I313">
        <f t="shared" si="78"/>
        <v>1.1640056783971064</v>
      </c>
      <c r="J313">
        <f t="shared" si="79"/>
        <v>1.2843448819877452</v>
      </c>
      <c r="K313">
        <f t="shared" si="80"/>
        <v>0.21166487039037304</v>
      </c>
      <c r="L313">
        <f t="shared" si="81"/>
        <v>1.5593367830767453</v>
      </c>
      <c r="M313">
        <f t="shared" si="82"/>
        <v>1.0068901983275425</v>
      </c>
      <c r="N313">
        <f t="shared" si="83"/>
        <v>0.99910146813802458</v>
      </c>
      <c r="O313">
        <v>4.4712007388659578E-3</v>
      </c>
      <c r="P313">
        <v>5.1389156762730861E-3</v>
      </c>
      <c r="Q313">
        <f t="shared" si="84"/>
        <v>1438.7076715414166</v>
      </c>
      <c r="R313">
        <f t="shared" si="85"/>
        <v>1.4387076715414167</v>
      </c>
    </row>
    <row r="314" spans="1:18" x14ac:dyDescent="0.3">
      <c r="A314">
        <v>0.626</v>
      </c>
      <c r="B314" s="4"/>
      <c r="C314">
        <v>-47.6364137204177</v>
      </c>
      <c r="D314">
        <v>1.299097065</v>
      </c>
      <c r="E314">
        <f t="shared" si="90"/>
        <v>27.495945929001415</v>
      </c>
      <c r="F314">
        <f t="shared" si="75"/>
        <v>7.6742035326026218E-3</v>
      </c>
      <c r="G314">
        <f t="shared" si="76"/>
        <v>2.3734650100832852E-2</v>
      </c>
      <c r="H314">
        <f t="shared" si="77"/>
        <v>132.36313323530118</v>
      </c>
      <c r="I314">
        <f t="shared" si="78"/>
        <v>1.1640056783971064</v>
      </c>
      <c r="J314">
        <f t="shared" si="79"/>
        <v>1.2843448819877452</v>
      </c>
      <c r="K314">
        <f t="shared" si="80"/>
        <v>0.21166487039037304</v>
      </c>
      <c r="L314">
        <f t="shared" si="81"/>
        <v>1.5593367830767453</v>
      </c>
      <c r="M314">
        <f t="shared" si="82"/>
        <v>1.0019846472498057</v>
      </c>
      <c r="N314">
        <f t="shared" si="83"/>
        <v>0.99959343342441809</v>
      </c>
      <c r="O314">
        <v>4.5918268083908632E-3</v>
      </c>
      <c r="P314">
        <v>5.0159894415544E-3</v>
      </c>
      <c r="Q314">
        <f t="shared" si="84"/>
        <v>1438.7076715414166</v>
      </c>
      <c r="R314">
        <f t="shared" si="85"/>
        <v>1.4387076715414167</v>
      </c>
    </row>
    <row r="315" spans="1:18" x14ac:dyDescent="0.3">
      <c r="A315">
        <v>0.628</v>
      </c>
      <c r="B315" s="4"/>
      <c r="C315">
        <v>-47.6364137204177</v>
      </c>
      <c r="D315">
        <v>1.299097065</v>
      </c>
      <c r="E315">
        <f t="shared" si="90"/>
        <v>27.495945929001415</v>
      </c>
      <c r="F315">
        <f t="shared" si="75"/>
        <v>7.6742035326026218E-3</v>
      </c>
      <c r="G315">
        <f t="shared" si="76"/>
        <v>2.3734650100832852E-2</v>
      </c>
      <c r="H315">
        <f t="shared" si="77"/>
        <v>132.36313323530118</v>
      </c>
      <c r="I315">
        <f t="shared" si="78"/>
        <v>1.1640056783971064</v>
      </c>
      <c r="J315">
        <f t="shared" si="79"/>
        <v>1.2843448819877452</v>
      </c>
      <c r="K315">
        <f t="shared" si="80"/>
        <v>0.21166487039037304</v>
      </c>
      <c r="L315">
        <f t="shared" si="81"/>
        <v>1.5593367830767453</v>
      </c>
      <c r="M315">
        <f t="shared" si="82"/>
        <v>1.0071037666180553</v>
      </c>
      <c r="N315">
        <f t="shared" si="83"/>
        <v>1.0054813096617832</v>
      </c>
      <c r="O315">
        <v>4.7500451518022726E-3</v>
      </c>
      <c r="P315">
        <v>4.8892695630215373E-3</v>
      </c>
      <c r="Q315">
        <f t="shared" si="84"/>
        <v>1438.7076715414166</v>
      </c>
      <c r="R315">
        <f t="shared" si="85"/>
        <v>1.4387076715414167</v>
      </c>
    </row>
    <row r="316" spans="1:18" x14ac:dyDescent="0.3">
      <c r="A316">
        <v>0.63</v>
      </c>
      <c r="B316" s="4"/>
      <c r="C316">
        <v>-47.6364137204177</v>
      </c>
      <c r="D316">
        <v>1.299097065</v>
      </c>
      <c r="E316">
        <f t="shared" si="90"/>
        <v>27.495945929001415</v>
      </c>
      <c r="F316">
        <f t="shared" si="75"/>
        <v>7.6742035326026218E-3</v>
      </c>
      <c r="G316">
        <f t="shared" si="76"/>
        <v>2.3734650100832852E-2</v>
      </c>
      <c r="H316">
        <f t="shared" si="77"/>
        <v>132.36313323530118</v>
      </c>
      <c r="I316">
        <f t="shared" si="78"/>
        <v>1.1640056783971064</v>
      </c>
      <c r="J316">
        <f t="shared" si="79"/>
        <v>1.2843448819877452</v>
      </c>
      <c r="K316">
        <f t="shared" si="80"/>
        <v>0.21166487039037304</v>
      </c>
      <c r="L316">
        <f t="shared" si="81"/>
        <v>1.5593367830767453</v>
      </c>
      <c r="M316">
        <f t="shared" si="82"/>
        <v>0.99940793715494214</v>
      </c>
      <c r="N316">
        <f t="shared" si="83"/>
        <v>1.0008917032586855</v>
      </c>
      <c r="O316">
        <v>4.8795051378991835E-3</v>
      </c>
      <c r="P316">
        <v>4.7302450532270756E-3</v>
      </c>
      <c r="Q316">
        <f t="shared" si="84"/>
        <v>1438.7076715414166</v>
      </c>
      <c r="R316">
        <f t="shared" si="85"/>
        <v>1.4387076715414167</v>
      </c>
    </row>
    <row r="317" spans="1:18" x14ac:dyDescent="0.3">
      <c r="A317">
        <v>0.63200000000000001</v>
      </c>
      <c r="B317" s="4"/>
      <c r="C317">
        <v>-47.6364137204177</v>
      </c>
      <c r="D317">
        <v>1.299097065</v>
      </c>
      <c r="E317">
        <f t="shared" si="90"/>
        <v>27.495945929001415</v>
      </c>
      <c r="F317">
        <f t="shared" si="75"/>
        <v>7.6742035326026218E-3</v>
      </c>
      <c r="G317">
        <f t="shared" si="76"/>
        <v>2.3734650100832852E-2</v>
      </c>
      <c r="H317">
        <f t="shared" si="77"/>
        <v>132.36313323530118</v>
      </c>
      <c r="I317">
        <f t="shared" si="78"/>
        <v>1.1640056783971064</v>
      </c>
      <c r="J317">
        <f t="shared" si="79"/>
        <v>1.2843448819877452</v>
      </c>
      <c r="K317">
        <f t="shared" si="80"/>
        <v>0.21166487039037304</v>
      </c>
      <c r="L317">
        <f t="shared" si="81"/>
        <v>1.5593367830767453</v>
      </c>
      <c r="M317">
        <f t="shared" si="82"/>
        <v>0.99868746731632585</v>
      </c>
      <c r="N317">
        <f t="shared" si="83"/>
        <v>1.0054284945913872</v>
      </c>
      <c r="O317">
        <v>5.0181291963137861E-3</v>
      </c>
      <c r="P317">
        <v>4.5959292164198867E-3</v>
      </c>
      <c r="Q317">
        <f t="shared" si="84"/>
        <v>1438.7076715414166</v>
      </c>
      <c r="R317">
        <f t="shared" si="85"/>
        <v>1.4387076715414167</v>
      </c>
    </row>
    <row r="318" spans="1:18" x14ac:dyDescent="0.3">
      <c r="A318">
        <v>0.63400000000000001</v>
      </c>
      <c r="B318" s="4"/>
      <c r="C318">
        <v>-47.6364137204177</v>
      </c>
      <c r="D318">
        <v>1.299097065</v>
      </c>
      <c r="E318">
        <f t="shared" si="90"/>
        <v>27.495945929001415</v>
      </c>
      <c r="F318">
        <f t="shared" si="75"/>
        <v>7.6742035326026218E-3</v>
      </c>
      <c r="G318">
        <f t="shared" si="76"/>
        <v>2.3734650100832852E-2</v>
      </c>
      <c r="H318">
        <f t="shared" si="77"/>
        <v>132.36313323530118</v>
      </c>
      <c r="I318">
        <f t="shared" si="78"/>
        <v>1.1640056783971064</v>
      </c>
      <c r="J318">
        <f t="shared" si="79"/>
        <v>1.2843448819877452</v>
      </c>
      <c r="K318">
        <f t="shared" si="80"/>
        <v>0.21166487039037304</v>
      </c>
      <c r="L318">
        <f t="shared" si="81"/>
        <v>1.5593367830767453</v>
      </c>
      <c r="M318">
        <f t="shared" si="82"/>
        <v>0.99771849733361284</v>
      </c>
      <c r="N318">
        <f t="shared" si="83"/>
        <v>1.0019515924423801</v>
      </c>
      <c r="O318">
        <v>5.1393454988540779E-3</v>
      </c>
      <c r="P318">
        <v>4.4546973160536265E-3</v>
      </c>
      <c r="Q318">
        <f t="shared" si="84"/>
        <v>1438.7076715414166</v>
      </c>
      <c r="R318">
        <f t="shared" si="85"/>
        <v>1.4387076715414167</v>
      </c>
    </row>
    <row r="319" spans="1:18" x14ac:dyDescent="0.3">
      <c r="A319">
        <v>0.63600000000000001</v>
      </c>
      <c r="B319" s="4"/>
      <c r="C319">
        <v>-47.6364137204177</v>
      </c>
      <c r="D319">
        <v>1.299097065</v>
      </c>
      <c r="E319">
        <f t="shared" si="90"/>
        <v>27.495945929001415</v>
      </c>
      <c r="F319">
        <f t="shared" si="75"/>
        <v>7.6742035326026218E-3</v>
      </c>
      <c r="G319">
        <f t="shared" si="76"/>
        <v>2.3734650100832852E-2</v>
      </c>
      <c r="H319">
        <f t="shared" si="77"/>
        <v>132.36313323530118</v>
      </c>
      <c r="I319">
        <f t="shared" si="78"/>
        <v>1.1640056783971064</v>
      </c>
      <c r="J319">
        <f t="shared" si="79"/>
        <v>1.2843448819877452</v>
      </c>
      <c r="K319">
        <f t="shared" si="80"/>
        <v>0.21166487039037304</v>
      </c>
      <c r="L319">
        <f t="shared" si="81"/>
        <v>1.5593367830767453</v>
      </c>
      <c r="M319">
        <f t="shared" si="82"/>
        <v>0.99770950767579669</v>
      </c>
      <c r="N319">
        <f t="shared" si="83"/>
        <v>1.0004070122380659</v>
      </c>
      <c r="O319">
        <v>5.2381926020727771E-3</v>
      </c>
      <c r="P319">
        <v>4.3412485476989823E-3</v>
      </c>
      <c r="Q319">
        <f t="shared" si="84"/>
        <v>1438.7076715414166</v>
      </c>
      <c r="R319">
        <f t="shared" si="85"/>
        <v>1.4387076715414167</v>
      </c>
    </row>
    <row r="320" spans="1:18" x14ac:dyDescent="0.3">
      <c r="A320">
        <v>0.63800000000000001</v>
      </c>
      <c r="B320" s="4"/>
      <c r="C320">
        <v>-47.6364137204177</v>
      </c>
      <c r="D320">
        <v>1.299097065</v>
      </c>
      <c r="E320">
        <f t="shared" si="90"/>
        <v>27.495945929001415</v>
      </c>
      <c r="F320">
        <f t="shared" si="75"/>
        <v>7.6742035326026218E-3</v>
      </c>
      <c r="G320">
        <f t="shared" si="76"/>
        <v>2.3734650100832852E-2</v>
      </c>
      <c r="H320">
        <f t="shared" si="77"/>
        <v>132.36313323530118</v>
      </c>
      <c r="I320">
        <f t="shared" si="78"/>
        <v>1.1640056783971064</v>
      </c>
      <c r="J320">
        <f t="shared" si="79"/>
        <v>1.2843448819877452</v>
      </c>
      <c r="K320">
        <f t="shared" si="80"/>
        <v>0.21166487039037304</v>
      </c>
      <c r="L320">
        <f t="shared" si="81"/>
        <v>1.5593367830767453</v>
      </c>
      <c r="M320">
        <f t="shared" si="82"/>
        <v>0.99990257005270244</v>
      </c>
      <c r="N320">
        <f t="shared" si="83"/>
        <v>1.0004857294891418</v>
      </c>
      <c r="O320">
        <v>5.3113407600572666E-3</v>
      </c>
      <c r="P320">
        <v>4.2640495973545207E-3</v>
      </c>
      <c r="Q320">
        <f t="shared" si="84"/>
        <v>1438.7076715414166</v>
      </c>
      <c r="R320">
        <f t="shared" si="85"/>
        <v>1.4387076715414167</v>
      </c>
    </row>
    <row r="321" spans="1:18" x14ac:dyDescent="0.3">
      <c r="A321">
        <v>0.64</v>
      </c>
      <c r="B321" s="4">
        <v>38</v>
      </c>
      <c r="C321">
        <v>-47.467892673501296</v>
      </c>
      <c r="D321">
        <v>1.351015801</v>
      </c>
      <c r="E321">
        <f>$E$320+$R$320</f>
        <v>28.934653600542831</v>
      </c>
      <c r="F321">
        <f t="shared" si="75"/>
        <v>7.8724176145374639E-3</v>
      </c>
      <c r="G321">
        <f t="shared" si="76"/>
        <v>2.4347683343930303E-2</v>
      </c>
      <c r="H321">
        <f t="shared" si="77"/>
        <v>129.03045473412439</v>
      </c>
      <c r="I321">
        <f t="shared" si="78"/>
        <v>1.1555470024317764</v>
      </c>
      <c r="J321">
        <f t="shared" si="79"/>
        <v>1.2927718016312322</v>
      </c>
      <c r="K321">
        <f t="shared" si="80"/>
        <v>0.242581269908174</v>
      </c>
      <c r="L321">
        <f t="shared" si="81"/>
        <v>1.5355586613049197</v>
      </c>
      <c r="M321">
        <f t="shared" si="82"/>
        <v>1.0058639119807256</v>
      </c>
      <c r="N321">
        <f t="shared" si="83"/>
        <v>0.99856697872434719</v>
      </c>
      <c r="O321">
        <v>4.4430607018521402E-3</v>
      </c>
      <c r="P321">
        <v>5.2316053700265487E-3</v>
      </c>
      <c r="Q321">
        <f t="shared" si="84"/>
        <v>1665.0136753498925</v>
      </c>
      <c r="R321">
        <f t="shared" si="85"/>
        <v>1.6650136753498925</v>
      </c>
    </row>
    <row r="322" spans="1:18" x14ac:dyDescent="0.3">
      <c r="A322">
        <v>0.64200000000000002</v>
      </c>
      <c r="B322" s="4"/>
      <c r="C322">
        <v>-47.467892673501296</v>
      </c>
      <c r="D322">
        <v>1.351015801</v>
      </c>
      <c r="E322">
        <f t="shared" ref="E322:E329" si="91">$E$320+$R$320</f>
        <v>28.934653600542831</v>
      </c>
      <c r="F322">
        <f t="shared" si="75"/>
        <v>7.8724176145374639E-3</v>
      </c>
      <c r="G322">
        <f t="shared" si="76"/>
        <v>2.4347683343930303E-2</v>
      </c>
      <c r="H322">
        <f t="shared" si="77"/>
        <v>129.03045473412439</v>
      </c>
      <c r="I322">
        <f t="shared" si="78"/>
        <v>1.1555470024317764</v>
      </c>
      <c r="J322">
        <f t="shared" si="79"/>
        <v>1.2927718016312322</v>
      </c>
      <c r="K322">
        <f t="shared" si="80"/>
        <v>0.242581269908174</v>
      </c>
      <c r="L322">
        <f t="shared" si="81"/>
        <v>1.5355586613049197</v>
      </c>
      <c r="M322">
        <f t="shared" si="82"/>
        <v>1.0016947708795774</v>
      </c>
      <c r="N322">
        <f t="shared" si="83"/>
        <v>0.99930884846632861</v>
      </c>
      <c r="O322">
        <v>4.5812893369754741E-3</v>
      </c>
      <c r="P322">
        <v>5.0964394267127896E-3</v>
      </c>
      <c r="Q322">
        <f t="shared" si="84"/>
        <v>1665.0136753498925</v>
      </c>
      <c r="R322">
        <f t="shared" si="85"/>
        <v>1.6650136753498925</v>
      </c>
    </row>
    <row r="323" spans="1:18" x14ac:dyDescent="0.3">
      <c r="A323">
        <v>0.64400000000000002</v>
      </c>
      <c r="B323" s="4"/>
      <c r="C323">
        <v>-47.467892673501296</v>
      </c>
      <c r="D323">
        <v>1.351015801</v>
      </c>
      <c r="E323">
        <f t="shared" si="91"/>
        <v>28.934653600542831</v>
      </c>
      <c r="F323">
        <f t="shared" ref="F323:F386" si="92">0.0462806*SQRT(E323/1000)</f>
        <v>7.8724176145374639E-3</v>
      </c>
      <c r="G323">
        <f t="shared" ref="G323:G386" si="93">$U$3*F323/2</f>
        <v>2.4347683343930303E-2</v>
      </c>
      <c r="H323">
        <f t="shared" ref="H323:H386" si="94">PI()/G323</f>
        <v>129.03045473412439</v>
      </c>
      <c r="I323">
        <f t="shared" ref="I323:I386" si="95">BESSELI(H323*$Y$5,0)</f>
        <v>1.1555470024317764</v>
      </c>
      <c r="J323">
        <f t="shared" ref="J323:J386" si="96">BESSELI(H323*D323*$Y$5,0)</f>
        <v>1.2927718016312322</v>
      </c>
      <c r="K323">
        <f t="shared" ref="K323:K386" si="97">(D323^2-1)/(D323^2*I323+J323)</f>
        <v>0.242581269908174</v>
      </c>
      <c r="L323">
        <f t="shared" ref="L323:L386" si="98">I323+J323/(D323^2*I323+J323)</f>
        <v>1.5355586613049197</v>
      </c>
      <c r="M323">
        <f t="shared" ref="M323:M386" si="99">((L323*O323^2)/$Y$5^2)+(K323*BESSELI(O323*H323,0)*COS(H323*A323))</f>
        <v>1.00733502617981</v>
      </c>
      <c r="N323">
        <f t="shared" ref="N323:N386" si="100">((L323*P323^2)/$Y$5^2)-(K323*BESSELI(P323*H323,0)*COS(H323*A323))</f>
        <v>1.0081503964183549</v>
      </c>
      <c r="O323">
        <v>4.7585388533716855E-3</v>
      </c>
      <c r="P323">
        <v>4.9613977041456821E-3</v>
      </c>
      <c r="Q323">
        <f t="shared" ref="Q323:Q386" si="101">PI()*K323*$U$4*J323*COS(C323*$Y$7)/(4*$Y$6)</f>
        <v>1665.0136753498925</v>
      </c>
      <c r="R323">
        <f t="shared" ref="R323:R386" si="102">Q323/1000</f>
        <v>1.6650136753498925</v>
      </c>
    </row>
    <row r="324" spans="1:18" x14ac:dyDescent="0.3">
      <c r="A324">
        <v>0.64600000000000002</v>
      </c>
      <c r="B324" s="4"/>
      <c r="C324">
        <v>-47.467892673501296</v>
      </c>
      <c r="D324">
        <v>1.351015801</v>
      </c>
      <c r="E324">
        <f t="shared" si="91"/>
        <v>28.934653600542831</v>
      </c>
      <c r="F324">
        <f t="shared" si="92"/>
        <v>7.8724176145374639E-3</v>
      </c>
      <c r="G324">
        <f t="shared" si="93"/>
        <v>2.4347683343930303E-2</v>
      </c>
      <c r="H324">
        <f t="shared" si="94"/>
        <v>129.03045473412439</v>
      </c>
      <c r="I324">
        <f t="shared" si="95"/>
        <v>1.1555470024317764</v>
      </c>
      <c r="J324">
        <f t="shared" si="96"/>
        <v>1.2927718016312322</v>
      </c>
      <c r="K324">
        <f t="shared" si="97"/>
        <v>0.242581269908174</v>
      </c>
      <c r="L324">
        <f t="shared" si="98"/>
        <v>1.5355586613049197</v>
      </c>
      <c r="M324">
        <f t="shared" si="99"/>
        <v>0.99930983209702917</v>
      </c>
      <c r="N324">
        <f t="shared" si="100"/>
        <v>1.0021046532575</v>
      </c>
      <c r="O324">
        <v>4.9054346437990759E-3</v>
      </c>
      <c r="P324">
        <v>4.781356488111615E-3</v>
      </c>
      <c r="Q324">
        <f t="shared" si="101"/>
        <v>1665.0136753498925</v>
      </c>
      <c r="R324">
        <f t="shared" si="102"/>
        <v>1.6650136753498925</v>
      </c>
    </row>
    <row r="325" spans="1:18" x14ac:dyDescent="0.3">
      <c r="A325">
        <v>0.64800000000000002</v>
      </c>
      <c r="B325" s="4"/>
      <c r="C325">
        <v>-47.467892673501296</v>
      </c>
      <c r="D325">
        <v>1.351015801</v>
      </c>
      <c r="E325">
        <f t="shared" si="91"/>
        <v>28.934653600542831</v>
      </c>
      <c r="F325">
        <f t="shared" si="92"/>
        <v>7.8724176145374639E-3</v>
      </c>
      <c r="G325">
        <f t="shared" si="93"/>
        <v>2.4347683343930303E-2</v>
      </c>
      <c r="H325">
        <f t="shared" si="94"/>
        <v>129.03045473412439</v>
      </c>
      <c r="I325">
        <f t="shared" si="95"/>
        <v>1.1555470024317764</v>
      </c>
      <c r="J325">
        <f t="shared" si="96"/>
        <v>1.2927718016312322</v>
      </c>
      <c r="K325">
        <f t="shared" si="97"/>
        <v>0.242581269908174</v>
      </c>
      <c r="L325">
        <f t="shared" si="98"/>
        <v>1.5355586613049197</v>
      </c>
      <c r="M325">
        <f t="shared" si="99"/>
        <v>0.99839579310217885</v>
      </c>
      <c r="N325">
        <f t="shared" si="100"/>
        <v>1.0063323643071886</v>
      </c>
      <c r="O325">
        <v>5.0622857962032003E-3</v>
      </c>
      <c r="P325">
        <v>4.6270350246431372E-3</v>
      </c>
      <c r="Q325">
        <f t="shared" si="101"/>
        <v>1665.0136753498925</v>
      </c>
      <c r="R325">
        <f t="shared" si="102"/>
        <v>1.6650136753498925</v>
      </c>
    </row>
    <row r="326" spans="1:18" x14ac:dyDescent="0.3">
      <c r="A326">
        <v>0.65</v>
      </c>
      <c r="B326" s="4"/>
      <c r="C326">
        <v>-47.467892673501296</v>
      </c>
      <c r="D326">
        <v>1.351015801</v>
      </c>
      <c r="E326">
        <f t="shared" si="91"/>
        <v>28.934653600542831</v>
      </c>
      <c r="F326">
        <f t="shared" si="92"/>
        <v>7.8724176145374639E-3</v>
      </c>
      <c r="G326">
        <f t="shared" si="93"/>
        <v>2.4347683343930303E-2</v>
      </c>
      <c r="H326">
        <f t="shared" si="94"/>
        <v>129.03045473412439</v>
      </c>
      <c r="I326">
        <f t="shared" si="95"/>
        <v>1.1555470024317764</v>
      </c>
      <c r="J326">
        <f t="shared" si="96"/>
        <v>1.2927718016312322</v>
      </c>
      <c r="K326">
        <f t="shared" si="97"/>
        <v>0.242581269908174</v>
      </c>
      <c r="L326">
        <f t="shared" si="98"/>
        <v>1.5355586613049197</v>
      </c>
      <c r="M326">
        <f t="shared" si="99"/>
        <v>0.997117441140279</v>
      </c>
      <c r="N326">
        <f t="shared" si="100"/>
        <v>1.0020837030155034</v>
      </c>
      <c r="O326">
        <v>5.2010849929436023E-3</v>
      </c>
      <c r="P326">
        <v>4.4633004462222058E-3</v>
      </c>
      <c r="Q326">
        <f t="shared" si="101"/>
        <v>1665.0136753498925</v>
      </c>
      <c r="R326">
        <f t="shared" si="102"/>
        <v>1.6650136753498925</v>
      </c>
    </row>
    <row r="327" spans="1:18" x14ac:dyDescent="0.3">
      <c r="A327">
        <v>0.65200000000000002</v>
      </c>
      <c r="B327" s="4"/>
      <c r="C327">
        <v>-47.467892673501296</v>
      </c>
      <c r="D327">
        <v>1.351015801</v>
      </c>
      <c r="E327">
        <f t="shared" si="91"/>
        <v>28.934653600542831</v>
      </c>
      <c r="F327">
        <f t="shared" si="92"/>
        <v>7.8724176145374639E-3</v>
      </c>
      <c r="G327">
        <f t="shared" si="93"/>
        <v>2.4347683343930303E-2</v>
      </c>
      <c r="H327">
        <f t="shared" si="94"/>
        <v>129.03045473412439</v>
      </c>
      <c r="I327">
        <f t="shared" si="95"/>
        <v>1.1555470024317764</v>
      </c>
      <c r="J327">
        <f t="shared" si="96"/>
        <v>1.2927718016312322</v>
      </c>
      <c r="K327">
        <f t="shared" si="97"/>
        <v>0.242581269908174</v>
      </c>
      <c r="L327">
        <f t="shared" si="98"/>
        <v>1.5355586613049197</v>
      </c>
      <c r="M327">
        <f t="shared" si="99"/>
        <v>0.9944778948189601</v>
      </c>
      <c r="N327">
        <f t="shared" si="100"/>
        <v>1.0002996724594924</v>
      </c>
      <c r="O327">
        <v>5.3113407600572666E-3</v>
      </c>
      <c r="P327">
        <v>4.3285643357441018E-3</v>
      </c>
      <c r="Q327">
        <f t="shared" si="101"/>
        <v>1665.0136753498925</v>
      </c>
      <c r="R327">
        <f t="shared" si="102"/>
        <v>1.6650136753498925</v>
      </c>
    </row>
    <row r="328" spans="1:18" x14ac:dyDescent="0.3">
      <c r="A328">
        <v>0.65400000000000003</v>
      </c>
      <c r="B328" s="4"/>
      <c r="C328">
        <v>-47.467892673501296</v>
      </c>
      <c r="D328">
        <v>1.351015801</v>
      </c>
      <c r="E328">
        <f t="shared" si="91"/>
        <v>28.934653600542831</v>
      </c>
      <c r="F328">
        <f t="shared" si="92"/>
        <v>7.8724176145374639E-3</v>
      </c>
      <c r="G328">
        <f t="shared" si="93"/>
        <v>2.4347683343930303E-2</v>
      </c>
      <c r="H328">
        <f t="shared" si="94"/>
        <v>129.03045473412439</v>
      </c>
      <c r="I328">
        <f t="shared" si="95"/>
        <v>1.1555470024317764</v>
      </c>
      <c r="J328">
        <f t="shared" si="96"/>
        <v>1.2927718016312322</v>
      </c>
      <c r="K328">
        <f t="shared" si="97"/>
        <v>0.242581269908174</v>
      </c>
      <c r="L328">
        <f t="shared" si="98"/>
        <v>1.5355586613049197</v>
      </c>
      <c r="M328">
        <f t="shared" si="99"/>
        <v>1.0040098581232142</v>
      </c>
      <c r="N328">
        <f t="shared" si="100"/>
        <v>0.99665166553823425</v>
      </c>
      <c r="O328">
        <v>5.4165861082965663E-3</v>
      </c>
      <c r="P328">
        <v>4.2218312845094261E-3</v>
      </c>
      <c r="Q328">
        <f t="shared" si="101"/>
        <v>1665.0136753498925</v>
      </c>
      <c r="R328">
        <f t="shared" si="102"/>
        <v>1.6650136753498925</v>
      </c>
    </row>
    <row r="329" spans="1:18" x14ac:dyDescent="0.3">
      <c r="A329">
        <v>0.65600000000000003</v>
      </c>
      <c r="B329" s="4"/>
      <c r="C329">
        <v>-47.467892673501296</v>
      </c>
      <c r="D329">
        <v>1.351015801</v>
      </c>
      <c r="E329">
        <f t="shared" si="91"/>
        <v>28.934653600542831</v>
      </c>
      <c r="F329">
        <f t="shared" si="92"/>
        <v>7.8724176145374639E-3</v>
      </c>
      <c r="G329">
        <f t="shared" si="93"/>
        <v>2.4347683343930303E-2</v>
      </c>
      <c r="H329">
        <f t="shared" si="94"/>
        <v>129.03045473412439</v>
      </c>
      <c r="I329">
        <f t="shared" si="95"/>
        <v>1.1555470024317764</v>
      </c>
      <c r="J329">
        <f t="shared" si="96"/>
        <v>1.2927718016312322</v>
      </c>
      <c r="K329">
        <f t="shared" si="97"/>
        <v>0.242581269908174</v>
      </c>
      <c r="L329">
        <f t="shared" si="98"/>
        <v>1.5355586613049197</v>
      </c>
      <c r="M329">
        <f t="shared" si="99"/>
        <v>1.006325235359234</v>
      </c>
      <c r="N329">
        <f t="shared" si="100"/>
        <v>1.0015155560989684</v>
      </c>
      <c r="O329">
        <v>5.4687634912360672E-3</v>
      </c>
      <c r="P329">
        <v>4.1796129716643315E-3</v>
      </c>
      <c r="Q329">
        <f t="shared" si="101"/>
        <v>1665.0136753498925</v>
      </c>
      <c r="R329">
        <f t="shared" si="102"/>
        <v>1.6650136753498925</v>
      </c>
    </row>
    <row r="330" spans="1:18" x14ac:dyDescent="0.3">
      <c r="A330">
        <v>0.65800000000000003</v>
      </c>
      <c r="B330" s="4">
        <v>39</v>
      </c>
      <c r="C330">
        <v>-47.2993716265849</v>
      </c>
      <c r="D330">
        <v>1.4006772009999999</v>
      </c>
      <c r="E330">
        <f>$E$329+$R$329</f>
        <v>30.599667275892724</v>
      </c>
      <c r="F330">
        <f t="shared" si="92"/>
        <v>8.0957545536452704E-3</v>
      </c>
      <c r="G330">
        <f t="shared" si="93"/>
        <v>2.5038416145294652E-2</v>
      </c>
      <c r="H330">
        <f t="shared" si="94"/>
        <v>125.4709018078277</v>
      </c>
      <c r="I330">
        <f t="shared" si="95"/>
        <v>1.1467849688022034</v>
      </c>
      <c r="J330">
        <f t="shared" si="96"/>
        <v>1.2978988391923065</v>
      </c>
      <c r="K330">
        <f t="shared" si="97"/>
        <v>0.27112692538223104</v>
      </c>
      <c r="L330">
        <f t="shared" si="98"/>
        <v>1.5126198349386195</v>
      </c>
      <c r="M330">
        <f t="shared" si="99"/>
        <v>1.0048775918088655</v>
      </c>
      <c r="N330">
        <f t="shared" si="100"/>
        <v>0.99786920949403968</v>
      </c>
      <c r="O330">
        <v>4.4130392307857183E-3</v>
      </c>
      <c r="P330">
        <v>5.323588139193103E-3</v>
      </c>
      <c r="Q330">
        <f t="shared" si="101"/>
        <v>1874.3059971700043</v>
      </c>
      <c r="R330">
        <f t="shared" si="102"/>
        <v>1.8743059971700042</v>
      </c>
    </row>
    <row r="331" spans="1:18" x14ac:dyDescent="0.3">
      <c r="A331">
        <v>0.66</v>
      </c>
      <c r="B331" s="4"/>
      <c r="C331">
        <v>-47.2993716265849</v>
      </c>
      <c r="D331">
        <v>1.4006772009999999</v>
      </c>
      <c r="E331">
        <f t="shared" ref="E331:E342" si="103">$E$329+$R$329</f>
        <v>30.599667275892724</v>
      </c>
      <c r="F331">
        <f t="shared" si="92"/>
        <v>8.0957545536452704E-3</v>
      </c>
      <c r="G331">
        <f t="shared" si="93"/>
        <v>2.5038416145294652E-2</v>
      </c>
      <c r="H331">
        <f t="shared" si="94"/>
        <v>125.4709018078277</v>
      </c>
      <c r="I331">
        <f t="shared" si="95"/>
        <v>1.1467849688022034</v>
      </c>
      <c r="J331">
        <f t="shared" si="96"/>
        <v>1.2978988391923065</v>
      </c>
      <c r="K331">
        <f t="shared" si="97"/>
        <v>0.27112692538223104</v>
      </c>
      <c r="L331">
        <f t="shared" si="98"/>
        <v>1.5126198349386195</v>
      </c>
      <c r="M331">
        <f t="shared" si="99"/>
        <v>1.0013000186061813</v>
      </c>
      <c r="N331">
        <f t="shared" si="100"/>
        <v>0.99890724116515384</v>
      </c>
      <c r="O331">
        <v>4.5654321880763847E-3</v>
      </c>
      <c r="P331">
        <v>5.1797045319880389E-3</v>
      </c>
      <c r="Q331">
        <f t="shared" si="101"/>
        <v>1874.3059971700043</v>
      </c>
      <c r="R331">
        <f t="shared" si="102"/>
        <v>1.8743059971700042</v>
      </c>
    </row>
    <row r="332" spans="1:18" x14ac:dyDescent="0.3">
      <c r="A332">
        <v>0.66200000000000003</v>
      </c>
      <c r="B332" s="4"/>
      <c r="C332">
        <v>-47.2993716265849</v>
      </c>
      <c r="D332">
        <v>1.4006772009999999</v>
      </c>
      <c r="E332">
        <f t="shared" si="103"/>
        <v>30.599667275892724</v>
      </c>
      <c r="F332">
        <f t="shared" si="92"/>
        <v>8.0957545536452704E-3</v>
      </c>
      <c r="G332">
        <f t="shared" si="93"/>
        <v>2.5038416145294652E-2</v>
      </c>
      <c r="H332">
        <f t="shared" si="94"/>
        <v>125.4709018078277</v>
      </c>
      <c r="I332">
        <f t="shared" si="95"/>
        <v>1.1467849688022034</v>
      </c>
      <c r="J332">
        <f t="shared" si="96"/>
        <v>1.2978988391923065</v>
      </c>
      <c r="K332">
        <f t="shared" si="97"/>
        <v>0.27112692538223104</v>
      </c>
      <c r="L332">
        <f t="shared" si="98"/>
        <v>1.5126198349386195</v>
      </c>
      <c r="M332">
        <f t="shared" si="99"/>
        <v>1.007213089236725</v>
      </c>
      <c r="N332">
        <f t="shared" si="100"/>
        <v>0.99961096560932028</v>
      </c>
      <c r="O332">
        <v>4.7579947646908052E-3</v>
      </c>
      <c r="P332">
        <v>5.0135828100649179E-3</v>
      </c>
      <c r="Q332">
        <f t="shared" si="101"/>
        <v>1874.3059971700043</v>
      </c>
      <c r="R332">
        <f t="shared" si="102"/>
        <v>1.8743059971700042</v>
      </c>
    </row>
    <row r="333" spans="1:18" x14ac:dyDescent="0.3">
      <c r="A333">
        <v>0.66400000000000003</v>
      </c>
      <c r="B333" s="4"/>
      <c r="C333">
        <v>-47.2993716265849</v>
      </c>
      <c r="D333">
        <v>1.4006772009999999</v>
      </c>
      <c r="E333">
        <f t="shared" si="103"/>
        <v>30.599667275892724</v>
      </c>
      <c r="F333">
        <f t="shared" si="92"/>
        <v>8.0957545536452704E-3</v>
      </c>
      <c r="G333">
        <f t="shared" si="93"/>
        <v>2.5038416145294652E-2</v>
      </c>
      <c r="H333">
        <f t="shared" si="94"/>
        <v>125.4709018078277</v>
      </c>
      <c r="I333">
        <f t="shared" si="95"/>
        <v>1.1467849688022034</v>
      </c>
      <c r="J333">
        <f t="shared" si="96"/>
        <v>1.2978988391923065</v>
      </c>
      <c r="K333">
        <f t="shared" si="97"/>
        <v>0.27112692538223104</v>
      </c>
      <c r="L333">
        <f t="shared" si="98"/>
        <v>1.5126198349386195</v>
      </c>
      <c r="M333">
        <f t="shared" si="99"/>
        <v>0.99925342893367075</v>
      </c>
      <c r="N333">
        <f t="shared" si="100"/>
        <v>1.003851975570536</v>
      </c>
      <c r="O333">
        <v>4.9203694772543046E-3</v>
      </c>
      <c r="P333">
        <v>4.8440277924747159E-3</v>
      </c>
      <c r="Q333">
        <f t="shared" si="101"/>
        <v>1874.3059971700043</v>
      </c>
      <c r="R333">
        <f t="shared" si="102"/>
        <v>1.8743059971700042</v>
      </c>
    </row>
    <row r="334" spans="1:18" x14ac:dyDescent="0.3">
      <c r="A334">
        <v>0.66600000000000004</v>
      </c>
      <c r="B334" s="4"/>
      <c r="C334">
        <v>-47.2993716265849</v>
      </c>
      <c r="D334">
        <v>1.4006772009999999</v>
      </c>
      <c r="E334">
        <f t="shared" si="103"/>
        <v>30.599667275892724</v>
      </c>
      <c r="F334">
        <f t="shared" si="92"/>
        <v>8.0957545536452704E-3</v>
      </c>
      <c r="G334">
        <f t="shared" si="93"/>
        <v>2.5038416145294652E-2</v>
      </c>
      <c r="H334">
        <f t="shared" si="94"/>
        <v>125.4709018078277</v>
      </c>
      <c r="I334">
        <f t="shared" si="95"/>
        <v>1.1467849688022034</v>
      </c>
      <c r="J334">
        <f t="shared" si="96"/>
        <v>1.2978988391923065</v>
      </c>
      <c r="K334">
        <f t="shared" si="97"/>
        <v>0.27112692538223104</v>
      </c>
      <c r="L334">
        <f t="shared" si="98"/>
        <v>1.5126198349386195</v>
      </c>
      <c r="M334">
        <f t="shared" si="99"/>
        <v>0.99817648021866101</v>
      </c>
      <c r="N334">
        <f t="shared" si="100"/>
        <v>1.0078119411967237</v>
      </c>
      <c r="O334">
        <v>5.0931918218662673E-3</v>
      </c>
      <c r="P334">
        <v>4.6727859910207841E-3</v>
      </c>
      <c r="Q334">
        <f t="shared" si="101"/>
        <v>1874.3059971700043</v>
      </c>
      <c r="R334">
        <f t="shared" si="102"/>
        <v>1.8743059971700042</v>
      </c>
    </row>
    <row r="335" spans="1:18" x14ac:dyDescent="0.3">
      <c r="A335">
        <v>0.66800000000000004</v>
      </c>
      <c r="B335" s="4"/>
      <c r="C335">
        <v>-47.2993716265849</v>
      </c>
      <c r="D335">
        <v>1.4006772009999999</v>
      </c>
      <c r="E335">
        <f t="shared" si="103"/>
        <v>30.599667275892724</v>
      </c>
      <c r="F335">
        <f t="shared" si="92"/>
        <v>8.0957545536452704E-3</v>
      </c>
      <c r="G335">
        <f t="shared" si="93"/>
        <v>2.5038416145294652E-2</v>
      </c>
      <c r="H335">
        <f t="shared" si="94"/>
        <v>125.4709018078277</v>
      </c>
      <c r="I335">
        <f t="shared" si="95"/>
        <v>1.1467849688022034</v>
      </c>
      <c r="J335">
        <f t="shared" si="96"/>
        <v>1.2978988391923065</v>
      </c>
      <c r="K335">
        <f t="shared" si="97"/>
        <v>0.27112692538223104</v>
      </c>
      <c r="L335">
        <f t="shared" si="98"/>
        <v>1.5126198349386195</v>
      </c>
      <c r="M335">
        <f t="shared" si="99"/>
        <v>0.9981453937563729</v>
      </c>
      <c r="N335">
        <f t="shared" si="100"/>
        <v>1.0025409681308468</v>
      </c>
      <c r="O335">
        <v>5.2516505217693847E-3</v>
      </c>
      <c r="P335">
        <v>4.4879351318909211E-3</v>
      </c>
      <c r="Q335">
        <f t="shared" si="101"/>
        <v>1874.3059971700043</v>
      </c>
      <c r="R335">
        <f t="shared" si="102"/>
        <v>1.8743059971700042</v>
      </c>
    </row>
    <row r="336" spans="1:18" x14ac:dyDescent="0.3">
      <c r="A336">
        <v>0.67</v>
      </c>
      <c r="B336" s="4"/>
      <c r="C336">
        <v>-47.2993716265849</v>
      </c>
      <c r="D336">
        <v>1.4006772009999999</v>
      </c>
      <c r="E336">
        <f t="shared" si="103"/>
        <v>30.599667275892724</v>
      </c>
      <c r="F336">
        <f t="shared" si="92"/>
        <v>8.0957545536452704E-3</v>
      </c>
      <c r="G336">
        <f t="shared" si="93"/>
        <v>2.5038416145294652E-2</v>
      </c>
      <c r="H336">
        <f t="shared" si="94"/>
        <v>125.4709018078277</v>
      </c>
      <c r="I336">
        <f t="shared" si="95"/>
        <v>1.1467849688022034</v>
      </c>
      <c r="J336">
        <f t="shared" si="96"/>
        <v>1.2978988391923065</v>
      </c>
      <c r="K336">
        <f t="shared" si="97"/>
        <v>0.27112692538223104</v>
      </c>
      <c r="L336">
        <f t="shared" si="98"/>
        <v>1.5126198349386195</v>
      </c>
      <c r="M336">
        <f t="shared" si="99"/>
        <v>1.0031105265682418</v>
      </c>
      <c r="N336">
        <f t="shared" si="100"/>
        <v>1.0003211261309015</v>
      </c>
      <c r="O336">
        <v>5.3958235512727489E-3</v>
      </c>
      <c r="P336">
        <v>4.3320187058314766E-3</v>
      </c>
      <c r="Q336">
        <f t="shared" si="101"/>
        <v>1874.3059971700043</v>
      </c>
      <c r="R336">
        <f t="shared" si="102"/>
        <v>1.8743059971700042</v>
      </c>
    </row>
    <row r="337" spans="1:18" x14ac:dyDescent="0.3">
      <c r="A337">
        <v>0.67200000000000004</v>
      </c>
      <c r="B337" s="4"/>
      <c r="C337">
        <v>-47.2993716265849</v>
      </c>
      <c r="D337">
        <v>1.4006772009999999</v>
      </c>
      <c r="E337">
        <f t="shared" si="103"/>
        <v>30.599667275892724</v>
      </c>
      <c r="F337">
        <f t="shared" si="92"/>
        <v>8.0957545536452704E-3</v>
      </c>
      <c r="G337">
        <f t="shared" si="93"/>
        <v>2.5038416145294652E-2</v>
      </c>
      <c r="H337">
        <f t="shared" si="94"/>
        <v>125.4709018078277</v>
      </c>
      <c r="I337">
        <f t="shared" si="95"/>
        <v>1.1467849688022034</v>
      </c>
      <c r="J337">
        <f t="shared" si="96"/>
        <v>1.2978988391923065</v>
      </c>
      <c r="K337">
        <f t="shared" si="97"/>
        <v>0.27112692538223104</v>
      </c>
      <c r="L337">
        <f t="shared" si="98"/>
        <v>1.5126198349386195</v>
      </c>
      <c r="M337">
        <f t="shared" si="99"/>
        <v>1.0080663925591122</v>
      </c>
      <c r="N337">
        <f t="shared" si="100"/>
        <v>1.0029130418247332</v>
      </c>
      <c r="O337">
        <v>5.5070895038517916E-3</v>
      </c>
      <c r="P337">
        <v>4.2218312845094261E-3</v>
      </c>
      <c r="Q337">
        <f t="shared" si="101"/>
        <v>1874.3059971700043</v>
      </c>
      <c r="R337">
        <f t="shared" si="102"/>
        <v>1.8743059971700042</v>
      </c>
    </row>
    <row r="338" spans="1:18" x14ac:dyDescent="0.3">
      <c r="A338">
        <v>0.67400000000000004</v>
      </c>
      <c r="B338" s="4"/>
      <c r="C338">
        <v>-47.2993716265849</v>
      </c>
      <c r="D338">
        <v>1.4006772009999999</v>
      </c>
      <c r="E338">
        <f t="shared" si="103"/>
        <v>30.599667275892724</v>
      </c>
      <c r="F338">
        <f t="shared" si="92"/>
        <v>8.0957545536452704E-3</v>
      </c>
      <c r="G338">
        <f t="shared" si="93"/>
        <v>2.5038416145294652E-2</v>
      </c>
      <c r="H338">
        <f t="shared" si="94"/>
        <v>125.4709018078277</v>
      </c>
      <c r="I338">
        <f t="shared" si="95"/>
        <v>1.1467849688022034</v>
      </c>
      <c r="J338">
        <f t="shared" si="96"/>
        <v>1.2978988391923065</v>
      </c>
      <c r="K338">
        <f t="shared" si="97"/>
        <v>0.27112692538223104</v>
      </c>
      <c r="L338">
        <f t="shared" si="98"/>
        <v>1.5126198349386195</v>
      </c>
      <c r="M338">
        <f t="shared" si="99"/>
        <v>0.99974279013041922</v>
      </c>
      <c r="N338">
        <f t="shared" si="100"/>
        <v>1.0001447404346928</v>
      </c>
      <c r="O338">
        <v>5.5513268697455079E-3</v>
      </c>
      <c r="P338">
        <v>4.1390835393839724E-3</v>
      </c>
      <c r="Q338">
        <f t="shared" si="101"/>
        <v>1874.3059971700043</v>
      </c>
      <c r="R338">
        <f t="shared" si="102"/>
        <v>1.8743059971700042</v>
      </c>
    </row>
    <row r="339" spans="1:18" x14ac:dyDescent="0.3">
      <c r="A339">
        <v>0.67600000000000005</v>
      </c>
      <c r="B339" s="4"/>
      <c r="C339">
        <v>-47.2993716265849</v>
      </c>
      <c r="D339">
        <v>1.4006772009999999</v>
      </c>
      <c r="E339">
        <f t="shared" si="103"/>
        <v>30.599667275892724</v>
      </c>
      <c r="F339">
        <f t="shared" si="92"/>
        <v>8.0957545536452704E-3</v>
      </c>
      <c r="G339">
        <f t="shared" si="93"/>
        <v>2.5038416145294652E-2</v>
      </c>
      <c r="H339">
        <f t="shared" si="94"/>
        <v>125.4709018078277</v>
      </c>
      <c r="I339">
        <f t="shared" si="95"/>
        <v>1.1467849688022034</v>
      </c>
      <c r="J339">
        <f t="shared" si="96"/>
        <v>1.2978988391923065</v>
      </c>
      <c r="K339">
        <f t="shared" si="97"/>
        <v>0.27112692538223104</v>
      </c>
      <c r="L339">
        <f t="shared" si="98"/>
        <v>1.5126198349386195</v>
      </c>
      <c r="M339">
        <f t="shared" si="99"/>
        <v>0.99968761094771375</v>
      </c>
      <c r="N339">
        <f t="shared" si="100"/>
        <v>1.0003123267828999</v>
      </c>
      <c r="O339">
        <v>5.5729893192520861E-3</v>
      </c>
      <c r="P339">
        <v>4.1131090612678504E-3</v>
      </c>
      <c r="Q339">
        <f t="shared" si="101"/>
        <v>1874.3059971700043</v>
      </c>
      <c r="R339">
        <f t="shared" si="102"/>
        <v>1.8743059971700042</v>
      </c>
    </row>
    <row r="340" spans="1:18" x14ac:dyDescent="0.3">
      <c r="A340">
        <v>0.67800000000000005</v>
      </c>
      <c r="B340" s="4"/>
      <c r="C340">
        <v>-47.2993716265849</v>
      </c>
      <c r="D340">
        <v>1.4006772009999999</v>
      </c>
      <c r="E340">
        <f t="shared" si="103"/>
        <v>30.599667275892724</v>
      </c>
      <c r="F340">
        <f t="shared" si="92"/>
        <v>8.0957545536452704E-3</v>
      </c>
      <c r="G340">
        <f t="shared" si="93"/>
        <v>2.5038416145294652E-2</v>
      </c>
      <c r="H340">
        <f t="shared" si="94"/>
        <v>125.4709018078277</v>
      </c>
      <c r="I340">
        <f t="shared" si="95"/>
        <v>1.1467849688022034</v>
      </c>
      <c r="J340">
        <f t="shared" si="96"/>
        <v>1.2978988391923065</v>
      </c>
      <c r="K340">
        <f t="shared" si="97"/>
        <v>0.27112692538223104</v>
      </c>
      <c r="L340">
        <f t="shared" si="98"/>
        <v>1.5126198349386195</v>
      </c>
      <c r="M340">
        <f t="shared" si="99"/>
        <v>0.99973905329354662</v>
      </c>
      <c r="N340">
        <f t="shared" si="100"/>
        <v>1.000154778571164</v>
      </c>
      <c r="O340">
        <v>5.5528762803193528E-3</v>
      </c>
      <c r="P340">
        <v>4.1372266134878412E-3</v>
      </c>
      <c r="Q340">
        <f t="shared" si="101"/>
        <v>1874.3059971700043</v>
      </c>
      <c r="R340">
        <f t="shared" si="102"/>
        <v>1.8743059971700042</v>
      </c>
    </row>
    <row r="341" spans="1:18" x14ac:dyDescent="0.3">
      <c r="A341">
        <v>0.68</v>
      </c>
      <c r="B341" s="4"/>
      <c r="C341">
        <v>-47.2993716265849</v>
      </c>
      <c r="D341">
        <v>1.4006772009999999</v>
      </c>
      <c r="E341">
        <f t="shared" si="103"/>
        <v>30.599667275892724</v>
      </c>
      <c r="F341">
        <f t="shared" si="92"/>
        <v>8.0957545536452704E-3</v>
      </c>
      <c r="G341">
        <f t="shared" si="93"/>
        <v>2.5038416145294652E-2</v>
      </c>
      <c r="H341">
        <f t="shared" si="94"/>
        <v>125.4709018078277</v>
      </c>
      <c r="I341">
        <f t="shared" si="95"/>
        <v>1.1467849688022034</v>
      </c>
      <c r="J341">
        <f t="shared" si="96"/>
        <v>1.2978988391923065</v>
      </c>
      <c r="K341">
        <f t="shared" si="97"/>
        <v>0.27112692538223104</v>
      </c>
      <c r="L341">
        <f t="shared" si="98"/>
        <v>1.5126198349386195</v>
      </c>
      <c r="M341">
        <f t="shared" si="99"/>
        <v>1.0082329201612998</v>
      </c>
      <c r="N341">
        <f t="shared" si="100"/>
        <v>1.0042188187194654</v>
      </c>
      <c r="O341">
        <v>5.5104861630419985E-3</v>
      </c>
      <c r="P341">
        <v>4.2218312845094261E-3</v>
      </c>
      <c r="Q341">
        <f t="shared" si="101"/>
        <v>1874.3059971700043</v>
      </c>
      <c r="R341">
        <f t="shared" si="102"/>
        <v>1.8743059971700042</v>
      </c>
    </row>
    <row r="342" spans="1:18" x14ac:dyDescent="0.3">
      <c r="A342">
        <v>0.68200000000000005</v>
      </c>
      <c r="B342" s="4"/>
      <c r="C342">
        <v>-47.2993716265849</v>
      </c>
      <c r="D342">
        <v>1.4006772009999999</v>
      </c>
      <c r="E342">
        <f t="shared" si="103"/>
        <v>30.599667275892724</v>
      </c>
      <c r="F342">
        <f t="shared" si="92"/>
        <v>8.0957545536452704E-3</v>
      </c>
      <c r="G342">
        <f t="shared" si="93"/>
        <v>2.5038416145294652E-2</v>
      </c>
      <c r="H342">
        <f t="shared" si="94"/>
        <v>125.4709018078277</v>
      </c>
      <c r="I342">
        <f t="shared" si="95"/>
        <v>1.1467849688022034</v>
      </c>
      <c r="J342">
        <f t="shared" si="96"/>
        <v>1.2978988391923065</v>
      </c>
      <c r="K342">
        <f t="shared" si="97"/>
        <v>0.27112692538223104</v>
      </c>
      <c r="L342">
        <f t="shared" si="98"/>
        <v>1.5126198349386195</v>
      </c>
      <c r="M342">
        <f t="shared" si="99"/>
        <v>1.0033037847196378</v>
      </c>
      <c r="N342">
        <f t="shared" si="100"/>
        <v>1.0002831563084069</v>
      </c>
      <c r="O342">
        <v>5.4006124133161365E-3</v>
      </c>
      <c r="P342">
        <v>4.3268942755758742E-3</v>
      </c>
      <c r="Q342">
        <f t="shared" si="101"/>
        <v>1874.3059971700043</v>
      </c>
      <c r="R342">
        <f t="shared" si="102"/>
        <v>1.8743059971700042</v>
      </c>
    </row>
    <row r="343" spans="1:18" x14ac:dyDescent="0.3">
      <c r="A343">
        <v>0.68400000000000005</v>
      </c>
      <c r="B343" s="4">
        <v>40</v>
      </c>
      <c r="C343">
        <v>-47.100210389319997</v>
      </c>
      <c r="D343">
        <v>1.448081264</v>
      </c>
      <c r="E343">
        <f>$E$342+$R$342</f>
        <v>32.473973273062725</v>
      </c>
      <c r="F343">
        <f t="shared" si="92"/>
        <v>8.3400123766748553E-3</v>
      </c>
      <c r="G343">
        <f t="shared" si="93"/>
        <v>2.5793852711365532E-2</v>
      </c>
      <c r="H343">
        <f t="shared" si="94"/>
        <v>121.7961771257814</v>
      </c>
      <c r="I343">
        <f t="shared" si="95"/>
        <v>1.1380315483845143</v>
      </c>
      <c r="J343">
        <f t="shared" si="96"/>
        <v>1.30017446094435</v>
      </c>
      <c r="K343">
        <f t="shared" si="97"/>
        <v>0.29755112173388715</v>
      </c>
      <c r="L343">
        <f t="shared" si="98"/>
        <v>1.4907113663795961</v>
      </c>
      <c r="M343">
        <f t="shared" si="99"/>
        <v>0.99908840519801667</v>
      </c>
      <c r="N343">
        <f t="shared" si="100"/>
        <v>1.0050001136184252</v>
      </c>
      <c r="O343">
        <v>4.9568326594394427E-3</v>
      </c>
      <c r="P343">
        <v>4.8814750063959824E-3</v>
      </c>
      <c r="Q343">
        <f t="shared" si="101"/>
        <v>2068.3329620096461</v>
      </c>
      <c r="R343">
        <f t="shared" si="102"/>
        <v>2.068332962009646</v>
      </c>
    </row>
    <row r="344" spans="1:18" x14ac:dyDescent="0.3">
      <c r="A344">
        <v>0.68600000000000005</v>
      </c>
      <c r="B344" s="4"/>
      <c r="C344">
        <v>-47.100210389319997</v>
      </c>
      <c r="D344">
        <v>1.448081264</v>
      </c>
      <c r="E344">
        <f t="shared" ref="E344:E354" si="104">$E$342+$R$342</f>
        <v>32.473973273062725</v>
      </c>
      <c r="F344">
        <f t="shared" si="92"/>
        <v>8.3400123766748553E-3</v>
      </c>
      <c r="G344">
        <f t="shared" si="93"/>
        <v>2.5793852711365532E-2</v>
      </c>
      <c r="H344">
        <f t="shared" si="94"/>
        <v>121.7961771257814</v>
      </c>
      <c r="I344">
        <f t="shared" si="95"/>
        <v>1.1380315483845143</v>
      </c>
      <c r="J344">
        <f t="shared" si="96"/>
        <v>1.30017446094435</v>
      </c>
      <c r="K344">
        <f t="shared" si="97"/>
        <v>0.29755112173388715</v>
      </c>
      <c r="L344">
        <f t="shared" si="98"/>
        <v>1.4907113663795961</v>
      </c>
      <c r="M344">
        <f t="shared" si="99"/>
        <v>0.99778509825996708</v>
      </c>
      <c r="N344">
        <f t="shared" si="100"/>
        <v>1.0045985548180847</v>
      </c>
      <c r="O344">
        <v>5.1412735328014644E-3</v>
      </c>
      <c r="P344">
        <v>4.6862327258054629E-3</v>
      </c>
      <c r="Q344">
        <f t="shared" si="101"/>
        <v>2068.3329620096461</v>
      </c>
      <c r="R344">
        <f t="shared" si="102"/>
        <v>2.068332962009646</v>
      </c>
    </row>
    <row r="345" spans="1:18" x14ac:dyDescent="0.3">
      <c r="A345">
        <v>0.68799999999999994</v>
      </c>
      <c r="B345" s="4"/>
      <c r="C345">
        <v>-47.100210389319997</v>
      </c>
      <c r="D345">
        <v>1.448081264</v>
      </c>
      <c r="E345">
        <f t="shared" si="104"/>
        <v>32.473973273062725</v>
      </c>
      <c r="F345">
        <f t="shared" si="92"/>
        <v>8.3400123766748553E-3</v>
      </c>
      <c r="G345">
        <f t="shared" si="93"/>
        <v>2.5793852711365532E-2</v>
      </c>
      <c r="H345">
        <f t="shared" si="94"/>
        <v>121.7961771257814</v>
      </c>
      <c r="I345">
        <f t="shared" si="95"/>
        <v>1.1380315483845143</v>
      </c>
      <c r="J345">
        <f t="shared" si="96"/>
        <v>1.30017446094435</v>
      </c>
      <c r="K345">
        <f t="shared" si="97"/>
        <v>0.29755112173388715</v>
      </c>
      <c r="L345">
        <f t="shared" si="98"/>
        <v>1.4907113663795961</v>
      </c>
      <c r="M345">
        <f t="shared" si="99"/>
        <v>0.9977355382829558</v>
      </c>
      <c r="N345">
        <f t="shared" si="100"/>
        <v>1.0026730801840356</v>
      </c>
      <c r="O345">
        <v>5.3113407600572666E-3</v>
      </c>
      <c r="P345">
        <v>4.4959816088380447E-3</v>
      </c>
      <c r="Q345">
        <f t="shared" si="101"/>
        <v>2068.3329620096461</v>
      </c>
      <c r="R345">
        <f t="shared" si="102"/>
        <v>2.068332962009646</v>
      </c>
    </row>
    <row r="346" spans="1:18" x14ac:dyDescent="0.3">
      <c r="A346">
        <v>0.69</v>
      </c>
      <c r="B346" s="4"/>
      <c r="C346">
        <v>-47.100210389319997</v>
      </c>
      <c r="D346">
        <v>1.448081264</v>
      </c>
      <c r="E346">
        <f t="shared" si="104"/>
        <v>32.473973273062725</v>
      </c>
      <c r="F346">
        <f t="shared" si="92"/>
        <v>8.3400123766748553E-3</v>
      </c>
      <c r="G346">
        <f t="shared" si="93"/>
        <v>2.5793852711365532E-2</v>
      </c>
      <c r="H346">
        <f t="shared" si="94"/>
        <v>121.7961771257814</v>
      </c>
      <c r="I346">
        <f t="shared" si="95"/>
        <v>1.1380315483845143</v>
      </c>
      <c r="J346">
        <f t="shared" si="96"/>
        <v>1.30017446094435</v>
      </c>
      <c r="K346">
        <f t="shared" si="97"/>
        <v>0.29755112173388715</v>
      </c>
      <c r="L346">
        <f t="shared" si="98"/>
        <v>1.4907113663795961</v>
      </c>
      <c r="M346">
        <f t="shared" si="99"/>
        <v>1.0064694817213178</v>
      </c>
      <c r="N346">
        <f t="shared" si="100"/>
        <v>1.0002666626778878</v>
      </c>
      <c r="O346">
        <v>5.4751786963651815E-3</v>
      </c>
      <c r="P346">
        <v>4.3251230918646723E-3</v>
      </c>
      <c r="Q346">
        <f t="shared" si="101"/>
        <v>2068.3329620096461</v>
      </c>
      <c r="R346">
        <f t="shared" si="102"/>
        <v>2.068332962009646</v>
      </c>
    </row>
    <row r="347" spans="1:18" x14ac:dyDescent="0.3">
      <c r="A347">
        <v>0.69199999999999995</v>
      </c>
      <c r="B347" s="4"/>
      <c r="C347">
        <v>-47.100210389319997</v>
      </c>
      <c r="D347">
        <v>1.448081264</v>
      </c>
      <c r="E347">
        <f t="shared" si="104"/>
        <v>32.473973273062725</v>
      </c>
      <c r="F347">
        <f t="shared" si="92"/>
        <v>8.3400123766748553E-3</v>
      </c>
      <c r="G347">
        <f t="shared" si="93"/>
        <v>2.5793852711365532E-2</v>
      </c>
      <c r="H347">
        <f t="shared" si="94"/>
        <v>121.7961771257814</v>
      </c>
      <c r="I347">
        <f t="shared" si="95"/>
        <v>1.1380315483845143</v>
      </c>
      <c r="J347">
        <f t="shared" si="96"/>
        <v>1.30017446094435</v>
      </c>
      <c r="K347">
        <f t="shared" si="97"/>
        <v>0.29755112173388715</v>
      </c>
      <c r="L347">
        <f t="shared" si="98"/>
        <v>1.4907113663795961</v>
      </c>
      <c r="M347">
        <f t="shared" si="99"/>
        <v>0.99969643493238447</v>
      </c>
      <c r="N347">
        <f t="shared" si="100"/>
        <v>0.99538284366417273</v>
      </c>
      <c r="O347">
        <v>5.5709355265548006E-3</v>
      </c>
      <c r="P347">
        <v>4.1796129716643315E-3</v>
      </c>
      <c r="Q347">
        <f t="shared" si="101"/>
        <v>2068.3329620096461</v>
      </c>
      <c r="R347">
        <f t="shared" si="102"/>
        <v>2.068332962009646</v>
      </c>
    </row>
    <row r="348" spans="1:18" x14ac:dyDescent="0.3">
      <c r="A348">
        <v>0.69399999999999995</v>
      </c>
      <c r="B348" s="4"/>
      <c r="C348">
        <v>-47.100210389319997</v>
      </c>
      <c r="D348">
        <v>1.448081264</v>
      </c>
      <c r="E348">
        <f t="shared" si="104"/>
        <v>32.473973273062725</v>
      </c>
      <c r="F348">
        <f t="shared" si="92"/>
        <v>8.3400123766748553E-3</v>
      </c>
      <c r="G348">
        <f t="shared" si="93"/>
        <v>2.5793852711365532E-2</v>
      </c>
      <c r="H348">
        <f t="shared" si="94"/>
        <v>121.7961771257814</v>
      </c>
      <c r="I348">
        <f t="shared" si="95"/>
        <v>1.1380315483845143</v>
      </c>
      <c r="J348">
        <f t="shared" si="96"/>
        <v>1.30017446094435</v>
      </c>
      <c r="K348">
        <f t="shared" si="97"/>
        <v>0.29755112173388715</v>
      </c>
      <c r="L348">
        <f t="shared" si="98"/>
        <v>1.4907113663795961</v>
      </c>
      <c r="M348">
        <f t="shared" si="99"/>
        <v>0.99946858726725274</v>
      </c>
      <c r="N348">
        <f t="shared" si="100"/>
        <v>1.0003720311075939</v>
      </c>
      <c r="O348">
        <v>5.6431257987802569E-3</v>
      </c>
      <c r="P348">
        <v>4.1048820962403618E-3</v>
      </c>
      <c r="Q348">
        <f t="shared" si="101"/>
        <v>2068.3329620096461</v>
      </c>
      <c r="R348">
        <f t="shared" si="102"/>
        <v>2.068332962009646</v>
      </c>
    </row>
    <row r="349" spans="1:18" x14ac:dyDescent="0.3">
      <c r="A349">
        <v>0.69599999999999995</v>
      </c>
      <c r="B349" s="4"/>
      <c r="C349">
        <v>-47.100210389319997</v>
      </c>
      <c r="D349">
        <v>1.448081264</v>
      </c>
      <c r="E349">
        <f t="shared" si="104"/>
        <v>32.473973273062725</v>
      </c>
      <c r="F349">
        <f t="shared" si="92"/>
        <v>8.3400123766748553E-3</v>
      </c>
      <c r="G349">
        <f t="shared" si="93"/>
        <v>2.5793852711365532E-2</v>
      </c>
      <c r="H349">
        <f t="shared" si="94"/>
        <v>121.7961771257814</v>
      </c>
      <c r="I349">
        <f t="shared" si="95"/>
        <v>1.1380315483845143</v>
      </c>
      <c r="J349">
        <f t="shared" si="96"/>
        <v>1.30017446094435</v>
      </c>
      <c r="K349">
        <f t="shared" si="97"/>
        <v>0.29755112173388715</v>
      </c>
      <c r="L349">
        <f t="shared" si="98"/>
        <v>1.4907113663795961</v>
      </c>
      <c r="M349">
        <f t="shared" si="99"/>
        <v>0.99934764707722168</v>
      </c>
      <c r="N349">
        <f t="shared" si="100"/>
        <v>1.0007373627925962</v>
      </c>
      <c r="O349">
        <v>5.6738055189539203E-3</v>
      </c>
      <c r="P349">
        <v>4.0675038521608472E-3</v>
      </c>
      <c r="Q349">
        <f t="shared" si="101"/>
        <v>2068.3329620096461</v>
      </c>
      <c r="R349">
        <f t="shared" si="102"/>
        <v>2.068332962009646</v>
      </c>
    </row>
    <row r="350" spans="1:18" x14ac:dyDescent="0.3">
      <c r="A350">
        <v>0.69799999999999995</v>
      </c>
      <c r="B350" s="4"/>
      <c r="C350">
        <v>-47.100210389319997</v>
      </c>
      <c r="D350">
        <v>1.448081264</v>
      </c>
      <c r="E350">
        <f t="shared" si="104"/>
        <v>32.473973273062725</v>
      </c>
      <c r="F350">
        <f t="shared" si="92"/>
        <v>8.3400123766748553E-3</v>
      </c>
      <c r="G350">
        <f t="shared" si="93"/>
        <v>2.5793852711365532E-2</v>
      </c>
      <c r="H350">
        <f t="shared" si="94"/>
        <v>121.7961771257814</v>
      </c>
      <c r="I350">
        <f t="shared" si="95"/>
        <v>1.1380315483845143</v>
      </c>
      <c r="J350">
        <f t="shared" si="96"/>
        <v>1.30017446094435</v>
      </c>
      <c r="K350">
        <f t="shared" si="97"/>
        <v>0.29755112173388715</v>
      </c>
      <c r="L350">
        <f t="shared" si="98"/>
        <v>1.4907113663795961</v>
      </c>
      <c r="M350">
        <f t="shared" si="99"/>
        <v>0.99939734139164671</v>
      </c>
      <c r="N350">
        <f t="shared" si="100"/>
        <v>1.0005783124670968</v>
      </c>
      <c r="O350">
        <v>5.6616594450321937E-3</v>
      </c>
      <c r="P350">
        <v>4.0823096164588485E-3</v>
      </c>
      <c r="Q350">
        <f t="shared" si="101"/>
        <v>2068.3329620096461</v>
      </c>
      <c r="R350">
        <f t="shared" si="102"/>
        <v>2.068332962009646</v>
      </c>
    </row>
    <row r="351" spans="1:18" x14ac:dyDescent="0.3">
      <c r="A351">
        <v>0.7</v>
      </c>
      <c r="B351" s="4"/>
      <c r="C351">
        <v>-47.100210389319997</v>
      </c>
      <c r="D351">
        <v>1.448081264</v>
      </c>
      <c r="E351">
        <f t="shared" si="104"/>
        <v>32.473973273062725</v>
      </c>
      <c r="F351">
        <f t="shared" si="92"/>
        <v>8.3400123766748553E-3</v>
      </c>
      <c r="G351">
        <f t="shared" si="93"/>
        <v>2.5793852711365532E-2</v>
      </c>
      <c r="H351">
        <f t="shared" si="94"/>
        <v>121.7961771257814</v>
      </c>
      <c r="I351">
        <f t="shared" si="95"/>
        <v>1.1380315483845143</v>
      </c>
      <c r="J351">
        <f t="shared" si="96"/>
        <v>1.30017446094435</v>
      </c>
      <c r="K351">
        <f t="shared" si="97"/>
        <v>0.29755112173388715</v>
      </c>
      <c r="L351">
        <f t="shared" si="98"/>
        <v>1.4907113663795961</v>
      </c>
      <c r="M351">
        <f t="shared" si="99"/>
        <v>0.99959150851118683</v>
      </c>
      <c r="N351">
        <f t="shared" si="100"/>
        <v>1.0000967113372565</v>
      </c>
      <c r="O351">
        <v>5.6072061565547119E-3</v>
      </c>
      <c r="P351">
        <v>4.148561987238111E-3</v>
      </c>
      <c r="Q351">
        <f t="shared" si="101"/>
        <v>2068.3329620096461</v>
      </c>
      <c r="R351">
        <f t="shared" si="102"/>
        <v>2.068332962009646</v>
      </c>
    </row>
    <row r="352" spans="1:18" x14ac:dyDescent="0.3">
      <c r="A352">
        <v>0.70199999999999996</v>
      </c>
      <c r="B352" s="4"/>
      <c r="C352">
        <v>-47.100210389319997</v>
      </c>
      <c r="D352">
        <v>1.448081264</v>
      </c>
      <c r="E352">
        <f t="shared" si="104"/>
        <v>32.473973273062725</v>
      </c>
      <c r="F352">
        <f t="shared" si="92"/>
        <v>8.3400123766748553E-3</v>
      </c>
      <c r="G352">
        <f t="shared" si="93"/>
        <v>2.5793852711365532E-2</v>
      </c>
      <c r="H352">
        <f t="shared" si="94"/>
        <v>121.7961771257814</v>
      </c>
      <c r="I352">
        <f t="shared" si="95"/>
        <v>1.1380315483845143</v>
      </c>
      <c r="J352">
        <f t="shared" si="96"/>
        <v>1.30017446094435</v>
      </c>
      <c r="K352">
        <f t="shared" si="97"/>
        <v>0.29755112173388715</v>
      </c>
      <c r="L352">
        <f t="shared" si="98"/>
        <v>1.4907113663795961</v>
      </c>
      <c r="M352">
        <f t="shared" si="99"/>
        <v>1.009300873768247</v>
      </c>
      <c r="N352">
        <f t="shared" si="100"/>
        <v>1.0005470298481809</v>
      </c>
      <c r="O352">
        <v>5.533979273035344E-3</v>
      </c>
      <c r="P352">
        <v>4.2640495973545207E-3</v>
      </c>
      <c r="Q352">
        <f t="shared" si="101"/>
        <v>2068.3329620096461</v>
      </c>
      <c r="R352">
        <f t="shared" si="102"/>
        <v>2.068332962009646</v>
      </c>
    </row>
    <row r="353" spans="1:18" x14ac:dyDescent="0.3">
      <c r="A353">
        <v>0.70399999999999996</v>
      </c>
      <c r="B353" s="4"/>
      <c r="C353">
        <v>-47.100210389319997</v>
      </c>
      <c r="D353">
        <v>1.448081264</v>
      </c>
      <c r="E353">
        <f t="shared" si="104"/>
        <v>32.473973273062725</v>
      </c>
      <c r="F353">
        <f t="shared" si="92"/>
        <v>8.3400123766748553E-3</v>
      </c>
      <c r="G353">
        <f t="shared" si="93"/>
        <v>2.5793852711365532E-2</v>
      </c>
      <c r="H353">
        <f t="shared" si="94"/>
        <v>121.7961771257814</v>
      </c>
      <c r="I353">
        <f t="shared" si="95"/>
        <v>1.1380315483845143</v>
      </c>
      <c r="J353">
        <f t="shared" si="96"/>
        <v>1.30017446094435</v>
      </c>
      <c r="K353">
        <f t="shared" si="97"/>
        <v>0.29755112173388715</v>
      </c>
      <c r="L353">
        <f t="shared" si="98"/>
        <v>1.4907113663795961</v>
      </c>
      <c r="M353">
        <f t="shared" si="99"/>
        <v>1.0028097166293348</v>
      </c>
      <c r="N353">
        <f t="shared" si="100"/>
        <v>1.0012671619308038</v>
      </c>
      <c r="O353">
        <v>5.3891310918237423E-3</v>
      </c>
      <c r="P353">
        <v>4.4176164932438061E-3</v>
      </c>
      <c r="Q353">
        <f t="shared" si="101"/>
        <v>2068.3329620096461</v>
      </c>
      <c r="R353">
        <f t="shared" si="102"/>
        <v>2.068332962009646</v>
      </c>
    </row>
    <row r="354" spans="1:18" x14ac:dyDescent="0.3">
      <c r="A354">
        <v>0.70599999999999996</v>
      </c>
      <c r="B354" s="4"/>
      <c r="C354">
        <v>-47.100210389319997</v>
      </c>
      <c r="D354">
        <v>1.448081264</v>
      </c>
      <c r="E354">
        <f t="shared" si="104"/>
        <v>32.473973273062725</v>
      </c>
      <c r="F354">
        <f t="shared" si="92"/>
        <v>8.3400123766748553E-3</v>
      </c>
      <c r="G354">
        <f t="shared" si="93"/>
        <v>2.5793852711365532E-2</v>
      </c>
      <c r="H354">
        <f t="shared" si="94"/>
        <v>121.7961771257814</v>
      </c>
      <c r="I354">
        <f t="shared" si="95"/>
        <v>1.1380315483845143</v>
      </c>
      <c r="J354">
        <f t="shared" si="96"/>
        <v>1.30017446094435</v>
      </c>
      <c r="K354">
        <f t="shared" si="97"/>
        <v>0.29755112173388715</v>
      </c>
      <c r="L354">
        <f t="shared" si="98"/>
        <v>1.4907113663795961</v>
      </c>
      <c r="M354">
        <f t="shared" si="99"/>
        <v>0.9972216821775729</v>
      </c>
      <c r="N354">
        <f t="shared" si="100"/>
        <v>1.0055163852278526</v>
      </c>
      <c r="O354">
        <v>5.216498396149901E-3</v>
      </c>
      <c r="P354">
        <v>4.6064361704936073E-3</v>
      </c>
      <c r="Q354">
        <f t="shared" si="101"/>
        <v>2068.3329620096461</v>
      </c>
      <c r="R354">
        <f t="shared" si="102"/>
        <v>2.068332962009646</v>
      </c>
    </row>
    <row r="355" spans="1:18" x14ac:dyDescent="0.3">
      <c r="A355">
        <v>0.70799999999999996</v>
      </c>
      <c r="B355" s="4">
        <v>41</v>
      </c>
      <c r="C355">
        <v>-47.0010021038932</v>
      </c>
      <c r="D355">
        <v>1.4954853269999999</v>
      </c>
      <c r="E355">
        <f>$E$354+$R$354</f>
        <v>34.542306235072374</v>
      </c>
      <c r="F355">
        <f t="shared" si="92"/>
        <v>8.6015089532472007E-3</v>
      </c>
      <c r="G355">
        <f t="shared" si="93"/>
        <v>2.6602605010042888E-2</v>
      </c>
      <c r="H355">
        <f t="shared" si="94"/>
        <v>118.09342176842434</v>
      </c>
      <c r="I355">
        <f t="shared" si="95"/>
        <v>1.1295083014260672</v>
      </c>
      <c r="J355">
        <f t="shared" si="96"/>
        <v>1.3010350909691388</v>
      </c>
      <c r="K355">
        <f t="shared" si="97"/>
        <v>0.32307988056262105</v>
      </c>
      <c r="L355">
        <f t="shared" si="98"/>
        <v>1.469456782677804</v>
      </c>
      <c r="M355">
        <f t="shared" si="99"/>
        <v>0.99796483249968171</v>
      </c>
      <c r="N355">
        <f t="shared" si="100"/>
        <v>1.0070437450234528</v>
      </c>
      <c r="O355">
        <v>5.2434949829868694E-3</v>
      </c>
      <c r="P355">
        <v>4.6566910816509622E-3</v>
      </c>
      <c r="Q355">
        <f t="shared" si="101"/>
        <v>2251.4587270766565</v>
      </c>
      <c r="R355">
        <f t="shared" si="102"/>
        <v>2.2514587270766566</v>
      </c>
    </row>
    <row r="356" spans="1:18" x14ac:dyDescent="0.3">
      <c r="A356">
        <v>0.71</v>
      </c>
      <c r="B356" s="4"/>
      <c r="C356">
        <v>-47.0010021038932</v>
      </c>
      <c r="D356">
        <v>1.4954853269999999</v>
      </c>
      <c r="E356">
        <f t="shared" ref="E356:E367" si="105">$E$354+$R$354</f>
        <v>34.542306235072374</v>
      </c>
      <c r="F356">
        <f t="shared" si="92"/>
        <v>8.6015089532472007E-3</v>
      </c>
      <c r="G356">
        <f t="shared" si="93"/>
        <v>2.6602605010042888E-2</v>
      </c>
      <c r="H356">
        <f t="shared" si="94"/>
        <v>118.09342176842434</v>
      </c>
      <c r="I356">
        <f t="shared" si="95"/>
        <v>1.1295083014260672</v>
      </c>
      <c r="J356">
        <f t="shared" si="96"/>
        <v>1.3010350909691388</v>
      </c>
      <c r="K356">
        <f t="shared" si="97"/>
        <v>0.32307988056262105</v>
      </c>
      <c r="L356">
        <f t="shared" si="98"/>
        <v>1.469456782677804</v>
      </c>
      <c r="M356">
        <f t="shared" si="99"/>
        <v>1.0045118662013768</v>
      </c>
      <c r="N356">
        <f t="shared" si="100"/>
        <v>1.0017563391254418</v>
      </c>
      <c r="O356">
        <v>5.4321087895448554E-3</v>
      </c>
      <c r="P356">
        <v>4.4497146505877031E-3</v>
      </c>
      <c r="Q356">
        <f t="shared" si="101"/>
        <v>2251.4587270766565</v>
      </c>
      <c r="R356">
        <f t="shared" si="102"/>
        <v>2.2514587270766566</v>
      </c>
    </row>
    <row r="357" spans="1:18" x14ac:dyDescent="0.3">
      <c r="A357">
        <v>0.71199999999999997</v>
      </c>
      <c r="B357" s="4"/>
      <c r="C357">
        <v>-47.0010021038932</v>
      </c>
      <c r="D357">
        <v>1.4954853269999999</v>
      </c>
      <c r="E357">
        <f t="shared" si="105"/>
        <v>34.542306235072374</v>
      </c>
      <c r="F357">
        <f t="shared" si="92"/>
        <v>8.6015089532472007E-3</v>
      </c>
      <c r="G357">
        <f t="shared" si="93"/>
        <v>2.6602605010042888E-2</v>
      </c>
      <c r="H357">
        <f t="shared" si="94"/>
        <v>118.09342176842434</v>
      </c>
      <c r="I357">
        <f t="shared" si="95"/>
        <v>1.1295083014260672</v>
      </c>
      <c r="J357">
        <f t="shared" si="96"/>
        <v>1.3010350909691388</v>
      </c>
      <c r="K357">
        <f t="shared" si="97"/>
        <v>0.32307988056262105</v>
      </c>
      <c r="L357">
        <f t="shared" si="98"/>
        <v>1.469456782677804</v>
      </c>
      <c r="M357">
        <f t="shared" si="99"/>
        <v>0.99971194656769613</v>
      </c>
      <c r="N357">
        <f t="shared" si="100"/>
        <v>0.9959996993423994</v>
      </c>
      <c r="O357">
        <v>5.56620164092378E-3</v>
      </c>
      <c r="P357">
        <v>4.2640495973545207E-3</v>
      </c>
      <c r="Q357">
        <f t="shared" si="101"/>
        <v>2251.4587270766565</v>
      </c>
      <c r="R357">
        <f t="shared" si="102"/>
        <v>2.2514587270766566</v>
      </c>
    </row>
    <row r="358" spans="1:18" x14ac:dyDescent="0.3">
      <c r="A358">
        <v>0.71399999999999997</v>
      </c>
      <c r="B358" s="4"/>
      <c r="C358">
        <v>-47.0010021038932</v>
      </c>
      <c r="D358">
        <v>1.4954853269999999</v>
      </c>
      <c r="E358">
        <f t="shared" si="105"/>
        <v>34.542306235072374</v>
      </c>
      <c r="F358">
        <f t="shared" si="92"/>
        <v>8.6015089532472007E-3</v>
      </c>
      <c r="G358">
        <f t="shared" si="93"/>
        <v>2.6602605010042888E-2</v>
      </c>
      <c r="H358">
        <f t="shared" si="94"/>
        <v>118.09342176842434</v>
      </c>
      <c r="I358">
        <f t="shared" si="95"/>
        <v>1.1295083014260672</v>
      </c>
      <c r="J358">
        <f t="shared" si="96"/>
        <v>1.3010350909691388</v>
      </c>
      <c r="K358">
        <f t="shared" si="97"/>
        <v>0.32307988056262105</v>
      </c>
      <c r="L358">
        <f t="shared" si="98"/>
        <v>1.469456782677804</v>
      </c>
      <c r="M358">
        <f t="shared" si="99"/>
        <v>0.99934681099666922</v>
      </c>
      <c r="N358">
        <f t="shared" si="100"/>
        <v>1.0001285242092712</v>
      </c>
      <c r="O358">
        <v>5.675652300018195E-3</v>
      </c>
      <c r="P358">
        <v>4.1414491766050632E-3</v>
      </c>
      <c r="Q358">
        <f t="shared" si="101"/>
        <v>2251.4587270766565</v>
      </c>
      <c r="R358">
        <f t="shared" si="102"/>
        <v>2.2514587270766566</v>
      </c>
    </row>
    <row r="359" spans="1:18" x14ac:dyDescent="0.3">
      <c r="A359">
        <v>0.71599999999999997</v>
      </c>
      <c r="B359" s="4"/>
      <c r="C359">
        <v>-47.0010021038932</v>
      </c>
      <c r="D359">
        <v>1.4954853269999999</v>
      </c>
      <c r="E359">
        <f t="shared" si="105"/>
        <v>34.542306235072374</v>
      </c>
      <c r="F359">
        <f t="shared" si="92"/>
        <v>8.6015089532472007E-3</v>
      </c>
      <c r="G359">
        <f t="shared" si="93"/>
        <v>2.6602605010042888E-2</v>
      </c>
      <c r="H359">
        <f t="shared" si="94"/>
        <v>118.09342176842434</v>
      </c>
      <c r="I359">
        <f t="shared" si="95"/>
        <v>1.1295083014260672</v>
      </c>
      <c r="J359">
        <f t="shared" si="96"/>
        <v>1.3010350909691388</v>
      </c>
      <c r="K359">
        <f t="shared" si="97"/>
        <v>0.32307988056262105</v>
      </c>
      <c r="L359">
        <f t="shared" si="98"/>
        <v>1.469456782677804</v>
      </c>
      <c r="M359">
        <f t="shared" si="99"/>
        <v>0.9990131054739908</v>
      </c>
      <c r="N359">
        <f t="shared" si="100"/>
        <v>1.0008717422631062</v>
      </c>
      <c r="O359">
        <v>5.7455200547359636E-3</v>
      </c>
      <c r="P359">
        <v>4.0551220528396593E-3</v>
      </c>
      <c r="Q359">
        <f t="shared" si="101"/>
        <v>2251.4587270766565</v>
      </c>
      <c r="R359">
        <f t="shared" si="102"/>
        <v>2.2514587270766566</v>
      </c>
    </row>
    <row r="360" spans="1:18" x14ac:dyDescent="0.3">
      <c r="A360">
        <v>0.71799999999999997</v>
      </c>
      <c r="B360" s="4"/>
      <c r="C360">
        <v>-47.0010021038932</v>
      </c>
      <c r="D360">
        <v>1.4954853269999999</v>
      </c>
      <c r="E360">
        <f t="shared" si="105"/>
        <v>34.542306235072374</v>
      </c>
      <c r="F360">
        <f t="shared" si="92"/>
        <v>8.6015089532472007E-3</v>
      </c>
      <c r="G360">
        <f t="shared" si="93"/>
        <v>2.6602605010042888E-2</v>
      </c>
      <c r="H360">
        <f t="shared" si="94"/>
        <v>118.09342176842434</v>
      </c>
      <c r="I360">
        <f t="shared" si="95"/>
        <v>1.1295083014260672</v>
      </c>
      <c r="J360">
        <f t="shared" si="96"/>
        <v>1.3010350909691388</v>
      </c>
      <c r="K360">
        <f t="shared" si="97"/>
        <v>0.32307988056262105</v>
      </c>
      <c r="L360">
        <f t="shared" si="98"/>
        <v>1.469456782677804</v>
      </c>
      <c r="M360">
        <f t="shared" si="99"/>
        <v>0.99885743623417311</v>
      </c>
      <c r="N360">
        <f t="shared" si="100"/>
        <v>1.0013395732278996</v>
      </c>
      <c r="O360">
        <v>5.7730598291050785E-3</v>
      </c>
      <c r="P360">
        <v>4.0209869468870738E-3</v>
      </c>
      <c r="Q360">
        <f t="shared" si="101"/>
        <v>2251.4587270766565</v>
      </c>
      <c r="R360">
        <f t="shared" si="102"/>
        <v>2.2514587270766566</v>
      </c>
    </row>
    <row r="361" spans="1:18" x14ac:dyDescent="0.3">
      <c r="A361">
        <v>0.72</v>
      </c>
      <c r="B361" s="4"/>
      <c r="C361">
        <v>-47.0010021038932</v>
      </c>
      <c r="D361">
        <v>1.4954853269999999</v>
      </c>
      <c r="E361">
        <f t="shared" si="105"/>
        <v>34.542306235072374</v>
      </c>
      <c r="F361">
        <f t="shared" si="92"/>
        <v>8.6015089532472007E-3</v>
      </c>
      <c r="G361">
        <f t="shared" si="93"/>
        <v>2.6602605010042888E-2</v>
      </c>
      <c r="H361">
        <f t="shared" si="94"/>
        <v>118.09342176842434</v>
      </c>
      <c r="I361">
        <f t="shared" si="95"/>
        <v>1.1295083014260672</v>
      </c>
      <c r="J361">
        <f t="shared" si="96"/>
        <v>1.3010350909691388</v>
      </c>
      <c r="K361">
        <f t="shared" si="97"/>
        <v>0.32307988056262105</v>
      </c>
      <c r="L361">
        <f t="shared" si="98"/>
        <v>1.469456782677804</v>
      </c>
      <c r="M361">
        <f t="shared" si="99"/>
        <v>0.99894874309432113</v>
      </c>
      <c r="N361">
        <f t="shared" si="100"/>
        <v>1.0010582140691457</v>
      </c>
      <c r="O361">
        <v>5.7572140351879212E-3</v>
      </c>
      <c r="P361">
        <v>4.0406349887168735E-3</v>
      </c>
      <c r="Q361">
        <f t="shared" si="101"/>
        <v>2251.4587270766565</v>
      </c>
      <c r="R361">
        <f t="shared" si="102"/>
        <v>2.2514587270766566</v>
      </c>
    </row>
    <row r="362" spans="1:18" x14ac:dyDescent="0.3">
      <c r="A362">
        <v>0.72199999999999998</v>
      </c>
      <c r="B362" s="4"/>
      <c r="C362">
        <v>-47.0010021038932</v>
      </c>
      <c r="D362">
        <v>1.4954853269999999</v>
      </c>
      <c r="E362">
        <f t="shared" si="105"/>
        <v>34.542306235072374</v>
      </c>
      <c r="F362">
        <f t="shared" si="92"/>
        <v>8.6015089532472007E-3</v>
      </c>
      <c r="G362">
        <f t="shared" si="93"/>
        <v>2.6602605010042888E-2</v>
      </c>
      <c r="H362">
        <f t="shared" si="94"/>
        <v>118.09342176842434</v>
      </c>
      <c r="I362">
        <f t="shared" si="95"/>
        <v>1.1295083014260672</v>
      </c>
      <c r="J362">
        <f t="shared" si="96"/>
        <v>1.3010350909691388</v>
      </c>
      <c r="K362">
        <f t="shared" si="97"/>
        <v>0.32307988056262105</v>
      </c>
      <c r="L362">
        <f t="shared" si="98"/>
        <v>1.469456782677804</v>
      </c>
      <c r="M362">
        <f t="shared" si="99"/>
        <v>0.99924656471043805</v>
      </c>
      <c r="N362">
        <f t="shared" si="100"/>
        <v>1.0003028713398683</v>
      </c>
      <c r="O362">
        <v>5.6985895103971876E-3</v>
      </c>
      <c r="P362">
        <v>4.113151556608915E-3</v>
      </c>
      <c r="Q362">
        <f t="shared" si="101"/>
        <v>2251.4587270766565</v>
      </c>
      <c r="R362">
        <f t="shared" si="102"/>
        <v>2.2514587270766566</v>
      </c>
    </row>
    <row r="363" spans="1:18" x14ac:dyDescent="0.3">
      <c r="A363">
        <v>0.72399999999999998</v>
      </c>
      <c r="B363" s="4"/>
      <c r="C363">
        <v>-47.0010021038932</v>
      </c>
      <c r="D363">
        <v>1.4954853269999999</v>
      </c>
      <c r="E363">
        <f t="shared" si="105"/>
        <v>34.542306235072374</v>
      </c>
      <c r="F363">
        <f t="shared" si="92"/>
        <v>8.6015089532472007E-3</v>
      </c>
      <c r="G363">
        <f t="shared" si="93"/>
        <v>2.6602605010042888E-2</v>
      </c>
      <c r="H363">
        <f t="shared" si="94"/>
        <v>118.09342176842434</v>
      </c>
      <c r="I363">
        <f t="shared" si="95"/>
        <v>1.1295083014260672</v>
      </c>
      <c r="J363">
        <f t="shared" si="96"/>
        <v>1.3010350909691388</v>
      </c>
      <c r="K363">
        <f t="shared" si="97"/>
        <v>0.32307988056262105</v>
      </c>
      <c r="L363">
        <f t="shared" si="98"/>
        <v>1.469456782677804</v>
      </c>
      <c r="M363">
        <f t="shared" si="99"/>
        <v>0.99961960207987777</v>
      </c>
      <c r="N363">
        <f t="shared" si="100"/>
        <v>0.99533751386500025</v>
      </c>
      <c r="O363">
        <v>5.599471016857112E-3</v>
      </c>
      <c r="P363">
        <v>4.2218312845094261E-3</v>
      </c>
      <c r="Q363">
        <f t="shared" si="101"/>
        <v>2251.4587270766565</v>
      </c>
      <c r="R363">
        <f t="shared" si="102"/>
        <v>2.2514587270766566</v>
      </c>
    </row>
    <row r="364" spans="1:18" x14ac:dyDescent="0.3">
      <c r="A364">
        <v>0.72599999999999998</v>
      </c>
      <c r="B364" s="4"/>
      <c r="C364">
        <v>-47.0010021038932</v>
      </c>
      <c r="D364">
        <v>1.4954853269999999</v>
      </c>
      <c r="E364">
        <f t="shared" si="105"/>
        <v>34.542306235072374</v>
      </c>
      <c r="F364">
        <f t="shared" si="92"/>
        <v>8.6015089532472007E-3</v>
      </c>
      <c r="G364">
        <f t="shared" si="93"/>
        <v>2.6602605010042888E-2</v>
      </c>
      <c r="H364">
        <f t="shared" si="94"/>
        <v>118.09342176842434</v>
      </c>
      <c r="I364">
        <f t="shared" si="95"/>
        <v>1.1295083014260672</v>
      </c>
      <c r="J364">
        <f t="shared" si="96"/>
        <v>1.3010350909691388</v>
      </c>
      <c r="K364">
        <f t="shared" si="97"/>
        <v>0.32307988056262105</v>
      </c>
      <c r="L364">
        <f t="shared" si="98"/>
        <v>1.469456782677804</v>
      </c>
      <c r="M364">
        <f t="shared" si="99"/>
        <v>1.0065704048099275</v>
      </c>
      <c r="N364">
        <f t="shared" si="100"/>
        <v>1.0009935573474618</v>
      </c>
      <c r="O364">
        <v>5.4790528014703162E-3</v>
      </c>
      <c r="P364">
        <v>4.3989651445610492E-3</v>
      </c>
      <c r="Q364">
        <f t="shared" si="101"/>
        <v>2251.4587270766565</v>
      </c>
      <c r="R364">
        <f t="shared" si="102"/>
        <v>2.2514587270766566</v>
      </c>
    </row>
    <row r="365" spans="1:18" x14ac:dyDescent="0.3">
      <c r="A365">
        <v>0.72799999999999998</v>
      </c>
      <c r="B365" s="4"/>
      <c r="C365">
        <v>-47.0010021038932</v>
      </c>
      <c r="D365">
        <v>1.4954853269999999</v>
      </c>
      <c r="E365">
        <f t="shared" si="105"/>
        <v>34.542306235072374</v>
      </c>
      <c r="F365">
        <f t="shared" si="92"/>
        <v>8.6015089532472007E-3</v>
      </c>
      <c r="G365">
        <f t="shared" si="93"/>
        <v>2.6602605010042888E-2</v>
      </c>
      <c r="H365">
        <f t="shared" si="94"/>
        <v>118.09342176842434</v>
      </c>
      <c r="I365">
        <f t="shared" si="95"/>
        <v>1.1295083014260672</v>
      </c>
      <c r="J365">
        <f t="shared" si="96"/>
        <v>1.3010350909691388</v>
      </c>
      <c r="K365">
        <f t="shared" si="97"/>
        <v>0.32307988056262105</v>
      </c>
      <c r="L365">
        <f t="shared" si="98"/>
        <v>1.469456782677804</v>
      </c>
      <c r="M365">
        <f t="shared" si="99"/>
        <v>1.0058979072000471</v>
      </c>
      <c r="N365">
        <f t="shared" si="100"/>
        <v>1.0051941094146453</v>
      </c>
      <c r="O365">
        <v>5.3113407600572666E-3</v>
      </c>
      <c r="P365">
        <v>4.5980902971861784E-3</v>
      </c>
      <c r="Q365">
        <f t="shared" si="101"/>
        <v>2251.4587270766565</v>
      </c>
      <c r="R365">
        <f t="shared" si="102"/>
        <v>2.2514587270766566</v>
      </c>
    </row>
    <row r="366" spans="1:18" x14ac:dyDescent="0.3">
      <c r="A366">
        <v>0.73</v>
      </c>
      <c r="B366" s="4"/>
      <c r="C366">
        <v>-47.0010021038932</v>
      </c>
      <c r="D366">
        <v>1.4954853269999999</v>
      </c>
      <c r="E366">
        <f t="shared" si="105"/>
        <v>34.542306235072374</v>
      </c>
      <c r="F366">
        <f t="shared" si="92"/>
        <v>8.6015089532472007E-3</v>
      </c>
      <c r="G366">
        <f t="shared" si="93"/>
        <v>2.6602605010042888E-2</v>
      </c>
      <c r="H366">
        <f t="shared" si="94"/>
        <v>118.09342176842434</v>
      </c>
      <c r="I366">
        <f t="shared" si="95"/>
        <v>1.1295083014260672</v>
      </c>
      <c r="J366">
        <f t="shared" si="96"/>
        <v>1.3010350909691388</v>
      </c>
      <c r="K366">
        <f t="shared" si="97"/>
        <v>0.32307988056262105</v>
      </c>
      <c r="L366">
        <f t="shared" si="98"/>
        <v>1.469456782677804</v>
      </c>
      <c r="M366">
        <f t="shared" si="99"/>
        <v>0.99813545309660467</v>
      </c>
      <c r="N366">
        <f t="shared" si="100"/>
        <v>1.0023264360713571</v>
      </c>
      <c r="O366">
        <v>5.1038700689269292E-3</v>
      </c>
      <c r="P366">
        <v>4.7933135900509426E-3</v>
      </c>
      <c r="Q366">
        <f t="shared" si="101"/>
        <v>2251.4587270766565</v>
      </c>
      <c r="R366">
        <f t="shared" si="102"/>
        <v>2.2514587270766566</v>
      </c>
    </row>
    <row r="367" spans="1:18" x14ac:dyDescent="0.3">
      <c r="A367">
        <v>0.73199999999999998</v>
      </c>
      <c r="B367" s="4"/>
      <c r="C367">
        <v>-47.0010021038932</v>
      </c>
      <c r="D367">
        <v>1.4954853269999999</v>
      </c>
      <c r="E367">
        <f t="shared" si="105"/>
        <v>34.542306235072374</v>
      </c>
      <c r="F367">
        <f t="shared" si="92"/>
        <v>8.6015089532472007E-3</v>
      </c>
      <c r="G367">
        <f t="shared" si="93"/>
        <v>2.6602605010042888E-2</v>
      </c>
      <c r="H367">
        <f t="shared" si="94"/>
        <v>118.09342176842434</v>
      </c>
      <c r="I367">
        <f t="shared" si="95"/>
        <v>1.1295083014260672</v>
      </c>
      <c r="J367">
        <f t="shared" si="96"/>
        <v>1.3010350909691388</v>
      </c>
      <c r="K367">
        <f t="shared" si="97"/>
        <v>0.32307988056262105</v>
      </c>
      <c r="L367">
        <f t="shared" si="98"/>
        <v>1.469456782677804</v>
      </c>
      <c r="M367">
        <f t="shared" si="99"/>
        <v>0.99934283804984081</v>
      </c>
      <c r="N367">
        <f t="shared" si="100"/>
        <v>0.99967745869867786</v>
      </c>
      <c r="O367">
        <v>4.9039019906717734E-3</v>
      </c>
      <c r="P367">
        <v>4.9926667005177226E-3</v>
      </c>
      <c r="Q367">
        <f t="shared" si="101"/>
        <v>2251.4587270766565</v>
      </c>
      <c r="R367">
        <f t="shared" si="102"/>
        <v>2.2514587270766566</v>
      </c>
    </row>
    <row r="368" spans="1:18" x14ac:dyDescent="0.3">
      <c r="A368">
        <v>0.73399999999999999</v>
      </c>
      <c r="B368" s="4">
        <v>42</v>
      </c>
      <c r="C368">
        <v>-46.862748914119599</v>
      </c>
      <c r="D368">
        <v>1.551918736</v>
      </c>
      <c r="E368">
        <f>$E$367+$R$367</f>
        <v>36.793764962149034</v>
      </c>
      <c r="F368">
        <f t="shared" si="92"/>
        <v>8.8774062691915831E-3</v>
      </c>
      <c r="G368">
        <f t="shared" si="93"/>
        <v>2.7455895677912113E-2</v>
      </c>
      <c r="H368">
        <f t="shared" si="94"/>
        <v>114.42324411645987</v>
      </c>
      <c r="I368">
        <f t="shared" si="95"/>
        <v>1.1213510758792102</v>
      </c>
      <c r="J368">
        <f t="shared" si="96"/>
        <v>1.3045793552642839</v>
      </c>
      <c r="K368">
        <f t="shared" si="97"/>
        <v>0.35164706722940919</v>
      </c>
      <c r="L368">
        <f t="shared" si="98"/>
        <v>1.4470643990117158</v>
      </c>
      <c r="M368">
        <f t="shared" si="99"/>
        <v>0.99962555345856208</v>
      </c>
      <c r="N368">
        <f t="shared" si="100"/>
        <v>1.000221455999732</v>
      </c>
      <c r="O368">
        <v>5.598998139301186E-3</v>
      </c>
      <c r="P368">
        <v>4.3193733598525311E-3</v>
      </c>
      <c r="Q368">
        <f t="shared" si="101"/>
        <v>2463.5629965851272</v>
      </c>
      <c r="R368">
        <f t="shared" si="102"/>
        <v>2.4635629965851273</v>
      </c>
    </row>
    <row r="369" spans="1:18" x14ac:dyDescent="0.3">
      <c r="A369">
        <v>0.73599999999999999</v>
      </c>
      <c r="B369" s="4"/>
      <c r="C369">
        <v>-46.862748914119599</v>
      </c>
      <c r="D369">
        <v>1.551918736</v>
      </c>
      <c r="E369">
        <f t="shared" ref="E369:E381" si="106">$E$367+$R$367</f>
        <v>36.793764962149034</v>
      </c>
      <c r="F369">
        <f t="shared" si="92"/>
        <v>8.8774062691915831E-3</v>
      </c>
      <c r="G369">
        <f t="shared" si="93"/>
        <v>2.7455895677912113E-2</v>
      </c>
      <c r="H369">
        <f t="shared" si="94"/>
        <v>114.42324411645987</v>
      </c>
      <c r="I369">
        <f t="shared" si="95"/>
        <v>1.1213510758792102</v>
      </c>
      <c r="J369">
        <f t="shared" si="96"/>
        <v>1.3045793552642839</v>
      </c>
      <c r="K369">
        <f t="shared" si="97"/>
        <v>0.35164706722940919</v>
      </c>
      <c r="L369">
        <f t="shared" si="98"/>
        <v>1.4470643990117158</v>
      </c>
      <c r="M369">
        <f t="shared" si="99"/>
        <v>0.99910562806813585</v>
      </c>
      <c r="N369">
        <f t="shared" si="100"/>
        <v>1.0076723529953755</v>
      </c>
      <c r="O369">
        <v>5.7298894831492491E-3</v>
      </c>
      <c r="P369">
        <v>4.1796129716643315E-3</v>
      </c>
      <c r="Q369">
        <f t="shared" si="101"/>
        <v>2463.5629965851272</v>
      </c>
      <c r="R369">
        <f t="shared" si="102"/>
        <v>2.4635629965851273</v>
      </c>
    </row>
    <row r="370" spans="1:18" x14ac:dyDescent="0.3">
      <c r="A370">
        <v>0.73799999999999999</v>
      </c>
      <c r="B370" s="4"/>
      <c r="C370">
        <v>-46.862748914119599</v>
      </c>
      <c r="D370">
        <v>1.551918736</v>
      </c>
      <c r="E370">
        <f t="shared" si="106"/>
        <v>36.793764962149034</v>
      </c>
      <c r="F370">
        <f t="shared" si="92"/>
        <v>8.8774062691915831E-3</v>
      </c>
      <c r="G370">
        <f t="shared" si="93"/>
        <v>2.7455895677912113E-2</v>
      </c>
      <c r="H370">
        <f t="shared" si="94"/>
        <v>114.42324411645987</v>
      </c>
      <c r="I370">
        <f t="shared" si="95"/>
        <v>1.1213510758792102</v>
      </c>
      <c r="J370">
        <f t="shared" si="96"/>
        <v>1.3045793552642839</v>
      </c>
      <c r="K370">
        <f t="shared" si="97"/>
        <v>0.35164706722940919</v>
      </c>
      <c r="L370">
        <f t="shared" si="98"/>
        <v>1.4470643990117158</v>
      </c>
      <c r="M370">
        <f t="shared" si="99"/>
        <v>0.99855950735782173</v>
      </c>
      <c r="N370">
        <f t="shared" si="100"/>
        <v>1.0010287494045487</v>
      </c>
      <c r="O370">
        <v>5.8221920022804201E-3</v>
      </c>
      <c r="P370">
        <v>4.0415989932207101E-3</v>
      </c>
      <c r="Q370">
        <f t="shared" si="101"/>
        <v>2463.5629965851272</v>
      </c>
      <c r="R370">
        <f t="shared" si="102"/>
        <v>2.4635629965851273</v>
      </c>
    </row>
    <row r="371" spans="1:18" x14ac:dyDescent="0.3">
      <c r="A371">
        <v>0.74</v>
      </c>
      <c r="B371" s="4"/>
      <c r="C371">
        <v>-46.862748914119599</v>
      </c>
      <c r="D371">
        <v>1.551918736</v>
      </c>
      <c r="E371">
        <f t="shared" si="106"/>
        <v>36.793764962149034</v>
      </c>
      <c r="F371">
        <f t="shared" si="92"/>
        <v>8.8774062691915831E-3</v>
      </c>
      <c r="G371">
        <f t="shared" si="93"/>
        <v>2.7455895677912113E-2</v>
      </c>
      <c r="H371">
        <f t="shared" si="94"/>
        <v>114.42324411645987</v>
      </c>
      <c r="I371">
        <f t="shared" si="95"/>
        <v>1.1213510758792102</v>
      </c>
      <c r="J371">
        <f t="shared" si="96"/>
        <v>1.3045793552642839</v>
      </c>
      <c r="K371">
        <f t="shared" si="97"/>
        <v>0.35164706722940919</v>
      </c>
      <c r="L371">
        <f t="shared" si="98"/>
        <v>1.4470643990117158</v>
      </c>
      <c r="M371">
        <f t="shared" si="99"/>
        <v>0.99818922862648796</v>
      </c>
      <c r="N371">
        <f t="shared" si="100"/>
        <v>1.0020368022351844</v>
      </c>
      <c r="O371">
        <v>5.8726119514279944E-3</v>
      </c>
      <c r="P371">
        <v>3.9779960289032003E-3</v>
      </c>
      <c r="Q371">
        <f t="shared" si="101"/>
        <v>2463.5629965851272</v>
      </c>
      <c r="R371">
        <f t="shared" si="102"/>
        <v>2.4635629965851273</v>
      </c>
    </row>
    <row r="372" spans="1:18" x14ac:dyDescent="0.3">
      <c r="A372">
        <v>0.74199999999999999</v>
      </c>
      <c r="B372" s="4"/>
      <c r="C372">
        <v>-46.862748914119599</v>
      </c>
      <c r="D372">
        <v>1.551918736</v>
      </c>
      <c r="E372">
        <f t="shared" si="106"/>
        <v>36.793764962149034</v>
      </c>
      <c r="F372">
        <f t="shared" si="92"/>
        <v>8.8774062691915831E-3</v>
      </c>
      <c r="G372">
        <f t="shared" si="93"/>
        <v>2.7455895677912113E-2</v>
      </c>
      <c r="H372">
        <f t="shared" si="94"/>
        <v>114.42324411645987</v>
      </c>
      <c r="I372">
        <f t="shared" si="95"/>
        <v>1.1213510758792102</v>
      </c>
      <c r="J372">
        <f t="shared" si="96"/>
        <v>1.3045793552642839</v>
      </c>
      <c r="K372">
        <f t="shared" si="97"/>
        <v>0.35164706722940919</v>
      </c>
      <c r="L372">
        <f t="shared" si="98"/>
        <v>1.4470643990117158</v>
      </c>
      <c r="M372">
        <f t="shared" si="99"/>
        <v>0.99813511133053234</v>
      </c>
      <c r="N372">
        <f t="shared" si="100"/>
        <v>1.0021990620375543</v>
      </c>
      <c r="O372">
        <v>5.879413159889677E-3</v>
      </c>
      <c r="P372">
        <v>3.9693986346590951E-3</v>
      </c>
      <c r="Q372">
        <f t="shared" si="101"/>
        <v>2463.5629965851272</v>
      </c>
      <c r="R372">
        <f t="shared" si="102"/>
        <v>2.4635629965851273</v>
      </c>
    </row>
    <row r="373" spans="1:18" x14ac:dyDescent="0.3">
      <c r="A373">
        <v>0.74399999999999999</v>
      </c>
      <c r="B373" s="4"/>
      <c r="C373">
        <v>-46.862748914119599</v>
      </c>
      <c r="D373">
        <v>1.551918736</v>
      </c>
      <c r="E373">
        <f t="shared" si="106"/>
        <v>36.793764962149034</v>
      </c>
      <c r="F373">
        <f t="shared" si="92"/>
        <v>8.8774062691915831E-3</v>
      </c>
      <c r="G373">
        <f t="shared" si="93"/>
        <v>2.7455895677912113E-2</v>
      </c>
      <c r="H373">
        <f t="shared" si="94"/>
        <v>114.42324411645987</v>
      </c>
      <c r="I373">
        <f t="shared" si="95"/>
        <v>1.1213510758792102</v>
      </c>
      <c r="J373">
        <f t="shared" si="96"/>
        <v>1.3045793552642839</v>
      </c>
      <c r="K373">
        <f t="shared" si="97"/>
        <v>0.35164706722940919</v>
      </c>
      <c r="L373">
        <f t="shared" si="98"/>
        <v>1.4470643990117158</v>
      </c>
      <c r="M373">
        <f t="shared" si="99"/>
        <v>0.99841778971334305</v>
      </c>
      <c r="N373">
        <f t="shared" si="100"/>
        <v>1.0013910228625806</v>
      </c>
      <c r="O373">
        <v>5.8423647968627737E-3</v>
      </c>
      <c r="P373">
        <v>4.0161797989813784E-3</v>
      </c>
      <c r="Q373">
        <f t="shared" si="101"/>
        <v>2463.5629965851272</v>
      </c>
      <c r="R373">
        <f t="shared" si="102"/>
        <v>2.4635629965851273</v>
      </c>
    </row>
    <row r="374" spans="1:18" x14ac:dyDescent="0.3">
      <c r="A374">
        <v>0.746</v>
      </c>
      <c r="B374" s="4"/>
      <c r="C374">
        <v>-46.862748914119599</v>
      </c>
      <c r="D374">
        <v>1.551918736</v>
      </c>
      <c r="E374">
        <f t="shared" si="106"/>
        <v>36.793764962149034</v>
      </c>
      <c r="F374">
        <f t="shared" si="92"/>
        <v>8.8774062691915831E-3</v>
      </c>
      <c r="G374">
        <f t="shared" si="93"/>
        <v>2.7455895677912113E-2</v>
      </c>
      <c r="H374">
        <f t="shared" si="94"/>
        <v>114.42324411645987</v>
      </c>
      <c r="I374">
        <f t="shared" si="95"/>
        <v>1.1213510758792102</v>
      </c>
      <c r="J374">
        <f t="shared" si="96"/>
        <v>1.3045793552642839</v>
      </c>
      <c r="K374">
        <f t="shared" si="97"/>
        <v>0.35164706722940919</v>
      </c>
      <c r="L374">
        <f t="shared" si="98"/>
        <v>1.4470643990117158</v>
      </c>
      <c r="M374">
        <f t="shared" si="99"/>
        <v>0.99892980907278905</v>
      </c>
      <c r="N374">
        <f t="shared" si="100"/>
        <v>1.0002757319081663</v>
      </c>
      <c r="O374">
        <v>5.76273393858467E-3</v>
      </c>
      <c r="P374">
        <v>4.1163031785184752E-3</v>
      </c>
      <c r="Q374">
        <f t="shared" si="101"/>
        <v>2463.5629965851272</v>
      </c>
      <c r="R374">
        <f t="shared" si="102"/>
        <v>2.4635629965851273</v>
      </c>
    </row>
    <row r="375" spans="1:18" x14ac:dyDescent="0.3">
      <c r="A375">
        <v>0.748</v>
      </c>
      <c r="B375" s="4"/>
      <c r="C375">
        <v>-46.862748914119599</v>
      </c>
      <c r="D375">
        <v>1.551918736</v>
      </c>
      <c r="E375">
        <f t="shared" si="106"/>
        <v>36.793764962149034</v>
      </c>
      <c r="F375">
        <f t="shared" si="92"/>
        <v>8.8774062691915831E-3</v>
      </c>
      <c r="G375">
        <f t="shared" si="93"/>
        <v>2.7455895677912113E-2</v>
      </c>
      <c r="H375">
        <f t="shared" si="94"/>
        <v>114.42324411645987</v>
      </c>
      <c r="I375">
        <f t="shared" si="95"/>
        <v>1.1213510758792102</v>
      </c>
      <c r="J375">
        <f t="shared" si="96"/>
        <v>1.3045793552642839</v>
      </c>
      <c r="K375">
        <f t="shared" si="97"/>
        <v>0.35164706722940919</v>
      </c>
      <c r="L375">
        <f t="shared" si="98"/>
        <v>1.4470643990117158</v>
      </c>
      <c r="M375">
        <f t="shared" si="99"/>
        <v>0.99947971640385735</v>
      </c>
      <c r="N375">
        <f t="shared" si="100"/>
        <v>0.99969650414738109</v>
      </c>
      <c r="O375">
        <v>5.643324958233162E-3</v>
      </c>
      <c r="P375">
        <v>4.2640495973545207E-3</v>
      </c>
      <c r="Q375">
        <f t="shared" si="101"/>
        <v>2463.5629965851272</v>
      </c>
      <c r="R375">
        <f t="shared" si="102"/>
        <v>2.4635629965851273</v>
      </c>
    </row>
    <row r="376" spans="1:18" x14ac:dyDescent="0.3">
      <c r="A376">
        <v>0.75</v>
      </c>
      <c r="B376" s="4"/>
      <c r="C376">
        <v>-46.862748914119599</v>
      </c>
      <c r="D376">
        <v>1.551918736</v>
      </c>
      <c r="E376">
        <f t="shared" si="106"/>
        <v>36.793764962149034</v>
      </c>
      <c r="F376">
        <f t="shared" si="92"/>
        <v>8.8774062691915831E-3</v>
      </c>
      <c r="G376">
        <f t="shared" si="93"/>
        <v>2.7455895677912113E-2</v>
      </c>
      <c r="H376">
        <f t="shared" si="94"/>
        <v>114.42324411645987</v>
      </c>
      <c r="I376">
        <f t="shared" si="95"/>
        <v>1.1213510758792102</v>
      </c>
      <c r="J376">
        <f t="shared" si="96"/>
        <v>1.3045793552642839</v>
      </c>
      <c r="K376">
        <f t="shared" si="97"/>
        <v>0.35164706722940919</v>
      </c>
      <c r="L376">
        <f t="shared" si="98"/>
        <v>1.4470643990117158</v>
      </c>
      <c r="M376">
        <f t="shared" si="99"/>
        <v>1.0077624000730245</v>
      </c>
      <c r="N376">
        <f t="shared" si="100"/>
        <v>1.0018077672170302</v>
      </c>
      <c r="O376">
        <v>5.5067023775453704E-3</v>
      </c>
      <c r="P376">
        <v>4.454281331109082E-3</v>
      </c>
      <c r="Q376">
        <f t="shared" si="101"/>
        <v>2463.5629965851272</v>
      </c>
      <c r="R376">
        <f t="shared" si="102"/>
        <v>2.4635629965851273</v>
      </c>
    </row>
    <row r="377" spans="1:18" x14ac:dyDescent="0.3">
      <c r="A377">
        <v>0.752</v>
      </c>
      <c r="B377" s="4"/>
      <c r="C377">
        <v>-46.862748914119599</v>
      </c>
      <c r="D377">
        <v>1.551918736</v>
      </c>
      <c r="E377">
        <f t="shared" si="106"/>
        <v>36.793764962149034</v>
      </c>
      <c r="F377">
        <f t="shared" si="92"/>
        <v>8.8774062691915831E-3</v>
      </c>
      <c r="G377">
        <f t="shared" si="93"/>
        <v>2.7455895677912113E-2</v>
      </c>
      <c r="H377">
        <f t="shared" si="94"/>
        <v>114.42324411645987</v>
      </c>
      <c r="I377">
        <f t="shared" si="95"/>
        <v>1.1213510758792102</v>
      </c>
      <c r="J377">
        <f t="shared" si="96"/>
        <v>1.3045793552642839</v>
      </c>
      <c r="K377">
        <f t="shared" si="97"/>
        <v>0.35164706722940919</v>
      </c>
      <c r="L377">
        <f t="shared" si="98"/>
        <v>1.4470643990117158</v>
      </c>
      <c r="M377">
        <f t="shared" si="99"/>
        <v>1.0028744328041319</v>
      </c>
      <c r="N377">
        <f t="shared" si="100"/>
        <v>1.0076241014209177</v>
      </c>
      <c r="O377">
        <v>5.3113407600572666E-3</v>
      </c>
      <c r="P377">
        <v>4.676658553968367E-3</v>
      </c>
      <c r="Q377">
        <f t="shared" si="101"/>
        <v>2463.5629965851272</v>
      </c>
      <c r="R377">
        <f t="shared" si="102"/>
        <v>2.4635629965851273</v>
      </c>
    </row>
    <row r="378" spans="1:18" x14ac:dyDescent="0.3">
      <c r="A378">
        <v>0.754</v>
      </c>
      <c r="B378" s="4"/>
      <c r="C378">
        <v>-46.862748914119599</v>
      </c>
      <c r="D378">
        <v>1.551918736</v>
      </c>
      <c r="E378">
        <f t="shared" si="106"/>
        <v>36.793764962149034</v>
      </c>
      <c r="F378">
        <f t="shared" si="92"/>
        <v>8.8774062691915831E-3</v>
      </c>
      <c r="G378">
        <f t="shared" si="93"/>
        <v>2.7455895677912113E-2</v>
      </c>
      <c r="H378">
        <f t="shared" si="94"/>
        <v>114.42324411645987</v>
      </c>
      <c r="I378">
        <f t="shared" si="95"/>
        <v>1.1213510758792102</v>
      </c>
      <c r="J378">
        <f t="shared" si="96"/>
        <v>1.3045793552642839</v>
      </c>
      <c r="K378">
        <f t="shared" si="97"/>
        <v>0.35164706722940919</v>
      </c>
      <c r="L378">
        <f t="shared" si="98"/>
        <v>1.4470643990117158</v>
      </c>
      <c r="M378">
        <f t="shared" si="99"/>
        <v>0.99823089234658569</v>
      </c>
      <c r="N378">
        <f t="shared" si="100"/>
        <v>1.0050550873733752</v>
      </c>
      <c r="O378">
        <v>5.0950537415391864E-3</v>
      </c>
      <c r="P378">
        <v>4.8872695996281697E-3</v>
      </c>
      <c r="Q378">
        <f t="shared" si="101"/>
        <v>2463.5629965851272</v>
      </c>
      <c r="R378">
        <f t="shared" si="102"/>
        <v>2.4635629965851273</v>
      </c>
    </row>
    <row r="379" spans="1:18" x14ac:dyDescent="0.3">
      <c r="A379">
        <v>0.75600000000000001</v>
      </c>
      <c r="B379" s="4"/>
      <c r="C379">
        <v>-46.862748914119599</v>
      </c>
      <c r="D379">
        <v>1.551918736</v>
      </c>
      <c r="E379">
        <f t="shared" si="106"/>
        <v>36.793764962149034</v>
      </c>
      <c r="F379">
        <f t="shared" si="92"/>
        <v>8.8774062691915831E-3</v>
      </c>
      <c r="G379">
        <f t="shared" si="93"/>
        <v>2.7455895677912113E-2</v>
      </c>
      <c r="H379">
        <f t="shared" si="94"/>
        <v>114.42324411645987</v>
      </c>
      <c r="I379">
        <f t="shared" si="95"/>
        <v>1.1213510758792102</v>
      </c>
      <c r="J379">
        <f t="shared" si="96"/>
        <v>1.3045793552642839</v>
      </c>
      <c r="K379">
        <f t="shared" si="97"/>
        <v>0.35164706722940919</v>
      </c>
      <c r="L379">
        <f t="shared" si="98"/>
        <v>1.4470643990117158</v>
      </c>
      <c r="M379">
        <f t="shared" si="99"/>
        <v>0.99944038013093994</v>
      </c>
      <c r="N379">
        <f t="shared" si="100"/>
        <v>0.99936934573821756</v>
      </c>
      <c r="O379">
        <v>4.8811530751967109E-3</v>
      </c>
      <c r="P379">
        <v>5.0899374961811059E-3</v>
      </c>
      <c r="Q379">
        <f t="shared" si="101"/>
        <v>2463.5629965851272</v>
      </c>
      <c r="R379">
        <f t="shared" si="102"/>
        <v>2.4635629965851273</v>
      </c>
    </row>
    <row r="380" spans="1:18" x14ac:dyDescent="0.3">
      <c r="A380">
        <v>0.75800000000000001</v>
      </c>
      <c r="B380" s="4"/>
      <c r="C380">
        <v>-46.862748914119599</v>
      </c>
      <c r="D380">
        <v>1.551918736</v>
      </c>
      <c r="E380">
        <f t="shared" si="106"/>
        <v>36.793764962149034</v>
      </c>
      <c r="F380">
        <f t="shared" si="92"/>
        <v>8.8774062691915831E-3</v>
      </c>
      <c r="G380">
        <f t="shared" si="93"/>
        <v>2.7455895677912113E-2</v>
      </c>
      <c r="H380">
        <f t="shared" si="94"/>
        <v>114.42324411645987</v>
      </c>
      <c r="I380">
        <f t="shared" si="95"/>
        <v>1.1213510758792102</v>
      </c>
      <c r="J380">
        <f t="shared" si="96"/>
        <v>1.3045793552642839</v>
      </c>
      <c r="K380">
        <f t="shared" si="97"/>
        <v>0.35164706722940919</v>
      </c>
      <c r="L380">
        <f t="shared" si="98"/>
        <v>1.4470643990117158</v>
      </c>
      <c r="M380">
        <f t="shared" si="99"/>
        <v>1.0041239476985968</v>
      </c>
      <c r="N380">
        <f t="shared" si="100"/>
        <v>0.99819646251727645</v>
      </c>
      <c r="O380">
        <v>4.6753905613529413E-3</v>
      </c>
      <c r="P380">
        <v>5.2929580740438695E-3</v>
      </c>
      <c r="Q380">
        <f t="shared" si="101"/>
        <v>2463.5629965851272</v>
      </c>
      <c r="R380">
        <f t="shared" si="102"/>
        <v>2.4635629965851273</v>
      </c>
    </row>
    <row r="381" spans="1:18" x14ac:dyDescent="0.3">
      <c r="A381">
        <v>0.76</v>
      </c>
      <c r="B381" s="4"/>
      <c r="C381">
        <v>-46.862748914119599</v>
      </c>
      <c r="D381">
        <v>1.551918736</v>
      </c>
      <c r="E381">
        <f t="shared" si="106"/>
        <v>36.793764962149034</v>
      </c>
      <c r="F381">
        <f t="shared" si="92"/>
        <v>8.8774062691915831E-3</v>
      </c>
      <c r="G381">
        <f t="shared" si="93"/>
        <v>2.7455895677912113E-2</v>
      </c>
      <c r="H381">
        <f t="shared" si="94"/>
        <v>114.42324411645987</v>
      </c>
      <c r="I381">
        <f t="shared" si="95"/>
        <v>1.1213510758792102</v>
      </c>
      <c r="J381">
        <f t="shared" si="96"/>
        <v>1.3045793552642839</v>
      </c>
      <c r="K381">
        <f t="shared" si="97"/>
        <v>0.35164706722940919</v>
      </c>
      <c r="L381">
        <f t="shared" si="98"/>
        <v>1.4470643990117158</v>
      </c>
      <c r="M381">
        <f t="shared" si="99"/>
        <v>1.0065161482357332</v>
      </c>
      <c r="N381">
        <f t="shared" si="100"/>
        <v>0.9983765409705585</v>
      </c>
      <c r="O381">
        <v>4.4745394986537654E-3</v>
      </c>
      <c r="P381">
        <v>5.478726259861488E-3</v>
      </c>
      <c r="Q381">
        <f t="shared" si="101"/>
        <v>2463.5629965851272</v>
      </c>
      <c r="R381">
        <f t="shared" si="102"/>
        <v>2.4635629965851273</v>
      </c>
    </row>
    <row r="382" spans="1:18" x14ac:dyDescent="0.3">
      <c r="A382">
        <v>0.76200000000000001</v>
      </c>
      <c r="B382" s="4">
        <v>43</v>
      </c>
      <c r="C382">
        <v>-46.579327153396498</v>
      </c>
      <c r="D382">
        <v>1.6015801350000001</v>
      </c>
      <c r="E382">
        <f>$E$381+$R$381</f>
        <v>39.257327958734159</v>
      </c>
      <c r="F382">
        <f t="shared" si="92"/>
        <v>9.1697891313000518E-3</v>
      </c>
      <c r="G382">
        <f t="shared" si="93"/>
        <v>2.836017257103109E-2</v>
      </c>
      <c r="H382">
        <f t="shared" si="94"/>
        <v>110.77480737189937</v>
      </c>
      <c r="I382">
        <f t="shared" si="95"/>
        <v>1.1135263843766623</v>
      </c>
      <c r="J382">
        <f t="shared" si="96"/>
        <v>1.3039890887053582</v>
      </c>
      <c r="K382">
        <f t="shared" si="97"/>
        <v>0.3761934914194367</v>
      </c>
      <c r="L382">
        <f t="shared" si="98"/>
        <v>1.4269664721698441</v>
      </c>
      <c r="M382">
        <f t="shared" si="99"/>
        <v>0.99797432470310676</v>
      </c>
      <c r="N382">
        <f t="shared" si="100"/>
        <v>1.0013647600156239</v>
      </c>
      <c r="O382">
        <v>5.9013139436798747E-3</v>
      </c>
      <c r="P382">
        <v>4.0165695109842517E-3</v>
      </c>
      <c r="Q382">
        <f t="shared" si="101"/>
        <v>2648.2123936959429</v>
      </c>
      <c r="R382">
        <f t="shared" si="102"/>
        <v>2.648212393695943</v>
      </c>
    </row>
    <row r="383" spans="1:18" x14ac:dyDescent="0.3">
      <c r="A383">
        <v>0.76400000000000001</v>
      </c>
      <c r="B383" s="4"/>
      <c r="C383">
        <v>-46.579327153396498</v>
      </c>
      <c r="D383">
        <v>1.6015801350000001</v>
      </c>
      <c r="E383">
        <f t="shared" ref="E383:E395" si="107">$E$381+$R$381</f>
        <v>39.257327958734159</v>
      </c>
      <c r="F383">
        <f t="shared" si="92"/>
        <v>9.1697891313000518E-3</v>
      </c>
      <c r="G383">
        <f t="shared" si="93"/>
        <v>2.836017257103109E-2</v>
      </c>
      <c r="H383">
        <f t="shared" si="94"/>
        <v>110.77480737189937</v>
      </c>
      <c r="I383">
        <f t="shared" si="95"/>
        <v>1.1135263843766623</v>
      </c>
      <c r="J383">
        <f t="shared" si="96"/>
        <v>1.3039890887053582</v>
      </c>
      <c r="K383">
        <f t="shared" si="97"/>
        <v>0.3761934914194367</v>
      </c>
      <c r="L383">
        <f t="shared" si="98"/>
        <v>1.4269664721698441</v>
      </c>
      <c r="M383">
        <f t="shared" si="99"/>
        <v>0.99743604861274515</v>
      </c>
      <c r="N383">
        <f t="shared" si="100"/>
        <v>1.0027415401927307</v>
      </c>
      <c r="O383">
        <v>5.9603049839092427E-3</v>
      </c>
      <c r="P383">
        <v>3.9408364313951484E-3</v>
      </c>
      <c r="Q383">
        <f t="shared" si="101"/>
        <v>2648.2123936959429</v>
      </c>
      <c r="R383">
        <f t="shared" si="102"/>
        <v>2.648212393695943</v>
      </c>
    </row>
    <row r="384" spans="1:18" x14ac:dyDescent="0.3">
      <c r="A384">
        <v>0.76600000000000001</v>
      </c>
      <c r="B384" s="4"/>
      <c r="C384">
        <v>-46.579327153396498</v>
      </c>
      <c r="D384">
        <v>1.6015801350000001</v>
      </c>
      <c r="E384">
        <f t="shared" si="107"/>
        <v>39.257327958734159</v>
      </c>
      <c r="F384">
        <f t="shared" si="92"/>
        <v>9.1697891313000518E-3</v>
      </c>
      <c r="G384">
        <f t="shared" si="93"/>
        <v>2.836017257103109E-2</v>
      </c>
      <c r="H384">
        <f t="shared" si="94"/>
        <v>110.77480737189937</v>
      </c>
      <c r="I384">
        <f t="shared" si="95"/>
        <v>1.1135263843766623</v>
      </c>
      <c r="J384">
        <f t="shared" si="96"/>
        <v>1.3039890887053582</v>
      </c>
      <c r="K384">
        <f t="shared" si="97"/>
        <v>0.3761934914194367</v>
      </c>
      <c r="L384">
        <f t="shared" si="98"/>
        <v>1.4269664721698441</v>
      </c>
      <c r="M384">
        <f t="shared" si="99"/>
        <v>0.99727753079502257</v>
      </c>
      <c r="N384">
        <f t="shared" si="100"/>
        <v>1.0031930425227793</v>
      </c>
      <c r="O384">
        <v>5.9761314760830757E-3</v>
      </c>
      <c r="P384">
        <v>3.9204565832948839E-3</v>
      </c>
      <c r="Q384">
        <f t="shared" si="101"/>
        <v>2648.2123936959429</v>
      </c>
      <c r="R384">
        <f t="shared" si="102"/>
        <v>2.648212393695943</v>
      </c>
    </row>
    <row r="385" spans="1:18" x14ac:dyDescent="0.3">
      <c r="A385">
        <v>0.76800000000000002</v>
      </c>
      <c r="B385" s="4"/>
      <c r="C385">
        <v>-46.579327153396498</v>
      </c>
      <c r="D385">
        <v>1.6015801350000001</v>
      </c>
      <c r="E385">
        <f t="shared" si="107"/>
        <v>39.257327958734159</v>
      </c>
      <c r="F385">
        <f t="shared" si="92"/>
        <v>9.1697891313000518E-3</v>
      </c>
      <c r="G385">
        <f t="shared" si="93"/>
        <v>2.836017257103109E-2</v>
      </c>
      <c r="H385">
        <f t="shared" si="94"/>
        <v>110.77480737189937</v>
      </c>
      <c r="I385">
        <f t="shared" si="95"/>
        <v>1.1135263843766623</v>
      </c>
      <c r="J385">
        <f t="shared" si="96"/>
        <v>1.3039890887053582</v>
      </c>
      <c r="K385">
        <f t="shared" si="97"/>
        <v>0.3761934914194367</v>
      </c>
      <c r="L385">
        <f t="shared" si="98"/>
        <v>1.4269664721698441</v>
      </c>
      <c r="M385">
        <f t="shared" si="99"/>
        <v>0.99755207536465307</v>
      </c>
      <c r="N385">
        <f t="shared" si="100"/>
        <v>1.0024227831251955</v>
      </c>
      <c r="O385">
        <v>5.9483165485429371E-3</v>
      </c>
      <c r="P385">
        <v>3.9562566012346541E-3</v>
      </c>
      <c r="Q385">
        <f t="shared" si="101"/>
        <v>2648.2123936959429</v>
      </c>
      <c r="R385">
        <f t="shared" si="102"/>
        <v>2.648212393695943</v>
      </c>
    </row>
    <row r="386" spans="1:18" x14ac:dyDescent="0.3">
      <c r="A386">
        <v>0.77</v>
      </c>
      <c r="B386" s="4"/>
      <c r="C386">
        <v>-46.579327153396498</v>
      </c>
      <c r="D386">
        <v>1.6015801350000001</v>
      </c>
      <c r="E386">
        <f t="shared" si="107"/>
        <v>39.257327958734159</v>
      </c>
      <c r="F386">
        <f t="shared" si="92"/>
        <v>9.1697891313000518E-3</v>
      </c>
      <c r="G386">
        <f t="shared" si="93"/>
        <v>2.836017257103109E-2</v>
      </c>
      <c r="H386">
        <f t="shared" si="94"/>
        <v>110.77480737189937</v>
      </c>
      <c r="I386">
        <f t="shared" si="95"/>
        <v>1.1135263843766623</v>
      </c>
      <c r="J386">
        <f t="shared" si="96"/>
        <v>1.3039890887053582</v>
      </c>
      <c r="K386">
        <f t="shared" si="97"/>
        <v>0.3761934914194367</v>
      </c>
      <c r="L386">
        <f t="shared" si="98"/>
        <v>1.4269664721698441</v>
      </c>
      <c r="M386">
        <f t="shared" si="99"/>
        <v>0.99816748731817362</v>
      </c>
      <c r="N386">
        <f t="shared" si="100"/>
        <v>1.0009474547186854</v>
      </c>
      <c r="O386">
        <v>5.8777010369477131E-3</v>
      </c>
      <c r="P386">
        <v>4.0467825391878537E-3</v>
      </c>
      <c r="Q386">
        <f t="shared" si="101"/>
        <v>2648.2123936959429</v>
      </c>
      <c r="R386">
        <f t="shared" si="102"/>
        <v>2.648212393695943</v>
      </c>
    </row>
    <row r="387" spans="1:18" x14ac:dyDescent="0.3">
      <c r="A387">
        <v>0.77200000000000002</v>
      </c>
      <c r="B387" s="4"/>
      <c r="C387">
        <v>-46.579327153396498</v>
      </c>
      <c r="D387">
        <v>1.6015801350000001</v>
      </c>
      <c r="E387">
        <f t="shared" si="107"/>
        <v>39.257327958734159</v>
      </c>
      <c r="F387">
        <f t="shared" ref="F387:F450" si="108">0.0462806*SQRT(E387/1000)</f>
        <v>9.1697891313000518E-3</v>
      </c>
      <c r="G387">
        <f t="shared" ref="G387:G450" si="109">$U$3*F387/2</f>
        <v>2.836017257103109E-2</v>
      </c>
      <c r="H387">
        <f t="shared" ref="H387:H450" si="110">PI()/G387</f>
        <v>110.77480737189937</v>
      </c>
      <c r="I387">
        <f t="shared" ref="I387:I450" si="111">BESSELI(H387*$Y$5,0)</f>
        <v>1.1135263843766623</v>
      </c>
      <c r="J387">
        <f t="shared" ref="J387:J450" si="112">BESSELI(H387*D387*$Y$5,0)</f>
        <v>1.3039890887053582</v>
      </c>
      <c r="K387">
        <f t="shared" ref="K387:K450" si="113">(D387^2-1)/(D387^2*I387+J387)</f>
        <v>0.3761934914194367</v>
      </c>
      <c r="L387">
        <f t="shared" ref="L387:L450" si="114">I387+J387/(D387^2*I387+J387)</f>
        <v>1.4269664721698441</v>
      </c>
      <c r="M387">
        <f t="shared" ref="M387:M450" si="115">((L387*O387^2)/$Y$5^2)+(K387*BESSELI(O387*H387,0)*COS(H387*A387))</f>
        <v>0.99891992228424376</v>
      </c>
      <c r="N387">
        <f t="shared" ref="N387:N450" si="116">((L387*P387^2)/$Y$5^2)-(K387*BESSELI(P387*H387,0)*COS(H387*A387))</f>
        <v>0.99703398130025089</v>
      </c>
      <c r="O387">
        <v>5.7664771252517698E-3</v>
      </c>
      <c r="P387">
        <v>4.1796129716643315E-3</v>
      </c>
      <c r="Q387">
        <f t="shared" ref="Q387:Q450" si="117">PI()*K387*$U$4*J387*COS(C387*$Y$7)/(4*$Y$6)</f>
        <v>2648.2123936959429</v>
      </c>
      <c r="R387">
        <f t="shared" ref="R387:R450" si="118">Q387/1000</f>
        <v>2.648212393695943</v>
      </c>
    </row>
    <row r="388" spans="1:18" x14ac:dyDescent="0.3">
      <c r="A388">
        <v>0.77400000000000002</v>
      </c>
      <c r="B388" s="4"/>
      <c r="C388">
        <v>-46.579327153396498</v>
      </c>
      <c r="D388">
        <v>1.6015801350000001</v>
      </c>
      <c r="E388">
        <f t="shared" si="107"/>
        <v>39.257327958734159</v>
      </c>
      <c r="F388">
        <f t="shared" si="108"/>
        <v>9.1697891313000518E-3</v>
      </c>
      <c r="G388">
        <f t="shared" si="109"/>
        <v>2.836017257103109E-2</v>
      </c>
      <c r="H388">
        <f t="shared" si="110"/>
        <v>110.77480737189937</v>
      </c>
      <c r="I388">
        <f t="shared" si="111"/>
        <v>1.1135263843766623</v>
      </c>
      <c r="J388">
        <f t="shared" si="112"/>
        <v>1.3039890887053582</v>
      </c>
      <c r="K388">
        <f t="shared" si="113"/>
        <v>0.3761934914194367</v>
      </c>
      <c r="L388">
        <f t="shared" si="114"/>
        <v>1.4269664721698441</v>
      </c>
      <c r="M388">
        <f t="shared" si="115"/>
        <v>0.99957046080308454</v>
      </c>
      <c r="N388">
        <f t="shared" si="116"/>
        <v>1.0006698506585834</v>
      </c>
      <c r="O388">
        <v>5.6182680848983904E-3</v>
      </c>
      <c r="P388">
        <v>4.3734236668189841E-3</v>
      </c>
      <c r="Q388">
        <f t="shared" si="117"/>
        <v>2648.2123936959429</v>
      </c>
      <c r="R388">
        <f t="shared" si="118"/>
        <v>2.648212393695943</v>
      </c>
    </row>
    <row r="389" spans="1:18" x14ac:dyDescent="0.3">
      <c r="A389">
        <v>0.77600000000000002</v>
      </c>
      <c r="B389" s="4"/>
      <c r="C389">
        <v>-46.579327153396498</v>
      </c>
      <c r="D389">
        <v>1.6015801350000001</v>
      </c>
      <c r="E389">
        <f t="shared" si="107"/>
        <v>39.257327958734159</v>
      </c>
      <c r="F389">
        <f t="shared" si="108"/>
        <v>9.1697891313000518E-3</v>
      </c>
      <c r="G389">
        <f t="shared" si="109"/>
        <v>2.836017257103109E-2</v>
      </c>
      <c r="H389">
        <f t="shared" si="110"/>
        <v>110.77480737189937</v>
      </c>
      <c r="I389">
        <f t="shared" si="111"/>
        <v>1.1135263843766623</v>
      </c>
      <c r="J389">
        <f t="shared" si="112"/>
        <v>1.3039890887053582</v>
      </c>
      <c r="K389">
        <f t="shared" si="113"/>
        <v>0.3761934914194367</v>
      </c>
      <c r="L389">
        <f t="shared" si="114"/>
        <v>1.4269664721698441</v>
      </c>
      <c r="M389">
        <f t="shared" si="115"/>
        <v>1.005169098180303</v>
      </c>
      <c r="N389">
        <f t="shared" si="116"/>
        <v>1.0049576993571283</v>
      </c>
      <c r="O389">
        <v>5.4505091249136767E-3</v>
      </c>
      <c r="P389">
        <v>4.5949058666252063E-3</v>
      </c>
      <c r="Q389">
        <f t="shared" si="117"/>
        <v>2648.2123936959429</v>
      </c>
      <c r="R389">
        <f t="shared" si="118"/>
        <v>2.648212393695943</v>
      </c>
    </row>
    <row r="390" spans="1:18" x14ac:dyDescent="0.3">
      <c r="A390">
        <v>0.77800000000000002</v>
      </c>
      <c r="B390" s="4"/>
      <c r="C390">
        <v>-46.579327153396498</v>
      </c>
      <c r="D390">
        <v>1.6015801350000001</v>
      </c>
      <c r="E390">
        <f t="shared" si="107"/>
        <v>39.257327958734159</v>
      </c>
      <c r="F390">
        <f t="shared" si="108"/>
        <v>9.1697891313000518E-3</v>
      </c>
      <c r="G390">
        <f t="shared" si="109"/>
        <v>2.836017257103109E-2</v>
      </c>
      <c r="H390">
        <f t="shared" si="110"/>
        <v>110.77480737189937</v>
      </c>
      <c r="I390">
        <f t="shared" si="111"/>
        <v>1.1135263843766623</v>
      </c>
      <c r="J390">
        <f t="shared" si="112"/>
        <v>1.3039890887053582</v>
      </c>
      <c r="K390">
        <f t="shared" si="113"/>
        <v>0.3761934914194367</v>
      </c>
      <c r="L390">
        <f t="shared" si="114"/>
        <v>1.4269664721698441</v>
      </c>
      <c r="M390">
        <f t="shared" si="115"/>
        <v>0.99759743836001979</v>
      </c>
      <c r="N390">
        <f t="shared" si="116"/>
        <v>1.0027826687587225</v>
      </c>
      <c r="O390">
        <v>5.227387551068826E-3</v>
      </c>
      <c r="P390">
        <v>4.8132159778110214E-3</v>
      </c>
      <c r="Q390">
        <f t="shared" si="117"/>
        <v>2648.2123936959429</v>
      </c>
      <c r="R390">
        <f t="shared" si="118"/>
        <v>2.648212393695943</v>
      </c>
    </row>
    <row r="391" spans="1:18" x14ac:dyDescent="0.3">
      <c r="A391">
        <v>0.78</v>
      </c>
      <c r="B391" s="4"/>
      <c r="C391">
        <v>-46.579327153396498</v>
      </c>
      <c r="D391">
        <v>1.6015801350000001</v>
      </c>
      <c r="E391">
        <f t="shared" si="107"/>
        <v>39.257327958734159</v>
      </c>
      <c r="F391">
        <f t="shared" si="108"/>
        <v>9.1697891313000518E-3</v>
      </c>
      <c r="G391">
        <f t="shared" si="109"/>
        <v>2.836017257103109E-2</v>
      </c>
      <c r="H391">
        <f t="shared" si="110"/>
        <v>110.77480737189937</v>
      </c>
      <c r="I391">
        <f t="shared" si="111"/>
        <v>1.1135263843766623</v>
      </c>
      <c r="J391">
        <f t="shared" si="112"/>
        <v>1.3039890887053582</v>
      </c>
      <c r="K391">
        <f t="shared" si="113"/>
        <v>0.3761934914194367</v>
      </c>
      <c r="L391">
        <f t="shared" si="114"/>
        <v>1.4269664721698441</v>
      </c>
      <c r="M391">
        <f t="shared" si="115"/>
        <v>0.9988403542926686</v>
      </c>
      <c r="N391">
        <f t="shared" si="116"/>
        <v>0.99957578627623689</v>
      </c>
      <c r="O391">
        <v>5.0091004310651955E-3</v>
      </c>
      <c r="P391">
        <v>5.0324662118980991E-3</v>
      </c>
      <c r="Q391">
        <f t="shared" si="117"/>
        <v>2648.2123936959429</v>
      </c>
      <c r="R391">
        <f t="shared" si="118"/>
        <v>2.648212393695943</v>
      </c>
    </row>
    <row r="392" spans="1:18" x14ac:dyDescent="0.3">
      <c r="A392">
        <v>0.78200000000000003</v>
      </c>
      <c r="B392" s="4"/>
      <c r="C392">
        <v>-46.579327153396498</v>
      </c>
      <c r="D392">
        <v>1.6015801350000001</v>
      </c>
      <c r="E392">
        <f t="shared" si="107"/>
        <v>39.257327958734159</v>
      </c>
      <c r="F392">
        <f t="shared" si="108"/>
        <v>9.1697891313000518E-3</v>
      </c>
      <c r="G392">
        <f t="shared" si="109"/>
        <v>2.836017257103109E-2</v>
      </c>
      <c r="H392">
        <f t="shared" si="110"/>
        <v>110.77480737189937</v>
      </c>
      <c r="I392">
        <f t="shared" si="111"/>
        <v>1.1135263843766623</v>
      </c>
      <c r="J392">
        <f t="shared" si="112"/>
        <v>1.3039890887053582</v>
      </c>
      <c r="K392">
        <f t="shared" si="113"/>
        <v>0.3761934914194367</v>
      </c>
      <c r="L392">
        <f t="shared" si="114"/>
        <v>1.4269664721698441</v>
      </c>
      <c r="M392">
        <f t="shared" si="115"/>
        <v>1.0087165120501629</v>
      </c>
      <c r="N392">
        <f t="shared" si="116"/>
        <v>0.99853056366155024</v>
      </c>
      <c r="O392">
        <v>4.807040337919493E-3</v>
      </c>
      <c r="P392">
        <v>5.2500375136595176E-3</v>
      </c>
      <c r="Q392">
        <f t="shared" si="117"/>
        <v>2648.2123936959429</v>
      </c>
      <c r="R392">
        <f t="shared" si="118"/>
        <v>2.648212393695943</v>
      </c>
    </row>
    <row r="393" spans="1:18" x14ac:dyDescent="0.3">
      <c r="A393">
        <v>0.78400000000000003</v>
      </c>
      <c r="B393" s="4"/>
      <c r="C393">
        <v>-46.579327153396498</v>
      </c>
      <c r="D393">
        <v>1.6015801350000001</v>
      </c>
      <c r="E393">
        <f t="shared" si="107"/>
        <v>39.257327958734159</v>
      </c>
      <c r="F393">
        <f t="shared" si="108"/>
        <v>9.1697891313000518E-3</v>
      </c>
      <c r="G393">
        <f t="shared" si="109"/>
        <v>2.836017257103109E-2</v>
      </c>
      <c r="H393">
        <f t="shared" si="110"/>
        <v>110.77480737189937</v>
      </c>
      <c r="I393">
        <f t="shared" si="111"/>
        <v>1.1135263843766623</v>
      </c>
      <c r="J393">
        <f t="shared" si="112"/>
        <v>1.3039890887053582</v>
      </c>
      <c r="K393">
        <f t="shared" si="113"/>
        <v>0.3761934914194367</v>
      </c>
      <c r="L393">
        <f t="shared" si="114"/>
        <v>1.4269664721698441</v>
      </c>
      <c r="M393">
        <f t="shared" si="115"/>
        <v>1.0011956011001713</v>
      </c>
      <c r="N393">
        <f t="shared" si="116"/>
        <v>0.99762745073159187</v>
      </c>
      <c r="O393">
        <v>4.5638949325885938E-3</v>
      </c>
      <c r="P393">
        <v>5.4512109950482319E-3</v>
      </c>
      <c r="Q393">
        <f t="shared" si="117"/>
        <v>2648.2123936959429</v>
      </c>
      <c r="R393">
        <f t="shared" si="118"/>
        <v>2.648212393695943</v>
      </c>
    </row>
    <row r="394" spans="1:18" x14ac:dyDescent="0.3">
      <c r="A394">
        <v>0.78600000000000003</v>
      </c>
      <c r="B394" s="4"/>
      <c r="C394">
        <v>-46.579327153396498</v>
      </c>
      <c r="D394">
        <v>1.6015801350000001</v>
      </c>
      <c r="E394">
        <f t="shared" si="107"/>
        <v>39.257327958734159</v>
      </c>
      <c r="F394">
        <f t="shared" si="108"/>
        <v>9.1697891313000518E-3</v>
      </c>
      <c r="G394">
        <f t="shared" si="109"/>
        <v>2.836017257103109E-2</v>
      </c>
      <c r="H394">
        <f t="shared" si="110"/>
        <v>110.77480737189937</v>
      </c>
      <c r="I394">
        <f t="shared" si="111"/>
        <v>1.1135263843766623</v>
      </c>
      <c r="J394">
        <f t="shared" si="112"/>
        <v>1.3039890887053582</v>
      </c>
      <c r="K394">
        <f t="shared" si="113"/>
        <v>0.3761934914194367</v>
      </c>
      <c r="L394">
        <f t="shared" si="114"/>
        <v>1.4269664721698441</v>
      </c>
      <c r="M394">
        <f t="shared" si="115"/>
        <v>1.0033228824365599</v>
      </c>
      <c r="N394">
        <f t="shared" si="116"/>
        <v>1.0042423485436236</v>
      </c>
      <c r="O394">
        <v>4.3621748726892151E-3</v>
      </c>
      <c r="P394">
        <v>5.6446221546231383E-3</v>
      </c>
      <c r="Q394">
        <f t="shared" si="117"/>
        <v>2648.2123936959429</v>
      </c>
      <c r="R394">
        <f t="shared" si="118"/>
        <v>2.648212393695943</v>
      </c>
    </row>
    <row r="395" spans="1:18" x14ac:dyDescent="0.3">
      <c r="A395">
        <v>0.78800000000000003</v>
      </c>
      <c r="B395" s="4"/>
      <c r="C395">
        <v>-46.579327153396498</v>
      </c>
      <c r="D395">
        <v>1.6015801350000001</v>
      </c>
      <c r="E395">
        <f t="shared" si="107"/>
        <v>39.257327958734159</v>
      </c>
      <c r="F395">
        <f t="shared" si="108"/>
        <v>9.1697891313000518E-3</v>
      </c>
      <c r="G395">
        <f t="shared" si="109"/>
        <v>2.836017257103109E-2</v>
      </c>
      <c r="H395">
        <f t="shared" si="110"/>
        <v>110.77480737189937</v>
      </c>
      <c r="I395">
        <f t="shared" si="111"/>
        <v>1.1135263843766623</v>
      </c>
      <c r="J395">
        <f t="shared" si="112"/>
        <v>1.3039890887053582</v>
      </c>
      <c r="K395">
        <f t="shared" si="113"/>
        <v>0.3761934914194367</v>
      </c>
      <c r="L395">
        <f t="shared" si="114"/>
        <v>1.4269664721698441</v>
      </c>
      <c r="M395">
        <f t="shared" si="115"/>
        <v>1.0003824933678835</v>
      </c>
      <c r="N395">
        <f t="shared" si="116"/>
        <v>0.99973544037244988</v>
      </c>
      <c r="O395">
        <v>4.1738747749621909E-3</v>
      </c>
      <c r="P395">
        <v>5.7807155719413464E-3</v>
      </c>
      <c r="Q395">
        <f t="shared" si="117"/>
        <v>2648.2123936959429</v>
      </c>
      <c r="R395">
        <f t="shared" si="118"/>
        <v>2.648212393695943</v>
      </c>
    </row>
    <row r="396" spans="1:18" x14ac:dyDescent="0.3">
      <c r="A396">
        <v>0.79</v>
      </c>
      <c r="B396" s="4">
        <v>44</v>
      </c>
      <c r="C396">
        <v>-46.257605154737902</v>
      </c>
      <c r="D396">
        <v>1.6975169299999999</v>
      </c>
      <c r="E396">
        <f>$E$395+$R$395</f>
        <v>41.905540352430101</v>
      </c>
      <c r="F396">
        <f t="shared" si="108"/>
        <v>9.4740288568675654E-3</v>
      </c>
      <c r="G396">
        <f t="shared" si="109"/>
        <v>2.9301120175879068E-2</v>
      </c>
      <c r="H396">
        <f t="shared" si="110"/>
        <v>107.21749321297207</v>
      </c>
      <c r="I396">
        <f t="shared" si="111"/>
        <v>1.1061672541242606</v>
      </c>
      <c r="J396">
        <f t="shared" si="112"/>
        <v>1.321097400905944</v>
      </c>
      <c r="K396">
        <f t="shared" si="113"/>
        <v>0.41732874644899476</v>
      </c>
      <c r="L396">
        <f t="shared" si="114"/>
        <v>1.399185191363949</v>
      </c>
      <c r="M396">
        <f t="shared" si="115"/>
        <v>0.99560470017534708</v>
      </c>
      <c r="N396">
        <f t="shared" si="116"/>
        <v>1.0051979769994968</v>
      </c>
      <c r="O396">
        <v>6.1199282119684725E-3</v>
      </c>
      <c r="P396">
        <v>3.8402632284993336E-3</v>
      </c>
      <c r="Q396">
        <f t="shared" si="117"/>
        <v>2993.940591808338</v>
      </c>
      <c r="R396">
        <f t="shared" si="118"/>
        <v>2.9939405918083382</v>
      </c>
    </row>
    <row r="397" spans="1:18" x14ac:dyDescent="0.3">
      <c r="A397">
        <v>0.79200000000000004</v>
      </c>
      <c r="B397" s="4"/>
      <c r="C397">
        <v>-46.257605154737902</v>
      </c>
      <c r="D397">
        <v>1.6975169299999999</v>
      </c>
      <c r="E397">
        <f t="shared" ref="E397:E409" si="119">$E$395+$R$395</f>
        <v>41.905540352430101</v>
      </c>
      <c r="F397">
        <f t="shared" si="108"/>
        <v>9.4740288568675654E-3</v>
      </c>
      <c r="G397">
        <f t="shared" si="109"/>
        <v>2.9301120175879068E-2</v>
      </c>
      <c r="H397">
        <f t="shared" si="110"/>
        <v>107.21749321297207</v>
      </c>
      <c r="I397">
        <f t="shared" si="111"/>
        <v>1.1061672541242606</v>
      </c>
      <c r="J397">
        <f t="shared" si="112"/>
        <v>1.321097400905944</v>
      </c>
      <c r="K397">
        <f t="shared" si="113"/>
        <v>0.41732874644899476</v>
      </c>
      <c r="L397">
        <f t="shared" si="114"/>
        <v>1.399185191363949</v>
      </c>
      <c r="M397">
        <f t="shared" si="115"/>
        <v>0.99556403875090183</v>
      </c>
      <c r="N397">
        <f t="shared" si="116"/>
        <v>1.0053107893455624</v>
      </c>
      <c r="O397">
        <v>6.1228484259602603E-3</v>
      </c>
      <c r="P397">
        <v>3.8364030966303352E-3</v>
      </c>
      <c r="Q397">
        <f t="shared" si="117"/>
        <v>2993.940591808338</v>
      </c>
      <c r="R397">
        <f t="shared" si="118"/>
        <v>2.9939405918083382</v>
      </c>
    </row>
    <row r="398" spans="1:18" x14ac:dyDescent="0.3">
      <c r="A398">
        <v>0.79400000000000004</v>
      </c>
      <c r="B398" s="4"/>
      <c r="C398">
        <v>-46.257605154737902</v>
      </c>
      <c r="D398">
        <v>1.6975169299999999</v>
      </c>
      <c r="E398">
        <f t="shared" si="119"/>
        <v>41.905540352430101</v>
      </c>
      <c r="F398">
        <f t="shared" si="108"/>
        <v>9.4740288568675654E-3</v>
      </c>
      <c r="G398">
        <f t="shared" si="109"/>
        <v>2.9301120175879068E-2</v>
      </c>
      <c r="H398">
        <f t="shared" si="110"/>
        <v>107.21749321297207</v>
      </c>
      <c r="I398">
        <f t="shared" si="111"/>
        <v>1.1061672541242606</v>
      </c>
      <c r="J398">
        <f t="shared" si="112"/>
        <v>1.321097400905944</v>
      </c>
      <c r="K398">
        <f t="shared" si="113"/>
        <v>0.41732874644899476</v>
      </c>
      <c r="L398">
        <f t="shared" si="114"/>
        <v>1.399185191363949</v>
      </c>
      <c r="M398">
        <f t="shared" si="115"/>
        <v>0.99612258857773861</v>
      </c>
      <c r="N398">
        <f t="shared" si="116"/>
        <v>1.0038153698040595</v>
      </c>
      <c r="O398">
        <v>6.0810827595409915E-3</v>
      </c>
      <c r="P398">
        <v>3.8915163920257112E-3</v>
      </c>
      <c r="Q398">
        <f t="shared" si="117"/>
        <v>2993.940591808338</v>
      </c>
      <c r="R398">
        <f t="shared" si="118"/>
        <v>2.9939405918083382</v>
      </c>
    </row>
    <row r="399" spans="1:18" x14ac:dyDescent="0.3">
      <c r="A399">
        <v>0.79600000000000004</v>
      </c>
      <c r="B399" s="4"/>
      <c r="C399">
        <v>-46.257605154737902</v>
      </c>
      <c r="D399">
        <v>1.6975169299999999</v>
      </c>
      <c r="E399">
        <f t="shared" si="119"/>
        <v>41.905540352430101</v>
      </c>
      <c r="F399">
        <f t="shared" si="108"/>
        <v>9.4740288568675654E-3</v>
      </c>
      <c r="G399">
        <f t="shared" si="109"/>
        <v>2.9301120175879068E-2</v>
      </c>
      <c r="H399">
        <f t="shared" si="110"/>
        <v>107.21749321297207</v>
      </c>
      <c r="I399">
        <f t="shared" si="111"/>
        <v>1.1061672541242606</v>
      </c>
      <c r="J399">
        <f t="shared" si="112"/>
        <v>1.321097400905944</v>
      </c>
      <c r="K399">
        <f t="shared" si="113"/>
        <v>0.41732874644899476</v>
      </c>
      <c r="L399">
        <f t="shared" si="114"/>
        <v>1.399185191363949</v>
      </c>
      <c r="M399">
        <f t="shared" si="115"/>
        <v>0.99711712466315916</v>
      </c>
      <c r="N399">
        <f t="shared" si="116"/>
        <v>1.0015369909831768</v>
      </c>
      <c r="O399">
        <v>5.9957186788080338E-3</v>
      </c>
      <c r="P399">
        <v>4.0035262200690267E-3</v>
      </c>
      <c r="Q399">
        <f t="shared" si="117"/>
        <v>2993.940591808338</v>
      </c>
      <c r="R399">
        <f t="shared" si="118"/>
        <v>2.9939405918083382</v>
      </c>
    </row>
    <row r="400" spans="1:18" x14ac:dyDescent="0.3">
      <c r="A400">
        <v>0.79800000000000004</v>
      </c>
      <c r="B400" s="4"/>
      <c r="C400">
        <v>-46.257605154737902</v>
      </c>
      <c r="D400">
        <v>1.6975169299999999</v>
      </c>
      <c r="E400">
        <f t="shared" si="119"/>
        <v>41.905540352430101</v>
      </c>
      <c r="F400">
        <f t="shared" si="108"/>
        <v>9.4740288568675654E-3</v>
      </c>
      <c r="G400">
        <f t="shared" si="109"/>
        <v>2.9301120175879068E-2</v>
      </c>
      <c r="H400">
        <f t="shared" si="110"/>
        <v>107.21749321297207</v>
      </c>
      <c r="I400">
        <f t="shared" si="111"/>
        <v>1.1061672541242606</v>
      </c>
      <c r="J400">
        <f t="shared" si="112"/>
        <v>1.321097400905944</v>
      </c>
      <c r="K400">
        <f t="shared" si="113"/>
        <v>0.41732874644899476</v>
      </c>
      <c r="L400">
        <f t="shared" si="114"/>
        <v>1.399185191363949</v>
      </c>
      <c r="M400">
        <f t="shared" si="115"/>
        <v>0.99826256770803912</v>
      </c>
      <c r="N400">
        <f t="shared" si="116"/>
        <v>1.0038286200931144</v>
      </c>
      <c r="O400">
        <v>5.8690634327051979E-3</v>
      </c>
      <c r="P400">
        <v>4.1796129716643315E-3</v>
      </c>
      <c r="Q400">
        <f t="shared" si="117"/>
        <v>2993.940591808338</v>
      </c>
      <c r="R400">
        <f t="shared" si="118"/>
        <v>2.9939405918083382</v>
      </c>
    </row>
    <row r="401" spans="1:18" x14ac:dyDescent="0.3">
      <c r="A401">
        <v>0.8</v>
      </c>
      <c r="B401" s="4"/>
      <c r="C401">
        <v>-46.257605154737902</v>
      </c>
      <c r="D401">
        <v>1.6975169299999999</v>
      </c>
      <c r="E401">
        <f t="shared" si="119"/>
        <v>41.905540352430101</v>
      </c>
      <c r="F401">
        <f t="shared" si="108"/>
        <v>9.4740288568675654E-3</v>
      </c>
      <c r="G401">
        <f t="shared" si="109"/>
        <v>2.9301120175879068E-2</v>
      </c>
      <c r="H401">
        <f t="shared" si="110"/>
        <v>107.21749321297207</v>
      </c>
      <c r="I401">
        <f t="shared" si="111"/>
        <v>1.1061672541242606</v>
      </c>
      <c r="J401">
        <f t="shared" si="112"/>
        <v>1.321097400905944</v>
      </c>
      <c r="K401">
        <f t="shared" si="113"/>
        <v>0.41732874644899476</v>
      </c>
      <c r="L401">
        <f t="shared" si="114"/>
        <v>1.399185191363949</v>
      </c>
      <c r="M401">
        <f t="shared" si="115"/>
        <v>0.99924770444761535</v>
      </c>
      <c r="N401">
        <f t="shared" si="116"/>
        <v>1.0006988699611774</v>
      </c>
      <c r="O401">
        <v>5.7047545458548737E-3</v>
      </c>
      <c r="P401">
        <v>4.3774223304291465E-3</v>
      </c>
      <c r="Q401">
        <f t="shared" si="117"/>
        <v>2993.940591808338</v>
      </c>
      <c r="R401">
        <f t="shared" si="118"/>
        <v>2.9939405918083382</v>
      </c>
    </row>
    <row r="402" spans="1:18" x14ac:dyDescent="0.3">
      <c r="A402">
        <v>0.80200000000000005</v>
      </c>
      <c r="B402" s="4"/>
      <c r="C402">
        <v>-46.257605154737902</v>
      </c>
      <c r="D402">
        <v>1.6975169299999999</v>
      </c>
      <c r="E402">
        <f t="shared" si="119"/>
        <v>41.905540352430101</v>
      </c>
      <c r="F402">
        <f t="shared" si="108"/>
        <v>9.4740288568675654E-3</v>
      </c>
      <c r="G402">
        <f t="shared" si="109"/>
        <v>2.9301120175879068E-2</v>
      </c>
      <c r="H402">
        <f t="shared" si="110"/>
        <v>107.21749321297207</v>
      </c>
      <c r="I402">
        <f t="shared" si="111"/>
        <v>1.1061672541242606</v>
      </c>
      <c r="J402">
        <f t="shared" si="112"/>
        <v>1.321097400905944</v>
      </c>
      <c r="K402">
        <f t="shared" si="113"/>
        <v>0.41732874644899476</v>
      </c>
      <c r="L402">
        <f t="shared" si="114"/>
        <v>1.399185191363949</v>
      </c>
      <c r="M402">
        <f t="shared" si="115"/>
        <v>1.0085581634008767</v>
      </c>
      <c r="N402">
        <f t="shared" si="116"/>
        <v>1.005686180162767</v>
      </c>
      <c r="O402">
        <v>5.5284793091973216E-3</v>
      </c>
      <c r="P402">
        <v>4.6235224367849898E-3</v>
      </c>
      <c r="Q402">
        <f t="shared" si="117"/>
        <v>2993.940591808338</v>
      </c>
      <c r="R402">
        <f t="shared" si="118"/>
        <v>2.9939405918083382</v>
      </c>
    </row>
    <row r="403" spans="1:18" x14ac:dyDescent="0.3">
      <c r="A403">
        <v>0.80400000000000005</v>
      </c>
      <c r="B403" s="4"/>
      <c r="C403">
        <v>-46.257605154737902</v>
      </c>
      <c r="D403">
        <v>1.6975169299999999</v>
      </c>
      <c r="E403">
        <f t="shared" si="119"/>
        <v>41.905540352430101</v>
      </c>
      <c r="F403">
        <f t="shared" si="108"/>
        <v>9.4740288568675654E-3</v>
      </c>
      <c r="G403">
        <f t="shared" si="109"/>
        <v>2.9301120175879068E-2</v>
      </c>
      <c r="H403">
        <f t="shared" si="110"/>
        <v>107.21749321297207</v>
      </c>
      <c r="I403">
        <f t="shared" si="111"/>
        <v>1.1061672541242606</v>
      </c>
      <c r="J403">
        <f t="shared" si="112"/>
        <v>1.321097400905944</v>
      </c>
      <c r="K403">
        <f t="shared" si="113"/>
        <v>0.41732874644899476</v>
      </c>
      <c r="L403">
        <f t="shared" si="114"/>
        <v>1.399185191363949</v>
      </c>
      <c r="M403">
        <f t="shared" si="115"/>
        <v>0.99914846177850147</v>
      </c>
      <c r="N403">
        <f t="shared" si="116"/>
        <v>1.0041698258079579</v>
      </c>
      <c r="O403">
        <v>5.2831658175808696E-3</v>
      </c>
      <c r="P403">
        <v>4.8639390541271171E-3</v>
      </c>
      <c r="Q403">
        <f t="shared" si="117"/>
        <v>2993.940591808338</v>
      </c>
      <c r="R403">
        <f t="shared" si="118"/>
        <v>2.9939405918083382</v>
      </c>
    </row>
    <row r="404" spans="1:18" x14ac:dyDescent="0.3">
      <c r="A404">
        <v>0.80600000000000005</v>
      </c>
      <c r="B404" s="4"/>
      <c r="C404">
        <v>-46.257605154737902</v>
      </c>
      <c r="D404">
        <v>1.6975169299999999</v>
      </c>
      <c r="E404">
        <f t="shared" si="119"/>
        <v>41.905540352430101</v>
      </c>
      <c r="F404">
        <f t="shared" si="108"/>
        <v>9.4740288568675654E-3</v>
      </c>
      <c r="G404">
        <f t="shared" si="109"/>
        <v>2.9301120175879068E-2</v>
      </c>
      <c r="H404">
        <f t="shared" si="110"/>
        <v>107.21749321297207</v>
      </c>
      <c r="I404">
        <f t="shared" si="111"/>
        <v>1.1061672541242606</v>
      </c>
      <c r="J404">
        <f t="shared" si="112"/>
        <v>1.321097400905944</v>
      </c>
      <c r="K404">
        <f t="shared" si="113"/>
        <v>0.41732874644899476</v>
      </c>
      <c r="L404">
        <f t="shared" si="114"/>
        <v>1.399185191363949</v>
      </c>
      <c r="M404">
        <f t="shared" si="115"/>
        <v>0.99865738540874305</v>
      </c>
      <c r="N404">
        <f t="shared" si="116"/>
        <v>0.99935899025276997</v>
      </c>
      <c r="O404">
        <v>5.0421834567910204E-3</v>
      </c>
      <c r="P404">
        <v>5.097478905261868E-3</v>
      </c>
      <c r="Q404">
        <f t="shared" si="117"/>
        <v>2993.940591808338</v>
      </c>
      <c r="R404">
        <f t="shared" si="118"/>
        <v>2.9939405918083382</v>
      </c>
    </row>
    <row r="405" spans="1:18" x14ac:dyDescent="0.3">
      <c r="A405">
        <v>0.80800000000000005</v>
      </c>
      <c r="B405" s="4"/>
      <c r="C405">
        <v>-46.257605154737902</v>
      </c>
      <c r="D405">
        <v>1.6975169299999999</v>
      </c>
      <c r="E405">
        <f t="shared" si="119"/>
        <v>41.905540352430101</v>
      </c>
      <c r="F405">
        <f t="shared" si="108"/>
        <v>9.4740288568675654E-3</v>
      </c>
      <c r="G405">
        <f t="shared" si="109"/>
        <v>2.9301120175879068E-2</v>
      </c>
      <c r="H405">
        <f t="shared" si="110"/>
        <v>107.21749321297207</v>
      </c>
      <c r="I405">
        <f t="shared" si="111"/>
        <v>1.1061672541242606</v>
      </c>
      <c r="J405">
        <f t="shared" si="112"/>
        <v>1.321097400905944</v>
      </c>
      <c r="K405">
        <f t="shared" si="113"/>
        <v>0.41732874644899476</v>
      </c>
      <c r="L405">
        <f t="shared" si="114"/>
        <v>1.399185191363949</v>
      </c>
      <c r="M405">
        <f t="shared" si="115"/>
        <v>1.0092069439047402</v>
      </c>
      <c r="N405">
        <f t="shared" si="116"/>
        <v>0.99794352016852816</v>
      </c>
      <c r="O405">
        <v>4.8232021092088594E-3</v>
      </c>
      <c r="P405">
        <v>5.3308648946835731E-3</v>
      </c>
      <c r="Q405">
        <f t="shared" si="117"/>
        <v>2993.940591808338</v>
      </c>
      <c r="R405">
        <f t="shared" si="118"/>
        <v>2.9939405918083382</v>
      </c>
    </row>
    <row r="406" spans="1:18" x14ac:dyDescent="0.3">
      <c r="A406">
        <v>0.81</v>
      </c>
      <c r="B406" s="4"/>
      <c r="C406">
        <v>-46.257605154737902</v>
      </c>
      <c r="D406">
        <v>1.6975169299999999</v>
      </c>
      <c r="E406">
        <f t="shared" si="119"/>
        <v>41.905540352430101</v>
      </c>
      <c r="F406">
        <f t="shared" si="108"/>
        <v>9.4740288568675654E-3</v>
      </c>
      <c r="G406">
        <f t="shared" si="109"/>
        <v>2.9301120175879068E-2</v>
      </c>
      <c r="H406">
        <f t="shared" si="110"/>
        <v>107.21749321297207</v>
      </c>
      <c r="I406">
        <f t="shared" si="111"/>
        <v>1.1061672541242606</v>
      </c>
      <c r="J406">
        <f t="shared" si="112"/>
        <v>1.321097400905944</v>
      </c>
      <c r="K406">
        <f t="shared" si="113"/>
        <v>0.41732874644899476</v>
      </c>
      <c r="L406">
        <f t="shared" si="114"/>
        <v>1.399185191363949</v>
      </c>
      <c r="M406">
        <f t="shared" si="115"/>
        <v>1.00105810778527</v>
      </c>
      <c r="N406">
        <f t="shared" si="116"/>
        <v>0.99001721687290267</v>
      </c>
      <c r="O406">
        <v>4.5583571225930649E-3</v>
      </c>
      <c r="P406">
        <v>5.5305989827073481E-3</v>
      </c>
      <c r="Q406">
        <f t="shared" si="117"/>
        <v>2993.940591808338</v>
      </c>
      <c r="R406">
        <f t="shared" si="118"/>
        <v>2.9939405918083382</v>
      </c>
    </row>
    <row r="407" spans="1:18" x14ac:dyDescent="0.3">
      <c r="A407">
        <v>0.81200000000000006</v>
      </c>
      <c r="B407" s="4"/>
      <c r="C407">
        <v>-46.257605154737902</v>
      </c>
      <c r="D407">
        <v>1.6975169299999999</v>
      </c>
      <c r="E407">
        <f t="shared" si="119"/>
        <v>41.905540352430101</v>
      </c>
      <c r="F407">
        <f t="shared" si="108"/>
        <v>9.4740288568675654E-3</v>
      </c>
      <c r="G407">
        <f t="shared" si="109"/>
        <v>2.9301120175879068E-2</v>
      </c>
      <c r="H407">
        <f t="shared" si="110"/>
        <v>107.21749321297207</v>
      </c>
      <c r="I407">
        <f t="shared" si="111"/>
        <v>1.1061672541242606</v>
      </c>
      <c r="J407">
        <f t="shared" si="112"/>
        <v>1.321097400905944</v>
      </c>
      <c r="K407">
        <f t="shared" si="113"/>
        <v>0.41732874644899476</v>
      </c>
      <c r="L407">
        <f t="shared" si="114"/>
        <v>1.399185191363949</v>
      </c>
      <c r="M407">
        <f t="shared" si="115"/>
        <v>1.0026736701204055</v>
      </c>
      <c r="N407">
        <f t="shared" si="116"/>
        <v>1.0097769949281199</v>
      </c>
      <c r="O407">
        <v>4.3351509527358757E-3</v>
      </c>
      <c r="P407">
        <v>5.7682002172169591E-3</v>
      </c>
      <c r="Q407">
        <f t="shared" si="117"/>
        <v>2993.940591808338</v>
      </c>
      <c r="R407">
        <f t="shared" si="118"/>
        <v>2.9939405918083382</v>
      </c>
    </row>
    <row r="408" spans="1:18" x14ac:dyDescent="0.3">
      <c r="A408">
        <v>0.81399999999999995</v>
      </c>
      <c r="B408" s="4"/>
      <c r="C408">
        <v>-46.257605154737902</v>
      </c>
      <c r="D408">
        <v>1.6975169299999999</v>
      </c>
      <c r="E408">
        <f t="shared" si="119"/>
        <v>41.905540352430101</v>
      </c>
      <c r="F408">
        <f t="shared" si="108"/>
        <v>9.4740288568675654E-3</v>
      </c>
      <c r="G408">
        <f t="shared" si="109"/>
        <v>2.9301120175879068E-2</v>
      </c>
      <c r="H408">
        <f t="shared" si="110"/>
        <v>107.21749321297207</v>
      </c>
      <c r="I408">
        <f t="shared" si="111"/>
        <v>1.1061672541242606</v>
      </c>
      <c r="J408">
        <f t="shared" si="112"/>
        <v>1.321097400905944</v>
      </c>
      <c r="K408">
        <f t="shared" si="113"/>
        <v>0.41732874644899476</v>
      </c>
      <c r="L408">
        <f t="shared" si="114"/>
        <v>1.399185191363949</v>
      </c>
      <c r="M408">
        <f t="shared" si="115"/>
        <v>1.000094862338621</v>
      </c>
      <c r="N408">
        <f t="shared" si="116"/>
        <v>0.99935272899501393</v>
      </c>
      <c r="O408">
        <v>4.1275598168523404E-3</v>
      </c>
      <c r="P408">
        <v>5.9031870868217085E-3</v>
      </c>
      <c r="Q408">
        <f t="shared" si="117"/>
        <v>2993.940591808338</v>
      </c>
      <c r="R408">
        <f t="shared" si="118"/>
        <v>2.9939405918083382</v>
      </c>
    </row>
    <row r="409" spans="1:18" x14ac:dyDescent="0.3">
      <c r="A409">
        <v>0.81599999999999995</v>
      </c>
      <c r="B409" s="4"/>
      <c r="C409">
        <v>-46.257605154737902</v>
      </c>
      <c r="D409">
        <v>1.6975169299999999</v>
      </c>
      <c r="E409">
        <f t="shared" si="119"/>
        <v>41.905540352430101</v>
      </c>
      <c r="F409">
        <f t="shared" si="108"/>
        <v>9.4740288568675654E-3</v>
      </c>
      <c r="G409">
        <f t="shared" si="109"/>
        <v>2.9301120175879068E-2</v>
      </c>
      <c r="H409">
        <f t="shared" si="110"/>
        <v>107.21749321297207</v>
      </c>
      <c r="I409">
        <f t="shared" si="111"/>
        <v>1.1061672541242606</v>
      </c>
      <c r="J409">
        <f t="shared" si="112"/>
        <v>1.321097400905944</v>
      </c>
      <c r="K409">
        <f t="shared" si="113"/>
        <v>0.41732874644899476</v>
      </c>
      <c r="L409">
        <f t="shared" si="114"/>
        <v>1.399185191363949</v>
      </c>
      <c r="M409">
        <f t="shared" si="115"/>
        <v>1.0001568365661337</v>
      </c>
      <c r="N409">
        <f t="shared" si="116"/>
        <v>0.99875397027268853</v>
      </c>
      <c r="O409">
        <v>3.9683750478798708E-3</v>
      </c>
      <c r="P409">
        <v>6.0221978626263063E-3</v>
      </c>
      <c r="Q409">
        <f t="shared" si="117"/>
        <v>2993.940591808338</v>
      </c>
      <c r="R409">
        <f t="shared" si="118"/>
        <v>2.9939405918083382</v>
      </c>
    </row>
    <row r="410" spans="1:18" x14ac:dyDescent="0.3">
      <c r="A410">
        <v>0.81799999999999995</v>
      </c>
      <c r="B410" s="4">
        <v>45</v>
      </c>
      <c r="C410">
        <v>-45.943543203666401</v>
      </c>
      <c r="D410">
        <v>1.8024830700000001</v>
      </c>
      <c r="E410">
        <f>$E$409+$R$409</f>
        <v>44.899480944238441</v>
      </c>
      <c r="F410">
        <f t="shared" si="108"/>
        <v>9.8066266361157891E-3</v>
      </c>
      <c r="G410">
        <f t="shared" si="109"/>
        <v>3.032977310138904E-2</v>
      </c>
      <c r="H410">
        <f t="shared" si="110"/>
        <v>103.5811459283853</v>
      </c>
      <c r="I410">
        <f t="shared" si="111"/>
        <v>1.0989176414884472</v>
      </c>
      <c r="J410">
        <f t="shared" si="112"/>
        <v>1.3392032105727611</v>
      </c>
      <c r="K410">
        <f t="shared" si="113"/>
        <v>0.45807783119659629</v>
      </c>
      <c r="L410">
        <f t="shared" si="114"/>
        <v>1.3716940957212285</v>
      </c>
      <c r="M410">
        <f t="shared" si="115"/>
        <v>0.9932501265698479</v>
      </c>
      <c r="N410">
        <f t="shared" si="116"/>
        <v>1.0006627612265167</v>
      </c>
      <c r="O410">
        <v>6.2716718490047818E-3</v>
      </c>
      <c r="P410">
        <v>3.7207704967145865E-3</v>
      </c>
      <c r="Q410">
        <f t="shared" si="117"/>
        <v>3350.3456437820628</v>
      </c>
      <c r="R410">
        <f t="shared" si="118"/>
        <v>3.3503456437820627</v>
      </c>
    </row>
    <row r="411" spans="1:18" x14ac:dyDescent="0.3">
      <c r="A411">
        <v>0.82</v>
      </c>
      <c r="B411" s="4"/>
      <c r="C411">
        <v>-45.943543203666401</v>
      </c>
      <c r="D411">
        <v>1.8024830700000001</v>
      </c>
      <c r="E411">
        <f t="shared" ref="E411:E424" si="120">$E$409+$R$409</f>
        <v>44.899480944238441</v>
      </c>
      <c r="F411">
        <f t="shared" si="108"/>
        <v>9.8066266361157891E-3</v>
      </c>
      <c r="G411">
        <f t="shared" si="109"/>
        <v>3.032977310138904E-2</v>
      </c>
      <c r="H411">
        <f t="shared" si="110"/>
        <v>103.5811459283853</v>
      </c>
      <c r="I411">
        <f t="shared" si="111"/>
        <v>1.0989176414884472</v>
      </c>
      <c r="J411">
        <f t="shared" si="112"/>
        <v>1.3392032105727611</v>
      </c>
      <c r="K411">
        <f t="shared" si="113"/>
        <v>0.45807783119659629</v>
      </c>
      <c r="L411">
        <f t="shared" si="114"/>
        <v>1.3716940957212285</v>
      </c>
      <c r="M411">
        <f t="shared" si="115"/>
        <v>0.99329000007196122</v>
      </c>
      <c r="N411">
        <f t="shared" si="116"/>
        <v>1.0006019422443344</v>
      </c>
      <c r="O411">
        <v>6.2694942135378328E-3</v>
      </c>
      <c r="P411">
        <v>3.7239034297771732E-3</v>
      </c>
      <c r="Q411">
        <f t="shared" si="117"/>
        <v>3350.3456437820628</v>
      </c>
      <c r="R411">
        <f t="shared" si="118"/>
        <v>3.3503456437820627</v>
      </c>
    </row>
    <row r="412" spans="1:18" x14ac:dyDescent="0.3">
      <c r="A412">
        <v>0.82199999999999995</v>
      </c>
      <c r="B412" s="4"/>
      <c r="C412">
        <v>-45.943543203666401</v>
      </c>
      <c r="D412">
        <v>1.8024830700000001</v>
      </c>
      <c r="E412">
        <f t="shared" si="120"/>
        <v>44.899480944238441</v>
      </c>
      <c r="F412">
        <f t="shared" si="108"/>
        <v>9.8066266361157891E-3</v>
      </c>
      <c r="G412">
        <f t="shared" si="109"/>
        <v>3.032977310138904E-2</v>
      </c>
      <c r="H412">
        <f t="shared" si="110"/>
        <v>103.5811459283853</v>
      </c>
      <c r="I412">
        <f t="shared" si="111"/>
        <v>1.0989176414884472</v>
      </c>
      <c r="J412">
        <f t="shared" si="112"/>
        <v>1.3392032105727611</v>
      </c>
      <c r="K412">
        <f t="shared" si="113"/>
        <v>0.45807783119659629</v>
      </c>
      <c r="L412">
        <f t="shared" si="114"/>
        <v>1.3716940957212285</v>
      </c>
      <c r="M412">
        <f t="shared" si="115"/>
        <v>0.99411798423075659</v>
      </c>
      <c r="N412">
        <f t="shared" si="116"/>
        <v>1.0058898302108992</v>
      </c>
      <c r="O412">
        <v>6.2221963025486486E-3</v>
      </c>
      <c r="P412">
        <v>3.8132516463344462E-3</v>
      </c>
      <c r="Q412">
        <f t="shared" si="117"/>
        <v>3350.3456437820628</v>
      </c>
      <c r="R412">
        <f t="shared" si="118"/>
        <v>3.3503456437820627</v>
      </c>
    </row>
    <row r="413" spans="1:18" x14ac:dyDescent="0.3">
      <c r="A413">
        <v>0.82399999999999995</v>
      </c>
      <c r="B413" s="4"/>
      <c r="C413">
        <v>-45.943543203666401</v>
      </c>
      <c r="D413">
        <v>1.8024830700000001</v>
      </c>
      <c r="E413">
        <f t="shared" si="120"/>
        <v>44.899480944238441</v>
      </c>
      <c r="F413">
        <f t="shared" si="108"/>
        <v>9.8066266361157891E-3</v>
      </c>
      <c r="G413">
        <f t="shared" si="109"/>
        <v>3.032977310138904E-2</v>
      </c>
      <c r="H413">
        <f t="shared" si="110"/>
        <v>103.5811459283853</v>
      </c>
      <c r="I413">
        <f t="shared" si="111"/>
        <v>1.0989176414884472</v>
      </c>
      <c r="J413">
        <f t="shared" si="112"/>
        <v>1.3392032105727611</v>
      </c>
      <c r="K413">
        <f t="shared" si="113"/>
        <v>0.45807783119659629</v>
      </c>
      <c r="L413">
        <f t="shared" si="114"/>
        <v>1.3716940957212285</v>
      </c>
      <c r="M413">
        <f t="shared" si="115"/>
        <v>0.99552074927481138</v>
      </c>
      <c r="N413">
        <f t="shared" si="116"/>
        <v>1.0027258450585301</v>
      </c>
      <c r="O413">
        <v>6.1308194371105127E-3</v>
      </c>
      <c r="P413">
        <v>3.9363048507738575E-3</v>
      </c>
      <c r="Q413">
        <f t="shared" si="117"/>
        <v>3350.3456437820628</v>
      </c>
      <c r="R413">
        <f t="shared" si="118"/>
        <v>3.3503456437820627</v>
      </c>
    </row>
    <row r="414" spans="1:18" x14ac:dyDescent="0.3">
      <c r="A414">
        <v>0.82599999999999996</v>
      </c>
      <c r="B414" s="4"/>
      <c r="C414">
        <v>-45.943543203666401</v>
      </c>
      <c r="D414">
        <v>1.8024830700000001</v>
      </c>
      <c r="E414">
        <f t="shared" si="120"/>
        <v>44.899480944238441</v>
      </c>
      <c r="F414">
        <f t="shared" si="108"/>
        <v>9.8066266361157891E-3</v>
      </c>
      <c r="G414">
        <f t="shared" si="109"/>
        <v>3.032977310138904E-2</v>
      </c>
      <c r="H414">
        <f t="shared" si="110"/>
        <v>103.5811459283853</v>
      </c>
      <c r="I414">
        <f t="shared" si="111"/>
        <v>1.0989176414884472</v>
      </c>
      <c r="J414">
        <f t="shared" si="112"/>
        <v>1.3392032105727611</v>
      </c>
      <c r="K414">
        <f t="shared" si="113"/>
        <v>0.45807783119659629</v>
      </c>
      <c r="L414">
        <f t="shared" si="114"/>
        <v>1.3716940957212285</v>
      </c>
      <c r="M414">
        <f t="shared" si="115"/>
        <v>0.99714391241189504</v>
      </c>
      <c r="N414">
        <f t="shared" si="116"/>
        <v>1.0002769217821026</v>
      </c>
      <c r="O414">
        <v>5.9974677223576149E-3</v>
      </c>
      <c r="P414">
        <v>4.1139358937228622E-3</v>
      </c>
      <c r="Q414">
        <f t="shared" si="117"/>
        <v>3350.3456437820628</v>
      </c>
      <c r="R414">
        <f t="shared" si="118"/>
        <v>3.3503456437820627</v>
      </c>
    </row>
    <row r="415" spans="1:18" x14ac:dyDescent="0.3">
      <c r="A415">
        <v>0.82799999999999996</v>
      </c>
      <c r="B415" s="4"/>
      <c r="C415">
        <v>-45.943543203666401</v>
      </c>
      <c r="D415">
        <v>1.8024830700000001</v>
      </c>
      <c r="E415">
        <f t="shared" si="120"/>
        <v>44.899480944238441</v>
      </c>
      <c r="F415">
        <f t="shared" si="108"/>
        <v>9.8066266361157891E-3</v>
      </c>
      <c r="G415">
        <f t="shared" si="109"/>
        <v>3.032977310138904E-2</v>
      </c>
      <c r="H415">
        <f t="shared" si="110"/>
        <v>103.5811459283853</v>
      </c>
      <c r="I415">
        <f t="shared" si="111"/>
        <v>1.0989176414884472</v>
      </c>
      <c r="J415">
        <f t="shared" si="112"/>
        <v>1.3392032105727611</v>
      </c>
      <c r="K415">
        <f t="shared" si="113"/>
        <v>0.45807783119659629</v>
      </c>
      <c r="L415">
        <f t="shared" si="114"/>
        <v>1.3716940957212285</v>
      </c>
      <c r="M415">
        <f t="shared" si="115"/>
        <v>0.99859803971101613</v>
      </c>
      <c r="N415">
        <f t="shared" si="116"/>
        <v>1.0003380932995976</v>
      </c>
      <c r="O415">
        <v>5.8254359066440128E-3</v>
      </c>
      <c r="P415">
        <v>4.3385523934611437E-3</v>
      </c>
      <c r="Q415">
        <f t="shared" si="117"/>
        <v>3350.3456437820628</v>
      </c>
      <c r="R415">
        <f t="shared" si="118"/>
        <v>3.3503456437820627</v>
      </c>
    </row>
    <row r="416" spans="1:18" x14ac:dyDescent="0.3">
      <c r="A416">
        <v>0.83</v>
      </c>
      <c r="B416" s="4"/>
      <c r="C416">
        <v>-45.943543203666401</v>
      </c>
      <c r="D416">
        <v>1.8024830700000001</v>
      </c>
      <c r="E416">
        <f t="shared" si="120"/>
        <v>44.899480944238441</v>
      </c>
      <c r="F416">
        <f t="shared" si="108"/>
        <v>9.8066266361157891E-3</v>
      </c>
      <c r="G416">
        <f t="shared" si="109"/>
        <v>3.032977310138904E-2</v>
      </c>
      <c r="H416">
        <f t="shared" si="110"/>
        <v>103.5811459283853</v>
      </c>
      <c r="I416">
        <f t="shared" si="111"/>
        <v>1.0989176414884472</v>
      </c>
      <c r="J416">
        <f t="shared" si="112"/>
        <v>1.3392032105727611</v>
      </c>
      <c r="K416">
        <f t="shared" si="113"/>
        <v>0.45807783119659629</v>
      </c>
      <c r="L416">
        <f t="shared" si="114"/>
        <v>1.3716940957212285</v>
      </c>
      <c r="M416">
        <f t="shared" si="115"/>
        <v>0.99958108911694743</v>
      </c>
      <c r="N416">
        <f t="shared" si="116"/>
        <v>1.0049500834245328</v>
      </c>
      <c r="O416">
        <v>5.6193811626538102E-3</v>
      </c>
      <c r="P416">
        <v>4.6014639431320673E-3</v>
      </c>
      <c r="Q416">
        <f t="shared" si="117"/>
        <v>3350.3456437820628</v>
      </c>
      <c r="R416">
        <f t="shared" si="118"/>
        <v>3.3503456437820627</v>
      </c>
    </row>
    <row r="417" spans="1:18" x14ac:dyDescent="0.3">
      <c r="A417">
        <v>0.83199999999999996</v>
      </c>
      <c r="B417" s="4"/>
      <c r="C417">
        <v>-45.943543203666401</v>
      </c>
      <c r="D417">
        <v>1.8024830700000001</v>
      </c>
      <c r="E417">
        <f t="shared" si="120"/>
        <v>44.899480944238441</v>
      </c>
      <c r="F417">
        <f t="shared" si="108"/>
        <v>9.8066266361157891E-3</v>
      </c>
      <c r="G417">
        <f t="shared" si="109"/>
        <v>3.032977310138904E-2</v>
      </c>
      <c r="H417">
        <f t="shared" si="110"/>
        <v>103.5811459283853</v>
      </c>
      <c r="I417">
        <f t="shared" si="111"/>
        <v>1.0989176414884472</v>
      </c>
      <c r="J417">
        <f t="shared" si="112"/>
        <v>1.3392032105727611</v>
      </c>
      <c r="K417">
        <f t="shared" si="113"/>
        <v>0.45807783119659629</v>
      </c>
      <c r="L417">
        <f t="shared" si="114"/>
        <v>1.3716940957212285</v>
      </c>
      <c r="M417">
        <f t="shared" si="115"/>
        <v>1.0027283585808451</v>
      </c>
      <c r="N417">
        <f t="shared" si="116"/>
        <v>1.0040033898666776</v>
      </c>
      <c r="O417">
        <v>5.3922475147408465E-3</v>
      </c>
      <c r="P417">
        <v>4.8609534706087433E-3</v>
      </c>
      <c r="Q417">
        <f t="shared" si="117"/>
        <v>3350.3456437820628</v>
      </c>
      <c r="R417">
        <f t="shared" si="118"/>
        <v>3.3503456437820627</v>
      </c>
    </row>
    <row r="418" spans="1:18" x14ac:dyDescent="0.3">
      <c r="A418">
        <v>0.83399999999999996</v>
      </c>
      <c r="B418" s="4"/>
      <c r="C418">
        <v>-45.943543203666401</v>
      </c>
      <c r="D418">
        <v>1.8024830700000001</v>
      </c>
      <c r="E418">
        <f t="shared" si="120"/>
        <v>44.899480944238441</v>
      </c>
      <c r="F418">
        <f t="shared" si="108"/>
        <v>9.8066266361157891E-3</v>
      </c>
      <c r="G418">
        <f t="shared" si="109"/>
        <v>3.032977310138904E-2</v>
      </c>
      <c r="H418">
        <f t="shared" si="110"/>
        <v>103.5811459283853</v>
      </c>
      <c r="I418">
        <f t="shared" si="111"/>
        <v>1.0989176414884472</v>
      </c>
      <c r="J418">
        <f t="shared" si="112"/>
        <v>1.3392032105727611</v>
      </c>
      <c r="K418">
        <f t="shared" si="113"/>
        <v>0.45807783119659629</v>
      </c>
      <c r="L418">
        <f t="shared" si="114"/>
        <v>1.3716940957212285</v>
      </c>
      <c r="M418">
        <f t="shared" si="115"/>
        <v>0.99806365048319035</v>
      </c>
      <c r="N418">
        <f t="shared" si="116"/>
        <v>0.99931170808793379</v>
      </c>
      <c r="O418">
        <v>5.1269745807987063E-3</v>
      </c>
      <c r="P418">
        <v>5.1122520835605312E-3</v>
      </c>
      <c r="Q418">
        <f t="shared" si="117"/>
        <v>3350.3456437820628</v>
      </c>
      <c r="R418">
        <f t="shared" si="118"/>
        <v>3.3503456437820627</v>
      </c>
    </row>
    <row r="419" spans="1:18" x14ac:dyDescent="0.3">
      <c r="A419">
        <v>0.83599999999999997</v>
      </c>
      <c r="B419" s="4"/>
      <c r="C419">
        <v>-45.943543203666401</v>
      </c>
      <c r="D419">
        <v>1.8024830700000001</v>
      </c>
      <c r="E419">
        <f t="shared" si="120"/>
        <v>44.899480944238441</v>
      </c>
      <c r="F419">
        <f t="shared" si="108"/>
        <v>9.8066266361157891E-3</v>
      </c>
      <c r="G419">
        <f t="shared" si="109"/>
        <v>3.032977310138904E-2</v>
      </c>
      <c r="H419">
        <f t="shared" si="110"/>
        <v>103.5811459283853</v>
      </c>
      <c r="I419">
        <f t="shared" si="111"/>
        <v>1.0989176414884472</v>
      </c>
      <c r="J419">
        <f t="shared" si="112"/>
        <v>1.3392032105727611</v>
      </c>
      <c r="K419">
        <f t="shared" si="113"/>
        <v>0.45807783119659629</v>
      </c>
      <c r="L419">
        <f t="shared" si="114"/>
        <v>1.3716940957212285</v>
      </c>
      <c r="M419">
        <f t="shared" si="115"/>
        <v>0.99951569677787933</v>
      </c>
      <c r="N419">
        <f t="shared" si="116"/>
        <v>0.9976998826304202</v>
      </c>
      <c r="O419">
        <v>4.8671419014658223E-3</v>
      </c>
      <c r="P419">
        <v>5.3629607953840598E-3</v>
      </c>
      <c r="Q419">
        <f t="shared" si="117"/>
        <v>3350.3456437820628</v>
      </c>
      <c r="R419">
        <f t="shared" si="118"/>
        <v>3.3503456437820627</v>
      </c>
    </row>
    <row r="420" spans="1:18" x14ac:dyDescent="0.3">
      <c r="A420">
        <v>0.83799999999999997</v>
      </c>
      <c r="B420" s="4"/>
      <c r="C420">
        <v>-45.943543203666401</v>
      </c>
      <c r="D420">
        <v>1.8024830700000001</v>
      </c>
      <c r="E420">
        <f t="shared" si="120"/>
        <v>44.899480944238441</v>
      </c>
      <c r="F420">
        <f t="shared" si="108"/>
        <v>9.8066266361157891E-3</v>
      </c>
      <c r="G420">
        <f t="shared" si="109"/>
        <v>3.032977310138904E-2</v>
      </c>
      <c r="H420">
        <f t="shared" si="110"/>
        <v>103.5811459283853</v>
      </c>
      <c r="I420">
        <f t="shared" si="111"/>
        <v>1.0989176414884472</v>
      </c>
      <c r="J420">
        <f t="shared" si="112"/>
        <v>1.3392032105727611</v>
      </c>
      <c r="K420">
        <f t="shared" si="113"/>
        <v>0.45807783119659629</v>
      </c>
      <c r="L420">
        <f t="shared" si="114"/>
        <v>1.3716940957212285</v>
      </c>
      <c r="M420">
        <f t="shared" si="115"/>
        <v>1.0022165547303166</v>
      </c>
      <c r="N420">
        <f t="shared" si="116"/>
        <v>1.0028183110834921</v>
      </c>
      <c r="O420">
        <v>4.6115398090245726E-3</v>
      </c>
      <c r="P420">
        <v>5.6116781846496456E-3</v>
      </c>
      <c r="Q420">
        <f t="shared" si="117"/>
        <v>3350.3456437820628</v>
      </c>
      <c r="R420">
        <f t="shared" si="118"/>
        <v>3.3503456437820627</v>
      </c>
    </row>
    <row r="421" spans="1:18" x14ac:dyDescent="0.3">
      <c r="A421">
        <v>0.84</v>
      </c>
      <c r="B421" s="4"/>
      <c r="C421">
        <v>-45.943543203666401</v>
      </c>
      <c r="D421">
        <v>1.8024830700000001</v>
      </c>
      <c r="E421">
        <f t="shared" si="120"/>
        <v>44.899480944238441</v>
      </c>
      <c r="F421">
        <f t="shared" si="108"/>
        <v>9.8066266361157891E-3</v>
      </c>
      <c r="G421">
        <f t="shared" si="109"/>
        <v>3.032977310138904E-2</v>
      </c>
      <c r="H421">
        <f t="shared" si="110"/>
        <v>103.5811459283853</v>
      </c>
      <c r="I421">
        <f t="shared" si="111"/>
        <v>1.0989176414884472</v>
      </c>
      <c r="J421">
        <f t="shared" si="112"/>
        <v>1.3392032105727611</v>
      </c>
      <c r="K421">
        <f t="shared" si="113"/>
        <v>0.45807783119659629</v>
      </c>
      <c r="L421">
        <f t="shared" si="114"/>
        <v>1.3716940957212285</v>
      </c>
      <c r="M421">
        <f t="shared" si="115"/>
        <v>1.0032269102285687</v>
      </c>
      <c r="N421">
        <f t="shared" si="116"/>
        <v>0.99965896105810126</v>
      </c>
      <c r="O421">
        <v>4.3636045028173174E-3</v>
      </c>
      <c r="P421">
        <v>5.8145411394551587E-3</v>
      </c>
      <c r="Q421">
        <f t="shared" si="117"/>
        <v>3350.3456437820628</v>
      </c>
      <c r="R421">
        <f t="shared" si="118"/>
        <v>3.3503456437820627</v>
      </c>
    </row>
    <row r="422" spans="1:18" x14ac:dyDescent="0.3">
      <c r="A422">
        <v>0.84199999999999997</v>
      </c>
      <c r="B422" s="4"/>
      <c r="C422">
        <v>-45.943543203666401</v>
      </c>
      <c r="D422">
        <v>1.8024830700000001</v>
      </c>
      <c r="E422">
        <f t="shared" si="120"/>
        <v>44.899480944238441</v>
      </c>
      <c r="F422">
        <f t="shared" si="108"/>
        <v>9.8066266361157891E-3</v>
      </c>
      <c r="G422">
        <f t="shared" si="109"/>
        <v>3.032977310138904E-2</v>
      </c>
      <c r="H422">
        <f t="shared" si="110"/>
        <v>103.5811459283853</v>
      </c>
      <c r="I422">
        <f t="shared" si="111"/>
        <v>1.0989176414884472</v>
      </c>
      <c r="J422">
        <f t="shared" si="112"/>
        <v>1.3392032105727611</v>
      </c>
      <c r="K422">
        <f t="shared" si="113"/>
        <v>0.45807783119659629</v>
      </c>
      <c r="L422">
        <f t="shared" si="114"/>
        <v>1.3716940957212285</v>
      </c>
      <c r="M422">
        <f t="shared" si="115"/>
        <v>1.0000935806034734</v>
      </c>
      <c r="N422">
        <f t="shared" si="116"/>
        <v>0.99895319058887</v>
      </c>
      <c r="O422">
        <v>4.1277078697567688E-3</v>
      </c>
      <c r="P422">
        <v>5.9906508536077515E-3</v>
      </c>
      <c r="Q422">
        <f t="shared" si="117"/>
        <v>3350.3456437820628</v>
      </c>
      <c r="R422">
        <f t="shared" si="118"/>
        <v>3.3503456437820627</v>
      </c>
    </row>
    <row r="423" spans="1:18" x14ac:dyDescent="0.3">
      <c r="A423">
        <v>0.84399999999999997</v>
      </c>
      <c r="B423" s="4"/>
      <c r="C423">
        <v>-45.943543203666401</v>
      </c>
      <c r="D423">
        <v>1.8024830700000001</v>
      </c>
      <c r="E423">
        <f t="shared" si="120"/>
        <v>44.899480944238441</v>
      </c>
      <c r="F423">
        <f t="shared" si="108"/>
        <v>9.8066266361157891E-3</v>
      </c>
      <c r="G423">
        <f t="shared" si="109"/>
        <v>3.032977310138904E-2</v>
      </c>
      <c r="H423">
        <f t="shared" si="110"/>
        <v>103.5811459283853</v>
      </c>
      <c r="I423">
        <f t="shared" si="111"/>
        <v>1.0989176414884472</v>
      </c>
      <c r="J423">
        <f t="shared" si="112"/>
        <v>1.3392032105727611</v>
      </c>
      <c r="K423">
        <f t="shared" si="113"/>
        <v>0.45807783119659629</v>
      </c>
      <c r="L423">
        <f t="shared" si="114"/>
        <v>1.3716940957212285</v>
      </c>
      <c r="M423">
        <f t="shared" si="115"/>
        <v>1.0003334252472631</v>
      </c>
      <c r="N423">
        <f t="shared" si="116"/>
        <v>0.99802958674149334</v>
      </c>
      <c r="O423">
        <v>3.9397852897134992E-3</v>
      </c>
      <c r="P423">
        <v>6.1282579088007931E-3</v>
      </c>
      <c r="Q423">
        <f t="shared" si="117"/>
        <v>3350.3456437820628</v>
      </c>
      <c r="R423">
        <f t="shared" si="118"/>
        <v>3.3503456437820627</v>
      </c>
    </row>
    <row r="424" spans="1:18" x14ac:dyDescent="0.3">
      <c r="A424">
        <v>0.84599999999999997</v>
      </c>
      <c r="B424" s="4"/>
      <c r="C424">
        <v>-45.943543203666401</v>
      </c>
      <c r="D424">
        <v>1.8024830700000001</v>
      </c>
      <c r="E424">
        <f t="shared" si="120"/>
        <v>44.899480944238441</v>
      </c>
      <c r="F424">
        <f t="shared" si="108"/>
        <v>9.8066266361157891E-3</v>
      </c>
      <c r="G424">
        <f t="shared" si="109"/>
        <v>3.032977310138904E-2</v>
      </c>
      <c r="H424">
        <f t="shared" si="110"/>
        <v>103.5811459283853</v>
      </c>
      <c r="I424">
        <f t="shared" si="111"/>
        <v>1.0989176414884472</v>
      </c>
      <c r="J424">
        <f t="shared" si="112"/>
        <v>1.3392032105727611</v>
      </c>
      <c r="K424">
        <f t="shared" si="113"/>
        <v>0.45807783119659629</v>
      </c>
      <c r="L424">
        <f t="shared" si="114"/>
        <v>1.3716940957212285</v>
      </c>
      <c r="M424">
        <f t="shared" si="115"/>
        <v>1.0020040493386069</v>
      </c>
      <c r="N424">
        <f t="shared" si="116"/>
        <v>0.99715674006525223</v>
      </c>
      <c r="O424">
        <v>3.807566464428249E-3</v>
      </c>
      <c r="P424">
        <v>6.2237515794641143E-3</v>
      </c>
      <c r="Q424">
        <f t="shared" si="117"/>
        <v>3350.3456437820628</v>
      </c>
      <c r="R424">
        <f t="shared" si="118"/>
        <v>3.3503456437820627</v>
      </c>
    </row>
    <row r="425" spans="1:18" x14ac:dyDescent="0.3">
      <c r="A425">
        <v>0.84799999999999998</v>
      </c>
      <c r="B425" s="4">
        <v>46</v>
      </c>
      <c r="C425">
        <v>-45.5375606815496</v>
      </c>
      <c r="D425">
        <v>1.8972911960000001</v>
      </c>
      <c r="E425">
        <f>$E$424+$R$424</f>
        <v>48.249826588020504</v>
      </c>
      <c r="F425">
        <f t="shared" si="108"/>
        <v>1.0165924011092283E-2</v>
      </c>
      <c r="G425">
        <f t="shared" si="109"/>
        <v>3.1441002096161699E-2</v>
      </c>
      <c r="H425">
        <f t="shared" si="110"/>
        <v>99.920245670964704</v>
      </c>
      <c r="I425">
        <f t="shared" si="111"/>
        <v>1.0918952810821878</v>
      </c>
      <c r="J425">
        <f t="shared" si="112"/>
        <v>1.350573189388093</v>
      </c>
      <c r="K425">
        <f t="shared" si="113"/>
        <v>0.49226900866912443</v>
      </c>
      <c r="L425">
        <f t="shared" si="114"/>
        <v>1.3476331642282038</v>
      </c>
      <c r="M425">
        <f t="shared" si="115"/>
        <v>0.99077322863543138</v>
      </c>
      <c r="N425">
        <f t="shared" si="116"/>
        <v>1.0024648663490292</v>
      </c>
      <c r="O425">
        <v>6.3981232831847893E-3</v>
      </c>
      <c r="P425">
        <v>3.6395730558031279E-3</v>
      </c>
      <c r="Q425">
        <f t="shared" si="117"/>
        <v>3657.4836470245177</v>
      </c>
      <c r="R425">
        <f t="shared" si="118"/>
        <v>3.6574836470245176</v>
      </c>
    </row>
    <row r="426" spans="1:18" x14ac:dyDescent="0.3">
      <c r="A426">
        <v>0.85</v>
      </c>
      <c r="B426" s="4"/>
      <c r="C426">
        <v>-45.5375606815496</v>
      </c>
      <c r="D426">
        <v>1.8972911960000001</v>
      </c>
      <c r="E426">
        <f t="shared" ref="E426:E440" si="121">$E$424+$R$424</f>
        <v>48.249826588020504</v>
      </c>
      <c r="F426">
        <f t="shared" si="108"/>
        <v>1.0165924011092283E-2</v>
      </c>
      <c r="G426">
        <f t="shared" si="109"/>
        <v>3.1441002096161699E-2</v>
      </c>
      <c r="H426">
        <f t="shared" si="110"/>
        <v>99.920245670964704</v>
      </c>
      <c r="I426">
        <f t="shared" si="111"/>
        <v>1.0918952810821878</v>
      </c>
      <c r="J426">
        <f t="shared" si="112"/>
        <v>1.350573189388093</v>
      </c>
      <c r="K426">
        <f t="shared" si="113"/>
        <v>0.49226900866912443</v>
      </c>
      <c r="L426">
        <f t="shared" si="114"/>
        <v>1.3476331642282038</v>
      </c>
      <c r="M426">
        <f t="shared" si="115"/>
        <v>0.9908199559233275</v>
      </c>
      <c r="N426">
        <f t="shared" si="116"/>
        <v>1.0023868814910537</v>
      </c>
      <c r="O426">
        <v>6.3960455731271555E-3</v>
      </c>
      <c r="P426">
        <v>3.6426424793085102E-3</v>
      </c>
      <c r="Q426">
        <f t="shared" si="117"/>
        <v>3657.4836470245177</v>
      </c>
      <c r="R426">
        <f t="shared" si="118"/>
        <v>3.6574836470245176</v>
      </c>
    </row>
    <row r="427" spans="1:18" x14ac:dyDescent="0.3">
      <c r="A427">
        <v>0.85199999999999998</v>
      </c>
      <c r="B427" s="4"/>
      <c r="C427">
        <v>-45.5375606815496</v>
      </c>
      <c r="D427">
        <v>1.8972911960000001</v>
      </c>
      <c r="E427">
        <f t="shared" si="121"/>
        <v>48.249826588020504</v>
      </c>
      <c r="F427">
        <f t="shared" si="108"/>
        <v>1.0165924011092283E-2</v>
      </c>
      <c r="G427">
        <f t="shared" si="109"/>
        <v>3.1441002096161699E-2</v>
      </c>
      <c r="H427">
        <f t="shared" si="110"/>
        <v>99.920245670964704</v>
      </c>
      <c r="I427">
        <f t="shared" si="111"/>
        <v>1.0918952810821878</v>
      </c>
      <c r="J427">
        <f t="shared" si="112"/>
        <v>1.350573189388093</v>
      </c>
      <c r="K427">
        <f t="shared" si="113"/>
        <v>0.49226900866912443</v>
      </c>
      <c r="L427">
        <f t="shared" si="114"/>
        <v>1.3476331642282038</v>
      </c>
      <c r="M427">
        <f t="shared" si="115"/>
        <v>0.99182751592203944</v>
      </c>
      <c r="N427">
        <f t="shared" si="116"/>
        <v>1.0008343197155121</v>
      </c>
      <c r="O427">
        <v>6.3494132127703924E-3</v>
      </c>
      <c r="P427">
        <v>3.7113558032746733E-3</v>
      </c>
      <c r="Q427">
        <f t="shared" si="117"/>
        <v>3657.4836470245177</v>
      </c>
      <c r="R427">
        <f t="shared" si="118"/>
        <v>3.6574836470245176</v>
      </c>
    </row>
    <row r="428" spans="1:18" x14ac:dyDescent="0.3">
      <c r="A428">
        <v>0.85399999999999998</v>
      </c>
      <c r="B428" s="4"/>
      <c r="C428">
        <v>-45.5375606815496</v>
      </c>
      <c r="D428">
        <v>1.8972911960000001</v>
      </c>
      <c r="E428">
        <f t="shared" si="121"/>
        <v>48.249826588020504</v>
      </c>
      <c r="F428">
        <f t="shared" si="108"/>
        <v>1.0165924011092283E-2</v>
      </c>
      <c r="G428">
        <f t="shared" si="109"/>
        <v>3.1441002096161699E-2</v>
      </c>
      <c r="H428">
        <f t="shared" si="110"/>
        <v>99.920245670964704</v>
      </c>
      <c r="I428">
        <f t="shared" si="111"/>
        <v>1.0918952810821878</v>
      </c>
      <c r="J428">
        <f t="shared" si="112"/>
        <v>1.350573189388093</v>
      </c>
      <c r="K428">
        <f t="shared" si="113"/>
        <v>0.49226900866912443</v>
      </c>
      <c r="L428">
        <f t="shared" si="114"/>
        <v>1.3476331642282038</v>
      </c>
      <c r="M428">
        <f t="shared" si="115"/>
        <v>0.9935639785032454</v>
      </c>
      <c r="N428">
        <f t="shared" si="116"/>
        <v>1.0044062717251054</v>
      </c>
      <c r="O428">
        <v>6.2590887129287563E-3</v>
      </c>
      <c r="P428">
        <v>3.862090965937438E-3</v>
      </c>
      <c r="Q428">
        <f t="shared" si="117"/>
        <v>3657.4836470245177</v>
      </c>
      <c r="R428">
        <f t="shared" si="118"/>
        <v>3.6574836470245176</v>
      </c>
    </row>
    <row r="429" spans="1:18" x14ac:dyDescent="0.3">
      <c r="A429">
        <v>0.85599999999999998</v>
      </c>
      <c r="B429" s="4"/>
      <c r="C429">
        <v>-45.5375606815496</v>
      </c>
      <c r="D429">
        <v>1.8972911960000001</v>
      </c>
      <c r="E429">
        <f t="shared" si="121"/>
        <v>48.249826588020504</v>
      </c>
      <c r="F429">
        <f t="shared" si="108"/>
        <v>1.0165924011092283E-2</v>
      </c>
      <c r="G429">
        <f t="shared" si="109"/>
        <v>3.1441002096161699E-2</v>
      </c>
      <c r="H429">
        <f t="shared" si="110"/>
        <v>99.920245670964704</v>
      </c>
      <c r="I429">
        <f t="shared" si="111"/>
        <v>1.0918952810821878</v>
      </c>
      <c r="J429">
        <f t="shared" si="112"/>
        <v>1.350573189388093</v>
      </c>
      <c r="K429">
        <f t="shared" si="113"/>
        <v>0.49226900866912443</v>
      </c>
      <c r="L429">
        <f t="shared" si="114"/>
        <v>1.3476331642282038</v>
      </c>
      <c r="M429">
        <f t="shared" si="115"/>
        <v>0.99563640968582334</v>
      </c>
      <c r="N429">
        <f t="shared" si="116"/>
        <v>1.0009420388163703</v>
      </c>
      <c r="O429">
        <v>6.1268267483645346E-3</v>
      </c>
      <c r="P429">
        <v>4.0427346384589082E-3</v>
      </c>
      <c r="Q429">
        <f t="shared" si="117"/>
        <v>3657.4836470245177</v>
      </c>
      <c r="R429">
        <f t="shared" si="118"/>
        <v>3.6574836470245176</v>
      </c>
    </row>
    <row r="430" spans="1:18" x14ac:dyDescent="0.3">
      <c r="A430">
        <v>0.85799999999999998</v>
      </c>
      <c r="B430" s="4"/>
      <c r="C430">
        <v>-45.5375606815496</v>
      </c>
      <c r="D430">
        <v>1.8972911960000001</v>
      </c>
      <c r="E430">
        <f t="shared" si="121"/>
        <v>48.249826588020504</v>
      </c>
      <c r="F430">
        <f t="shared" si="108"/>
        <v>1.0165924011092283E-2</v>
      </c>
      <c r="G430">
        <f t="shared" si="109"/>
        <v>3.1441002096161699E-2</v>
      </c>
      <c r="H430">
        <f t="shared" si="110"/>
        <v>99.920245670964704</v>
      </c>
      <c r="I430">
        <f t="shared" si="111"/>
        <v>1.0918952810821878</v>
      </c>
      <c r="J430">
        <f t="shared" si="112"/>
        <v>1.350573189388093</v>
      </c>
      <c r="K430">
        <f t="shared" si="113"/>
        <v>0.49226900866912443</v>
      </c>
      <c r="L430">
        <f t="shared" si="114"/>
        <v>1.3476331642282038</v>
      </c>
      <c r="M430">
        <f t="shared" si="115"/>
        <v>0.99759577289880785</v>
      </c>
      <c r="N430">
        <f t="shared" si="116"/>
        <v>0.99721115236724078</v>
      </c>
      <c r="O430">
        <v>5.9554020615080576E-3</v>
      </c>
      <c r="P430">
        <v>4.2640495973545207E-3</v>
      </c>
      <c r="Q430">
        <f t="shared" si="117"/>
        <v>3657.4836470245177</v>
      </c>
      <c r="R430">
        <f t="shared" si="118"/>
        <v>3.6574836470245176</v>
      </c>
    </row>
    <row r="431" spans="1:18" x14ac:dyDescent="0.3">
      <c r="A431">
        <v>0.86</v>
      </c>
      <c r="B431" s="4"/>
      <c r="C431">
        <v>-45.5375606815496</v>
      </c>
      <c r="D431">
        <v>1.8972911960000001</v>
      </c>
      <c r="E431">
        <f t="shared" si="121"/>
        <v>48.249826588020504</v>
      </c>
      <c r="F431">
        <f t="shared" si="108"/>
        <v>1.0165924011092283E-2</v>
      </c>
      <c r="G431">
        <f t="shared" si="109"/>
        <v>3.1441002096161699E-2</v>
      </c>
      <c r="H431">
        <f t="shared" si="110"/>
        <v>99.920245670964704</v>
      </c>
      <c r="I431">
        <f t="shared" si="111"/>
        <v>1.0918952810821878</v>
      </c>
      <c r="J431">
        <f t="shared" si="112"/>
        <v>1.350573189388093</v>
      </c>
      <c r="K431">
        <f t="shared" si="113"/>
        <v>0.49226900866912443</v>
      </c>
      <c r="L431">
        <f t="shared" si="114"/>
        <v>1.3476331642282038</v>
      </c>
      <c r="M431">
        <f t="shared" si="115"/>
        <v>0.99906280799620184</v>
      </c>
      <c r="N431">
        <f t="shared" si="116"/>
        <v>1.0033889380187071</v>
      </c>
      <c r="O431">
        <v>5.7487873987264121E-3</v>
      </c>
      <c r="P431">
        <v>4.542235520668984E-3</v>
      </c>
      <c r="Q431">
        <f t="shared" si="117"/>
        <v>3657.4836470245177</v>
      </c>
      <c r="R431">
        <f t="shared" si="118"/>
        <v>3.6574836470245176</v>
      </c>
    </row>
    <row r="432" spans="1:18" x14ac:dyDescent="0.3">
      <c r="A432">
        <v>0.86199999999999999</v>
      </c>
      <c r="B432" s="4"/>
      <c r="C432">
        <v>-45.5375606815496</v>
      </c>
      <c r="D432">
        <v>1.8972911960000001</v>
      </c>
      <c r="E432">
        <f t="shared" si="121"/>
        <v>48.249826588020504</v>
      </c>
      <c r="F432">
        <f t="shared" si="108"/>
        <v>1.0165924011092283E-2</v>
      </c>
      <c r="G432">
        <f t="shared" si="109"/>
        <v>3.1441002096161699E-2</v>
      </c>
      <c r="H432">
        <f t="shared" si="110"/>
        <v>99.920245670964704</v>
      </c>
      <c r="I432">
        <f t="shared" si="111"/>
        <v>1.0918952810821878</v>
      </c>
      <c r="J432">
        <f t="shared" si="112"/>
        <v>1.350573189388093</v>
      </c>
      <c r="K432">
        <f t="shared" si="113"/>
        <v>0.49226900866912443</v>
      </c>
      <c r="L432">
        <f t="shared" si="114"/>
        <v>1.3476331642282038</v>
      </c>
      <c r="M432">
        <f t="shared" si="115"/>
        <v>1.0085112897468709</v>
      </c>
      <c r="N432">
        <f t="shared" si="116"/>
        <v>1.0026446416440131</v>
      </c>
      <c r="O432">
        <v>5.5335121160798462E-3</v>
      </c>
      <c r="P432">
        <v>4.8136130335612965E-3</v>
      </c>
      <c r="Q432">
        <f t="shared" si="117"/>
        <v>3657.4836470245177</v>
      </c>
      <c r="R432">
        <f t="shared" si="118"/>
        <v>3.6574836470245176</v>
      </c>
    </row>
    <row r="433" spans="1:18" x14ac:dyDescent="0.3">
      <c r="A433">
        <v>0.86399999999999999</v>
      </c>
      <c r="B433" s="4"/>
      <c r="C433">
        <v>-45.5375606815496</v>
      </c>
      <c r="D433">
        <v>1.8972911960000001</v>
      </c>
      <c r="E433">
        <f t="shared" si="121"/>
        <v>48.249826588020504</v>
      </c>
      <c r="F433">
        <f t="shared" si="108"/>
        <v>1.0165924011092283E-2</v>
      </c>
      <c r="G433">
        <f t="shared" si="109"/>
        <v>3.1441002096161699E-2</v>
      </c>
      <c r="H433">
        <f t="shared" si="110"/>
        <v>99.920245670964704</v>
      </c>
      <c r="I433">
        <f t="shared" si="111"/>
        <v>1.0918952810821878</v>
      </c>
      <c r="J433">
        <f t="shared" si="112"/>
        <v>1.350573189388093</v>
      </c>
      <c r="K433">
        <f t="shared" si="113"/>
        <v>0.49226900866912443</v>
      </c>
      <c r="L433">
        <f t="shared" si="114"/>
        <v>1.3476331642282038</v>
      </c>
      <c r="M433">
        <f t="shared" si="115"/>
        <v>0.99824828588146397</v>
      </c>
      <c r="N433">
        <f t="shared" si="116"/>
        <v>0.99944022207828664</v>
      </c>
      <c r="O433">
        <v>5.2486574792005433E-3</v>
      </c>
      <c r="P433">
        <v>5.0813898170734735E-3</v>
      </c>
      <c r="Q433">
        <f t="shared" si="117"/>
        <v>3657.4836470245177</v>
      </c>
      <c r="R433">
        <f t="shared" si="118"/>
        <v>3.6574836470245176</v>
      </c>
    </row>
    <row r="434" spans="1:18" x14ac:dyDescent="0.3">
      <c r="A434">
        <v>0.86599999999999999</v>
      </c>
      <c r="B434" s="4"/>
      <c r="C434">
        <v>-45.5375606815496</v>
      </c>
      <c r="D434">
        <v>1.8972911960000001</v>
      </c>
      <c r="E434">
        <f t="shared" si="121"/>
        <v>48.249826588020504</v>
      </c>
      <c r="F434">
        <f t="shared" si="108"/>
        <v>1.0165924011092283E-2</v>
      </c>
      <c r="G434">
        <f t="shared" si="109"/>
        <v>3.1441002096161699E-2</v>
      </c>
      <c r="H434">
        <f t="shared" si="110"/>
        <v>99.920245670964704</v>
      </c>
      <c r="I434">
        <f t="shared" si="111"/>
        <v>1.0918952810821878</v>
      </c>
      <c r="J434">
        <f t="shared" si="112"/>
        <v>1.350573189388093</v>
      </c>
      <c r="K434">
        <f t="shared" si="113"/>
        <v>0.49226900866912443</v>
      </c>
      <c r="L434">
        <f t="shared" si="114"/>
        <v>1.3476331642282038</v>
      </c>
      <c r="M434">
        <f t="shared" si="115"/>
        <v>0.99906790463750894</v>
      </c>
      <c r="N434">
        <f t="shared" si="116"/>
        <v>0.99788021194229226</v>
      </c>
      <c r="O434">
        <v>4.9777487585695003E-3</v>
      </c>
      <c r="P434">
        <v>5.3465083312868355E-3</v>
      </c>
      <c r="Q434">
        <f t="shared" si="117"/>
        <v>3657.4836470245177</v>
      </c>
      <c r="R434">
        <f t="shared" si="118"/>
        <v>3.6574836470245176</v>
      </c>
    </row>
    <row r="435" spans="1:18" x14ac:dyDescent="0.3">
      <c r="A435">
        <v>0.86799999999999999</v>
      </c>
      <c r="B435" s="4"/>
      <c r="C435">
        <v>-45.5375606815496</v>
      </c>
      <c r="D435">
        <v>1.8972911960000001</v>
      </c>
      <c r="E435">
        <f t="shared" si="121"/>
        <v>48.249826588020504</v>
      </c>
      <c r="F435">
        <f t="shared" si="108"/>
        <v>1.0165924011092283E-2</v>
      </c>
      <c r="G435">
        <f t="shared" si="109"/>
        <v>3.1441002096161699E-2</v>
      </c>
      <c r="H435">
        <f t="shared" si="110"/>
        <v>99.920245670964704</v>
      </c>
      <c r="I435">
        <f t="shared" si="111"/>
        <v>1.0918952810821878</v>
      </c>
      <c r="J435">
        <f t="shared" si="112"/>
        <v>1.350573189388093</v>
      </c>
      <c r="K435">
        <f t="shared" si="113"/>
        <v>0.49226900866912443</v>
      </c>
      <c r="L435">
        <f t="shared" si="114"/>
        <v>1.3476331642282038</v>
      </c>
      <c r="M435">
        <f t="shared" si="115"/>
        <v>1.0051263055510731</v>
      </c>
      <c r="N435">
        <f t="shared" si="116"/>
        <v>1.0027498792648974</v>
      </c>
      <c r="O435">
        <v>4.7177966248879459E-3</v>
      </c>
      <c r="P435">
        <v>5.6109994502496789E-3</v>
      </c>
      <c r="Q435">
        <f t="shared" si="117"/>
        <v>3657.4836470245177</v>
      </c>
      <c r="R435">
        <f t="shared" si="118"/>
        <v>3.6574836470245176</v>
      </c>
    </row>
    <row r="436" spans="1:18" x14ac:dyDescent="0.3">
      <c r="A436">
        <v>0.87</v>
      </c>
      <c r="B436" s="4"/>
      <c r="C436">
        <v>-45.5375606815496</v>
      </c>
      <c r="D436">
        <v>1.8972911960000001</v>
      </c>
      <c r="E436">
        <f t="shared" si="121"/>
        <v>48.249826588020504</v>
      </c>
      <c r="F436">
        <f t="shared" si="108"/>
        <v>1.0165924011092283E-2</v>
      </c>
      <c r="G436">
        <f t="shared" si="109"/>
        <v>3.1441002096161699E-2</v>
      </c>
      <c r="H436">
        <f t="shared" si="110"/>
        <v>99.920245670964704</v>
      </c>
      <c r="I436">
        <f t="shared" si="111"/>
        <v>1.0918952810821878</v>
      </c>
      <c r="J436">
        <f t="shared" si="112"/>
        <v>1.350573189388093</v>
      </c>
      <c r="K436">
        <f t="shared" si="113"/>
        <v>0.49226900866912443</v>
      </c>
      <c r="L436">
        <f t="shared" si="114"/>
        <v>1.3476331642282038</v>
      </c>
      <c r="M436">
        <f t="shared" si="115"/>
        <v>1.0053241163189262</v>
      </c>
      <c r="N436">
        <f t="shared" si="116"/>
        <v>0.99961519775823415</v>
      </c>
      <c r="O436">
        <v>4.4490763643274481E-3</v>
      </c>
      <c r="P436">
        <v>5.8319310154952286E-3</v>
      </c>
      <c r="Q436">
        <f t="shared" si="117"/>
        <v>3657.4836470245177</v>
      </c>
      <c r="R436">
        <f t="shared" si="118"/>
        <v>3.6574836470245176</v>
      </c>
    </row>
    <row r="437" spans="1:18" x14ac:dyDescent="0.3">
      <c r="A437">
        <v>0.872</v>
      </c>
      <c r="B437" s="4"/>
      <c r="C437">
        <v>-45.5375606815496</v>
      </c>
      <c r="D437">
        <v>1.8972911960000001</v>
      </c>
      <c r="E437">
        <f t="shared" si="121"/>
        <v>48.249826588020504</v>
      </c>
      <c r="F437">
        <f t="shared" si="108"/>
        <v>1.0165924011092283E-2</v>
      </c>
      <c r="G437">
        <f t="shared" si="109"/>
        <v>3.1441002096161699E-2</v>
      </c>
      <c r="H437">
        <f t="shared" si="110"/>
        <v>99.920245670964704</v>
      </c>
      <c r="I437">
        <f t="shared" si="111"/>
        <v>1.0918952810821878</v>
      </c>
      <c r="J437">
        <f t="shared" si="112"/>
        <v>1.350573189388093</v>
      </c>
      <c r="K437">
        <f t="shared" si="113"/>
        <v>0.49226900866912443</v>
      </c>
      <c r="L437">
        <f t="shared" si="114"/>
        <v>1.3476331642282038</v>
      </c>
      <c r="M437">
        <f t="shared" si="115"/>
        <v>1.0004363517166324</v>
      </c>
      <c r="N437">
        <f t="shared" si="116"/>
        <v>0.99875696670175018</v>
      </c>
      <c r="O437">
        <v>4.1833597233963127E-3</v>
      </c>
      <c r="P437">
        <v>6.02780031899463E-3</v>
      </c>
      <c r="Q437">
        <f t="shared" si="117"/>
        <v>3657.4836470245177</v>
      </c>
      <c r="R437">
        <f t="shared" si="118"/>
        <v>3.6574836470245176</v>
      </c>
    </row>
    <row r="438" spans="1:18" x14ac:dyDescent="0.3">
      <c r="A438">
        <v>0.874</v>
      </c>
      <c r="B438" s="4"/>
      <c r="C438">
        <v>-45.5375606815496</v>
      </c>
      <c r="D438">
        <v>1.8972911960000001</v>
      </c>
      <c r="E438">
        <f t="shared" si="121"/>
        <v>48.249826588020504</v>
      </c>
      <c r="F438">
        <f t="shared" si="108"/>
        <v>1.0165924011092283E-2</v>
      </c>
      <c r="G438">
        <f t="shared" si="109"/>
        <v>3.1441002096161699E-2</v>
      </c>
      <c r="H438">
        <f t="shared" si="110"/>
        <v>99.920245670964704</v>
      </c>
      <c r="I438">
        <f t="shared" si="111"/>
        <v>1.0918952810821878</v>
      </c>
      <c r="J438">
        <f t="shared" si="112"/>
        <v>1.350573189388093</v>
      </c>
      <c r="K438">
        <f t="shared" si="113"/>
        <v>0.49226900866912443</v>
      </c>
      <c r="L438">
        <f t="shared" si="114"/>
        <v>1.3476331642282038</v>
      </c>
      <c r="M438">
        <f t="shared" si="115"/>
        <v>1.0001783664176322</v>
      </c>
      <c r="N438">
        <f t="shared" si="116"/>
        <v>0.99755184148686804</v>
      </c>
      <c r="O438">
        <v>3.9631528044496095E-3</v>
      </c>
      <c r="P438">
        <v>6.1868292685294413E-3</v>
      </c>
      <c r="Q438">
        <f t="shared" si="117"/>
        <v>3657.4836470245177</v>
      </c>
      <c r="R438">
        <f t="shared" si="118"/>
        <v>3.6574836470245176</v>
      </c>
    </row>
    <row r="439" spans="1:18" x14ac:dyDescent="0.3">
      <c r="A439">
        <v>0.876</v>
      </c>
      <c r="B439" s="4"/>
      <c r="C439">
        <v>-45.5375606815496</v>
      </c>
      <c r="D439">
        <v>1.8972911960000001</v>
      </c>
      <c r="E439">
        <f t="shared" si="121"/>
        <v>48.249826588020504</v>
      </c>
      <c r="F439">
        <f t="shared" si="108"/>
        <v>1.0165924011092283E-2</v>
      </c>
      <c r="G439">
        <f t="shared" si="109"/>
        <v>3.1441002096161699E-2</v>
      </c>
      <c r="H439">
        <f t="shared" si="110"/>
        <v>99.920245670964704</v>
      </c>
      <c r="I439">
        <f t="shared" si="111"/>
        <v>1.0918952810821878</v>
      </c>
      <c r="J439">
        <f t="shared" si="112"/>
        <v>1.350573189388093</v>
      </c>
      <c r="K439">
        <f t="shared" si="113"/>
        <v>0.49226900866912443</v>
      </c>
      <c r="L439">
        <f t="shared" si="114"/>
        <v>1.3476331642282038</v>
      </c>
      <c r="M439">
        <f t="shared" si="115"/>
        <v>1.0021736661092617</v>
      </c>
      <c r="N439">
        <f t="shared" si="116"/>
        <v>0.99628968167402654</v>
      </c>
      <c r="O439">
        <v>3.7960645571204084E-3</v>
      </c>
      <c r="P439">
        <v>6.3052610949632954E-3</v>
      </c>
      <c r="Q439">
        <f t="shared" si="117"/>
        <v>3657.4836470245177</v>
      </c>
      <c r="R439">
        <f t="shared" si="118"/>
        <v>3.6574836470245176</v>
      </c>
    </row>
    <row r="440" spans="1:18" x14ac:dyDescent="0.3">
      <c r="A440">
        <v>0.878</v>
      </c>
      <c r="B440" s="4"/>
      <c r="C440">
        <v>-45.5375606815496</v>
      </c>
      <c r="D440">
        <v>1.8972911960000001</v>
      </c>
      <c r="E440">
        <f t="shared" si="121"/>
        <v>48.249826588020504</v>
      </c>
      <c r="F440">
        <f t="shared" si="108"/>
        <v>1.0165924011092283E-2</v>
      </c>
      <c r="G440">
        <f t="shared" si="109"/>
        <v>3.1441002096161699E-2</v>
      </c>
      <c r="H440">
        <f t="shared" si="110"/>
        <v>99.920245670964704</v>
      </c>
      <c r="I440">
        <f t="shared" si="111"/>
        <v>1.0918952810821878</v>
      </c>
      <c r="J440">
        <f t="shared" si="112"/>
        <v>1.350573189388093</v>
      </c>
      <c r="K440">
        <f t="shared" si="113"/>
        <v>0.49226900866912443</v>
      </c>
      <c r="L440">
        <f t="shared" si="114"/>
        <v>1.3476331642282038</v>
      </c>
      <c r="M440">
        <f t="shared" si="115"/>
        <v>1.0045970092426606</v>
      </c>
      <c r="N440">
        <f t="shared" si="116"/>
        <v>0.99530238767287793</v>
      </c>
      <c r="O440">
        <v>3.6889321274412544E-3</v>
      </c>
      <c r="P440">
        <v>6.3805179545536527E-3</v>
      </c>
      <c r="Q440">
        <f t="shared" si="117"/>
        <v>3657.4836470245177</v>
      </c>
      <c r="R440">
        <f t="shared" si="118"/>
        <v>3.6574836470245176</v>
      </c>
    </row>
    <row r="441" spans="1:18" x14ac:dyDescent="0.3">
      <c r="A441">
        <v>0.88</v>
      </c>
      <c r="B441" s="4">
        <v>47</v>
      </c>
      <c r="C441">
        <v>-45.116258064258503</v>
      </c>
      <c r="D441">
        <v>1.95</v>
      </c>
      <c r="E441">
        <f>$E$440+$R$440</f>
        <v>51.907310235045024</v>
      </c>
      <c r="F441">
        <f t="shared" si="108"/>
        <v>1.0544190487903768E-2</v>
      </c>
      <c r="G441">
        <f t="shared" si="109"/>
        <v>3.2610898416197222E-2</v>
      </c>
      <c r="H441">
        <f t="shared" si="110"/>
        <v>96.335667098009878</v>
      </c>
      <c r="I441">
        <f t="shared" si="111"/>
        <v>1.0852853945322032</v>
      </c>
      <c r="J441">
        <f t="shared" si="112"/>
        <v>1.3437298656753121</v>
      </c>
      <c r="K441">
        <f t="shared" si="113"/>
        <v>0.51229062642397893</v>
      </c>
      <c r="L441">
        <f t="shared" si="114"/>
        <v>1.3309161580046081</v>
      </c>
      <c r="M441">
        <f t="shared" si="115"/>
        <v>0.99979737242170685</v>
      </c>
      <c r="N441">
        <f t="shared" si="116"/>
        <v>1.0037561977267129</v>
      </c>
      <c r="O441">
        <v>6.5020086326868475E-3</v>
      </c>
      <c r="P441">
        <v>3.5905781702804279E-3</v>
      </c>
      <c r="Q441">
        <f t="shared" si="117"/>
        <v>3815.2258462233581</v>
      </c>
      <c r="R441">
        <f t="shared" si="118"/>
        <v>3.8152258462233579</v>
      </c>
    </row>
    <row r="442" spans="1:18" x14ac:dyDescent="0.3">
      <c r="A442">
        <v>0.88200000000000001</v>
      </c>
      <c r="B442" s="4"/>
      <c r="C442">
        <v>-45.116258064258503</v>
      </c>
      <c r="D442">
        <v>1.95</v>
      </c>
      <c r="E442">
        <f t="shared" ref="E442:E456" si="122">$E$440+$R$440</f>
        <v>51.907310235045024</v>
      </c>
      <c r="F442">
        <f t="shared" si="108"/>
        <v>1.0544190487903768E-2</v>
      </c>
      <c r="G442">
        <f t="shared" si="109"/>
        <v>3.2610898416197222E-2</v>
      </c>
      <c r="H442">
        <f t="shared" si="110"/>
        <v>96.335667098009878</v>
      </c>
      <c r="I442">
        <f t="shared" si="111"/>
        <v>1.0852853945322032</v>
      </c>
      <c r="J442">
        <f t="shared" si="112"/>
        <v>1.3437298656753121</v>
      </c>
      <c r="K442">
        <f t="shared" si="113"/>
        <v>0.51229062642397893</v>
      </c>
      <c r="L442">
        <f t="shared" si="114"/>
        <v>1.3309161580046081</v>
      </c>
      <c r="M442">
        <f t="shared" si="115"/>
        <v>0.99980497662745249</v>
      </c>
      <c r="N442">
        <f t="shared" si="116"/>
        <v>1.0032939897786144</v>
      </c>
      <c r="O442">
        <v>6.4906485090201168E-3</v>
      </c>
      <c r="P442">
        <v>3.6068953685251233E-3</v>
      </c>
      <c r="Q442">
        <f t="shared" si="117"/>
        <v>3815.2258462233581</v>
      </c>
      <c r="R442">
        <f t="shared" si="118"/>
        <v>3.8152258462233579</v>
      </c>
    </row>
    <row r="443" spans="1:18" x14ac:dyDescent="0.3">
      <c r="A443">
        <v>0.88400000000000001</v>
      </c>
      <c r="B443" s="4"/>
      <c r="C443">
        <v>-45.116258064258503</v>
      </c>
      <c r="D443">
        <v>1.95</v>
      </c>
      <c r="E443">
        <f t="shared" si="122"/>
        <v>51.907310235045024</v>
      </c>
      <c r="F443">
        <f t="shared" si="108"/>
        <v>1.0544190487903768E-2</v>
      </c>
      <c r="G443">
        <f t="shared" si="109"/>
        <v>3.2610898416197222E-2</v>
      </c>
      <c r="H443">
        <f t="shared" si="110"/>
        <v>96.335667098009878</v>
      </c>
      <c r="I443">
        <f t="shared" si="111"/>
        <v>1.0852853945322032</v>
      </c>
      <c r="J443">
        <f t="shared" si="112"/>
        <v>1.3437298656753121</v>
      </c>
      <c r="K443">
        <f t="shared" si="113"/>
        <v>0.51229062642397893</v>
      </c>
      <c r="L443">
        <f t="shared" si="114"/>
        <v>1.3309161580046081</v>
      </c>
      <c r="M443">
        <f t="shared" si="115"/>
        <v>0.99048188839397144</v>
      </c>
      <c r="N443">
        <f t="shared" si="116"/>
        <v>1.0013208310511719</v>
      </c>
      <c r="O443">
        <v>6.4143532076939239E-3</v>
      </c>
      <c r="P443">
        <v>3.6871298730253394E-3</v>
      </c>
      <c r="Q443">
        <f t="shared" si="117"/>
        <v>3815.2258462233581</v>
      </c>
      <c r="R443">
        <f t="shared" si="118"/>
        <v>3.8152258462233579</v>
      </c>
    </row>
    <row r="444" spans="1:18" x14ac:dyDescent="0.3">
      <c r="A444">
        <v>0.88600000000000001</v>
      </c>
      <c r="B444" s="4"/>
      <c r="C444">
        <v>-45.116258064258503</v>
      </c>
      <c r="D444">
        <v>1.95</v>
      </c>
      <c r="E444">
        <f t="shared" si="122"/>
        <v>51.907310235045024</v>
      </c>
      <c r="F444">
        <f t="shared" si="108"/>
        <v>1.0544190487903768E-2</v>
      </c>
      <c r="G444">
        <f t="shared" si="109"/>
        <v>3.2610898416197222E-2</v>
      </c>
      <c r="H444">
        <f t="shared" si="110"/>
        <v>96.335667098009878</v>
      </c>
      <c r="I444">
        <f t="shared" si="111"/>
        <v>1.0852853945322032</v>
      </c>
      <c r="J444">
        <f t="shared" si="112"/>
        <v>1.3437298656753121</v>
      </c>
      <c r="K444">
        <f t="shared" si="113"/>
        <v>0.51229062642397893</v>
      </c>
      <c r="L444">
        <f t="shared" si="114"/>
        <v>1.3309161580046081</v>
      </c>
      <c r="M444">
        <f t="shared" si="115"/>
        <v>0.99250324792866407</v>
      </c>
      <c r="N444">
        <f t="shared" si="116"/>
        <v>1.0047105805165291</v>
      </c>
      <c r="O444">
        <v>6.3192334967070657E-3</v>
      </c>
      <c r="P444">
        <v>3.8482622089363468E-3</v>
      </c>
      <c r="Q444">
        <f t="shared" si="117"/>
        <v>3815.2258462233581</v>
      </c>
      <c r="R444">
        <f t="shared" si="118"/>
        <v>3.8152258462233579</v>
      </c>
    </row>
    <row r="445" spans="1:18" x14ac:dyDescent="0.3">
      <c r="A445">
        <v>0.88800000000000001</v>
      </c>
      <c r="B445" s="4"/>
      <c r="C445">
        <v>-45.116258064258503</v>
      </c>
      <c r="D445">
        <v>1.95</v>
      </c>
      <c r="E445">
        <f t="shared" si="122"/>
        <v>51.907310235045024</v>
      </c>
      <c r="F445">
        <f t="shared" si="108"/>
        <v>1.0544190487903768E-2</v>
      </c>
      <c r="G445">
        <f t="shared" si="109"/>
        <v>3.2610898416197222E-2</v>
      </c>
      <c r="H445">
        <f t="shared" si="110"/>
        <v>96.335667098009878</v>
      </c>
      <c r="I445">
        <f t="shared" si="111"/>
        <v>1.0852853945322032</v>
      </c>
      <c r="J445">
        <f t="shared" si="112"/>
        <v>1.3437298656753121</v>
      </c>
      <c r="K445">
        <f t="shared" si="113"/>
        <v>0.51229062642397893</v>
      </c>
      <c r="L445">
        <f t="shared" si="114"/>
        <v>1.3309161580046081</v>
      </c>
      <c r="M445">
        <f t="shared" si="115"/>
        <v>0.99485201400832324</v>
      </c>
      <c r="N445">
        <f t="shared" si="116"/>
        <v>1.0010102948499373</v>
      </c>
      <c r="O445">
        <v>6.1840049990408499E-3</v>
      </c>
      <c r="P445">
        <v>4.0361258827036547E-3</v>
      </c>
      <c r="Q445">
        <f t="shared" si="117"/>
        <v>3815.2258462233581</v>
      </c>
      <c r="R445">
        <f t="shared" si="118"/>
        <v>3.8152258462233579</v>
      </c>
    </row>
    <row r="446" spans="1:18" x14ac:dyDescent="0.3">
      <c r="A446">
        <v>0.89</v>
      </c>
      <c r="B446" s="4"/>
      <c r="C446">
        <v>-45.116258064258503</v>
      </c>
      <c r="D446">
        <v>1.95</v>
      </c>
      <c r="E446">
        <f t="shared" si="122"/>
        <v>51.907310235045024</v>
      </c>
      <c r="F446">
        <f t="shared" si="108"/>
        <v>1.0544190487903768E-2</v>
      </c>
      <c r="G446">
        <f t="shared" si="109"/>
        <v>3.2610898416197222E-2</v>
      </c>
      <c r="H446">
        <f t="shared" si="110"/>
        <v>96.335667098009878</v>
      </c>
      <c r="I446">
        <f t="shared" si="111"/>
        <v>1.0852853945322032</v>
      </c>
      <c r="J446">
        <f t="shared" si="112"/>
        <v>1.3437298656753121</v>
      </c>
      <c r="K446">
        <f t="shared" si="113"/>
        <v>0.51229062642397893</v>
      </c>
      <c r="L446">
        <f t="shared" si="114"/>
        <v>1.3309161580046081</v>
      </c>
      <c r="M446">
        <f t="shared" si="115"/>
        <v>0.99706850459184604</v>
      </c>
      <c r="N446">
        <f t="shared" si="116"/>
        <v>0.99758458183498244</v>
      </c>
      <c r="O446">
        <v>6.0111671786716309E-3</v>
      </c>
      <c r="P446">
        <v>4.2640495973545207E-3</v>
      </c>
      <c r="Q446">
        <f t="shared" si="117"/>
        <v>3815.2258462233581</v>
      </c>
      <c r="R446">
        <f t="shared" si="118"/>
        <v>3.8152258462233579</v>
      </c>
    </row>
    <row r="447" spans="1:18" x14ac:dyDescent="0.3">
      <c r="A447">
        <v>0.89200000000000002</v>
      </c>
      <c r="B447" s="4"/>
      <c r="C447">
        <v>-45.116258064258503</v>
      </c>
      <c r="D447">
        <v>1.95</v>
      </c>
      <c r="E447">
        <f t="shared" si="122"/>
        <v>51.907310235045024</v>
      </c>
      <c r="F447">
        <f t="shared" si="108"/>
        <v>1.0544190487903768E-2</v>
      </c>
      <c r="G447">
        <f t="shared" si="109"/>
        <v>3.2610898416197222E-2</v>
      </c>
      <c r="H447">
        <f t="shared" si="110"/>
        <v>96.335667098009878</v>
      </c>
      <c r="I447">
        <f t="shared" si="111"/>
        <v>1.0852853945322032</v>
      </c>
      <c r="J447">
        <f t="shared" si="112"/>
        <v>1.3437298656753121</v>
      </c>
      <c r="K447">
        <f t="shared" si="113"/>
        <v>0.51229062642397893</v>
      </c>
      <c r="L447">
        <f t="shared" si="114"/>
        <v>1.3309161580046081</v>
      </c>
      <c r="M447">
        <f t="shared" si="115"/>
        <v>0.99876451202537919</v>
      </c>
      <c r="N447">
        <f t="shared" si="116"/>
        <v>1.0034159752838483</v>
      </c>
      <c r="O447">
        <v>5.8042785667810929E-3</v>
      </c>
      <c r="P447">
        <v>4.5453515462720896E-3</v>
      </c>
      <c r="Q447">
        <f t="shared" si="117"/>
        <v>3815.2258462233581</v>
      </c>
      <c r="R447">
        <f t="shared" si="118"/>
        <v>3.8152258462233579</v>
      </c>
    </row>
    <row r="448" spans="1:18" x14ac:dyDescent="0.3">
      <c r="A448">
        <v>0.89400000000000002</v>
      </c>
      <c r="B448" s="4"/>
      <c r="C448">
        <v>-45.116258064258503</v>
      </c>
      <c r="D448">
        <v>1.95</v>
      </c>
      <c r="E448">
        <f t="shared" si="122"/>
        <v>51.907310235045024</v>
      </c>
      <c r="F448">
        <f t="shared" si="108"/>
        <v>1.0544190487903768E-2</v>
      </c>
      <c r="G448">
        <f t="shared" si="109"/>
        <v>3.2610898416197222E-2</v>
      </c>
      <c r="H448">
        <f t="shared" si="110"/>
        <v>96.335667098009878</v>
      </c>
      <c r="I448">
        <f t="shared" si="111"/>
        <v>1.0852853945322032</v>
      </c>
      <c r="J448">
        <f t="shared" si="112"/>
        <v>1.3437298656753121</v>
      </c>
      <c r="K448">
        <f t="shared" si="113"/>
        <v>0.51229062642397893</v>
      </c>
      <c r="L448">
        <f t="shared" si="114"/>
        <v>1.3309161580046081</v>
      </c>
      <c r="M448">
        <f t="shared" si="115"/>
        <v>0.99973026759003147</v>
      </c>
      <c r="N448">
        <f t="shared" si="116"/>
        <v>1.0027682227964787</v>
      </c>
      <c r="O448">
        <v>5.5681587470131494E-3</v>
      </c>
      <c r="P448">
        <v>4.8197489744105943E-3</v>
      </c>
      <c r="Q448">
        <f t="shared" si="117"/>
        <v>3815.2258462233581</v>
      </c>
      <c r="R448">
        <f t="shared" si="118"/>
        <v>3.8152258462233579</v>
      </c>
    </row>
    <row r="449" spans="1:18" x14ac:dyDescent="0.3">
      <c r="A449">
        <v>0.89600000000000002</v>
      </c>
      <c r="B449" s="4"/>
      <c r="C449">
        <v>-45.116258064258503</v>
      </c>
      <c r="D449">
        <v>1.95</v>
      </c>
      <c r="E449">
        <f t="shared" si="122"/>
        <v>51.907310235045024</v>
      </c>
      <c r="F449">
        <f t="shared" si="108"/>
        <v>1.0544190487903768E-2</v>
      </c>
      <c r="G449">
        <f t="shared" si="109"/>
        <v>3.2610898416197222E-2</v>
      </c>
      <c r="H449">
        <f t="shared" si="110"/>
        <v>96.335667098009878</v>
      </c>
      <c r="I449">
        <f t="shared" si="111"/>
        <v>1.0852853945322032</v>
      </c>
      <c r="J449">
        <f t="shared" si="112"/>
        <v>1.3437298656753121</v>
      </c>
      <c r="K449">
        <f t="shared" si="113"/>
        <v>0.51229062642397893</v>
      </c>
      <c r="L449">
        <f t="shared" si="114"/>
        <v>1.3309161580046081</v>
      </c>
      <c r="M449">
        <f t="shared" si="115"/>
        <v>1.0008821415498015</v>
      </c>
      <c r="N449">
        <f t="shared" si="116"/>
        <v>0.99941816445429899</v>
      </c>
      <c r="O449">
        <v>5.3113407600572666E-3</v>
      </c>
      <c r="P449">
        <v>5.0893761189428803E-3</v>
      </c>
      <c r="Q449">
        <f t="shared" si="117"/>
        <v>3815.2258462233581</v>
      </c>
      <c r="R449">
        <f t="shared" si="118"/>
        <v>3.8152258462233579</v>
      </c>
    </row>
    <row r="450" spans="1:18" x14ac:dyDescent="0.3">
      <c r="A450">
        <v>0.89800000000000002</v>
      </c>
      <c r="B450" s="4"/>
      <c r="C450">
        <v>-45.116258064258503</v>
      </c>
      <c r="D450">
        <v>1.95</v>
      </c>
      <c r="E450">
        <f t="shared" si="122"/>
        <v>51.907310235045024</v>
      </c>
      <c r="F450">
        <f t="shared" si="108"/>
        <v>1.0544190487903768E-2</v>
      </c>
      <c r="G450">
        <f t="shared" si="109"/>
        <v>3.2610898416197222E-2</v>
      </c>
      <c r="H450">
        <f t="shared" si="110"/>
        <v>96.335667098009878</v>
      </c>
      <c r="I450">
        <f t="shared" si="111"/>
        <v>1.0852853945322032</v>
      </c>
      <c r="J450">
        <f t="shared" si="112"/>
        <v>1.3437298656753121</v>
      </c>
      <c r="K450">
        <f t="shared" si="113"/>
        <v>0.51229062642397893</v>
      </c>
      <c r="L450">
        <f t="shared" si="114"/>
        <v>1.3309161580046081</v>
      </c>
      <c r="M450">
        <f t="shared" si="115"/>
        <v>0.99878052454437771</v>
      </c>
      <c r="N450">
        <f t="shared" si="116"/>
        <v>0.99781412836029415</v>
      </c>
      <c r="O450">
        <v>5.0320978033015738E-3</v>
      </c>
      <c r="P450">
        <v>5.3569458057953221E-3</v>
      </c>
      <c r="Q450">
        <f t="shared" si="117"/>
        <v>3815.2258462233581</v>
      </c>
      <c r="R450">
        <f t="shared" si="118"/>
        <v>3.8152258462233579</v>
      </c>
    </row>
    <row r="451" spans="1:18" x14ac:dyDescent="0.3">
      <c r="A451">
        <v>0.9</v>
      </c>
      <c r="B451" s="4"/>
      <c r="C451">
        <v>-45.116258064258503</v>
      </c>
      <c r="D451">
        <v>1.95</v>
      </c>
      <c r="E451">
        <f t="shared" si="122"/>
        <v>51.907310235045024</v>
      </c>
      <c r="F451">
        <f t="shared" ref="F451:F514" si="123">0.0462806*SQRT(E451/1000)</f>
        <v>1.0544190487903768E-2</v>
      </c>
      <c r="G451">
        <f t="shared" ref="G451:G514" si="124">$U$3*F451/2</f>
        <v>3.2610898416197222E-2</v>
      </c>
      <c r="H451">
        <f t="shared" ref="H451:H514" si="125">PI()/G451</f>
        <v>96.335667098009878</v>
      </c>
      <c r="I451">
        <f t="shared" ref="I451:I514" si="126">BESSELI(H451*$Y$5,0)</f>
        <v>1.0852853945322032</v>
      </c>
      <c r="J451">
        <f t="shared" ref="J451:J514" si="127">BESSELI(H451*D451*$Y$5,0)</f>
        <v>1.3437298656753121</v>
      </c>
      <c r="K451">
        <f t="shared" ref="K451:K514" si="128">(D451^2-1)/(D451^2*I451+J451)</f>
        <v>0.51229062642397893</v>
      </c>
      <c r="L451">
        <f t="shared" ref="L451:L514" si="129">I451+J451/(D451^2*I451+J451)</f>
        <v>1.3309161580046081</v>
      </c>
      <c r="M451">
        <f t="shared" ref="M451:M514" si="130">((L451*O451^2)/$Y$5^2)+(K451*BESSELI(O451*H451,0)*COS(H451*A451))</f>
        <v>1.0070023880439818</v>
      </c>
      <c r="N451">
        <f t="shared" ref="N451:N514" si="131">((L451*P451^2)/$Y$5^2)-(K451*BESSELI(P451*H451,0)*COS(H451*A451))</f>
        <v>1.0032982202014622</v>
      </c>
      <c r="O451">
        <v>4.7757925649895751E-3</v>
      </c>
      <c r="P451">
        <v>5.6265076778380767E-3</v>
      </c>
      <c r="Q451">
        <f t="shared" ref="Q451:Q514" si="132">PI()*K451*$U$4*J451*COS(C451*$Y$7)/(4*$Y$6)</f>
        <v>3815.2258462233581</v>
      </c>
      <c r="R451">
        <f t="shared" ref="R451:R514" si="133">Q451/1000</f>
        <v>3.8152258462233579</v>
      </c>
    </row>
    <row r="452" spans="1:18" x14ac:dyDescent="0.3">
      <c r="A452">
        <v>0.90200000000000002</v>
      </c>
      <c r="B452" s="4"/>
      <c r="C452">
        <v>-45.116258064258503</v>
      </c>
      <c r="D452">
        <v>1.95</v>
      </c>
      <c r="E452">
        <f t="shared" si="122"/>
        <v>51.907310235045024</v>
      </c>
      <c r="F452">
        <f t="shared" si="123"/>
        <v>1.0544190487903768E-2</v>
      </c>
      <c r="G452">
        <f t="shared" si="124"/>
        <v>3.2610898416197222E-2</v>
      </c>
      <c r="H452">
        <f t="shared" si="125"/>
        <v>96.335667098009878</v>
      </c>
      <c r="I452">
        <f t="shared" si="126"/>
        <v>1.0852853945322032</v>
      </c>
      <c r="J452">
        <f t="shared" si="127"/>
        <v>1.3437298656753121</v>
      </c>
      <c r="K452">
        <f t="shared" si="128"/>
        <v>0.51229062642397893</v>
      </c>
      <c r="L452">
        <f t="shared" si="129"/>
        <v>1.3309161580046081</v>
      </c>
      <c r="M452">
        <f t="shared" si="130"/>
        <v>1.006531261277827</v>
      </c>
      <c r="N452">
        <f t="shared" si="131"/>
        <v>0.99956224673857519</v>
      </c>
      <c r="O452">
        <v>4.5004490409645539E-3</v>
      </c>
      <c r="P452">
        <v>5.8507758359256888E-3</v>
      </c>
      <c r="Q452">
        <f t="shared" si="132"/>
        <v>3815.2258462233581</v>
      </c>
      <c r="R452">
        <f t="shared" si="133"/>
        <v>3.8152258462233579</v>
      </c>
    </row>
    <row r="453" spans="1:18" x14ac:dyDescent="0.3">
      <c r="A453">
        <v>0.90400000000000003</v>
      </c>
      <c r="B453" s="4"/>
      <c r="C453">
        <v>-45.116258064258503</v>
      </c>
      <c r="D453">
        <v>1.95</v>
      </c>
      <c r="E453">
        <f t="shared" si="122"/>
        <v>51.907310235045024</v>
      </c>
      <c r="F453">
        <f t="shared" si="123"/>
        <v>1.0544190487903768E-2</v>
      </c>
      <c r="G453">
        <f t="shared" si="124"/>
        <v>3.2610898416197222E-2</v>
      </c>
      <c r="H453">
        <f t="shared" si="125"/>
        <v>96.335667098009878</v>
      </c>
      <c r="I453">
        <f t="shared" si="126"/>
        <v>1.0852853945322032</v>
      </c>
      <c r="J453">
        <f t="shared" si="127"/>
        <v>1.3437298656753121</v>
      </c>
      <c r="K453">
        <f t="shared" si="128"/>
        <v>0.51229062642397893</v>
      </c>
      <c r="L453">
        <f t="shared" si="129"/>
        <v>1.3309161580046081</v>
      </c>
      <c r="M453">
        <f t="shared" si="130"/>
        <v>1.000825177254353</v>
      </c>
      <c r="N453">
        <f t="shared" si="131"/>
        <v>0.99861202271342464</v>
      </c>
      <c r="O453">
        <v>4.2239130847774118E-3</v>
      </c>
      <c r="P453">
        <v>6.0531116948406485E-3</v>
      </c>
      <c r="Q453">
        <f t="shared" si="132"/>
        <v>3815.2258462233581</v>
      </c>
      <c r="R453">
        <f t="shared" si="133"/>
        <v>3.8152258462233579</v>
      </c>
    </row>
    <row r="454" spans="1:18" x14ac:dyDescent="0.3">
      <c r="A454">
        <v>0.90600000000000003</v>
      </c>
      <c r="B454" s="4"/>
      <c r="C454">
        <v>-45.116258064258503</v>
      </c>
      <c r="D454">
        <v>1.95</v>
      </c>
      <c r="E454">
        <f t="shared" si="122"/>
        <v>51.907310235045024</v>
      </c>
      <c r="F454">
        <f t="shared" si="123"/>
        <v>1.0544190487903768E-2</v>
      </c>
      <c r="G454">
        <f t="shared" si="124"/>
        <v>3.2610898416197222E-2</v>
      </c>
      <c r="H454">
        <f t="shared" si="125"/>
        <v>96.335667098009878</v>
      </c>
      <c r="I454">
        <f t="shared" si="126"/>
        <v>1.0852853945322032</v>
      </c>
      <c r="J454">
        <f t="shared" si="127"/>
        <v>1.3437298656753121</v>
      </c>
      <c r="K454">
        <f t="shared" si="128"/>
        <v>0.51229062642397893</v>
      </c>
      <c r="L454">
        <f t="shared" si="129"/>
        <v>1.3309161580046081</v>
      </c>
      <c r="M454">
        <f t="shared" si="130"/>
        <v>1.0075123526212866</v>
      </c>
      <c r="N454">
        <f t="shared" si="131"/>
        <v>0.99725065051044515</v>
      </c>
      <c r="O454">
        <v>4.013914009508927E-3</v>
      </c>
      <c r="P454">
        <v>6.2206131087760557E-3</v>
      </c>
      <c r="Q454">
        <f t="shared" si="132"/>
        <v>3815.2258462233581</v>
      </c>
      <c r="R454">
        <f t="shared" si="133"/>
        <v>3.8152258462233579</v>
      </c>
    </row>
    <row r="455" spans="1:18" x14ac:dyDescent="0.3">
      <c r="A455">
        <v>0.90800000000000003</v>
      </c>
      <c r="B455" s="4"/>
      <c r="C455">
        <v>-45.116258064258503</v>
      </c>
      <c r="D455">
        <v>1.95</v>
      </c>
      <c r="E455">
        <f t="shared" si="122"/>
        <v>51.907310235045024</v>
      </c>
      <c r="F455">
        <f t="shared" si="123"/>
        <v>1.0544190487903768E-2</v>
      </c>
      <c r="G455">
        <f t="shared" si="124"/>
        <v>3.2610898416197222E-2</v>
      </c>
      <c r="H455">
        <f t="shared" si="125"/>
        <v>96.335667098009878</v>
      </c>
      <c r="I455">
        <f t="shared" si="126"/>
        <v>1.0852853945322032</v>
      </c>
      <c r="J455">
        <f t="shared" si="127"/>
        <v>1.3437298656753121</v>
      </c>
      <c r="K455">
        <f t="shared" si="128"/>
        <v>0.51229062642397893</v>
      </c>
      <c r="L455">
        <f t="shared" si="129"/>
        <v>1.3309161580046081</v>
      </c>
      <c r="M455">
        <f t="shared" si="130"/>
        <v>1.0019921367491955</v>
      </c>
      <c r="N455">
        <f t="shared" si="131"/>
        <v>0.99576140277513048</v>
      </c>
      <c r="O455">
        <v>3.8045519735691547E-3</v>
      </c>
      <c r="P455">
        <v>6.3496967377699304E-3</v>
      </c>
      <c r="Q455">
        <f t="shared" si="132"/>
        <v>3815.2258462233581</v>
      </c>
      <c r="R455">
        <f t="shared" si="133"/>
        <v>3.8152258462233579</v>
      </c>
    </row>
    <row r="456" spans="1:18" x14ac:dyDescent="0.3">
      <c r="A456">
        <v>0.91</v>
      </c>
      <c r="B456" s="4"/>
      <c r="C456">
        <v>-45.116258064258503</v>
      </c>
      <c r="D456">
        <v>1.95</v>
      </c>
      <c r="E456">
        <f t="shared" si="122"/>
        <v>51.907310235045024</v>
      </c>
      <c r="F456">
        <f t="shared" si="123"/>
        <v>1.0544190487903768E-2</v>
      </c>
      <c r="G456">
        <f t="shared" si="124"/>
        <v>3.2610898416197222E-2</v>
      </c>
      <c r="H456">
        <f t="shared" si="125"/>
        <v>96.335667098009878</v>
      </c>
      <c r="I456">
        <f t="shared" si="126"/>
        <v>1.0852853945322032</v>
      </c>
      <c r="J456">
        <f t="shared" si="127"/>
        <v>1.3437298656753121</v>
      </c>
      <c r="K456">
        <f t="shared" si="128"/>
        <v>0.51229062642397893</v>
      </c>
      <c r="L456">
        <f t="shared" si="129"/>
        <v>1.3309161580046081</v>
      </c>
      <c r="M456">
        <f t="shared" si="130"/>
        <v>1.0048545273440797</v>
      </c>
      <c r="N456">
        <f t="shared" si="131"/>
        <v>0.99449026701264265</v>
      </c>
      <c r="O456">
        <v>3.6769706935906202E-3</v>
      </c>
      <c r="P456">
        <v>6.4378453165923723E-3</v>
      </c>
      <c r="Q456">
        <f t="shared" si="132"/>
        <v>3815.2258462233581</v>
      </c>
      <c r="R456">
        <f t="shared" si="133"/>
        <v>3.8152258462233579</v>
      </c>
    </row>
    <row r="457" spans="1:18" x14ac:dyDescent="0.3">
      <c r="A457">
        <v>0.91200000000000003</v>
      </c>
      <c r="B457" s="4">
        <v>48</v>
      </c>
      <c r="C457">
        <v>-44.656655209031896</v>
      </c>
      <c r="D457">
        <v>1.95</v>
      </c>
      <c r="E457">
        <f>$E$456+$R$456</f>
        <v>55.72253608126838</v>
      </c>
      <c r="F457">
        <f t="shared" si="123"/>
        <v>1.0924823209144853E-2</v>
      </c>
      <c r="G457">
        <f t="shared" si="124"/>
        <v>3.378811301797377E-2</v>
      </c>
      <c r="H457">
        <f t="shared" si="125"/>
        <v>92.979227692253957</v>
      </c>
      <c r="I457">
        <f t="shared" si="126"/>
        <v>1.0793328007353804</v>
      </c>
      <c r="J457">
        <f t="shared" si="127"/>
        <v>1.3184740123715126</v>
      </c>
      <c r="K457">
        <f t="shared" si="128"/>
        <v>0.5168149751923049</v>
      </c>
      <c r="L457">
        <f t="shared" si="129"/>
        <v>1.3224753927052224</v>
      </c>
      <c r="M457">
        <f t="shared" si="130"/>
        <v>0.9997801195499455</v>
      </c>
      <c r="N457">
        <f t="shared" si="131"/>
        <v>1.0038225551153963</v>
      </c>
      <c r="O457">
        <v>6.5272241741534485E-3</v>
      </c>
      <c r="P457">
        <v>3.5872043596264949E-3</v>
      </c>
      <c r="Q457">
        <f t="shared" si="132"/>
        <v>3806.8741660862556</v>
      </c>
      <c r="R457">
        <f t="shared" si="133"/>
        <v>3.8068741660862555</v>
      </c>
    </row>
    <row r="458" spans="1:18" x14ac:dyDescent="0.3">
      <c r="A458">
        <v>0.91400000000000003</v>
      </c>
      <c r="B458" s="4"/>
      <c r="C458">
        <v>-44.656655209031896</v>
      </c>
      <c r="D458">
        <v>1.95</v>
      </c>
      <c r="E458">
        <f t="shared" ref="E458:E472" si="134">$E$456+$R$456</f>
        <v>55.72253608126838</v>
      </c>
      <c r="F458">
        <f t="shared" si="123"/>
        <v>1.0924823209144853E-2</v>
      </c>
      <c r="G458">
        <f t="shared" si="124"/>
        <v>3.378811301797377E-2</v>
      </c>
      <c r="H458">
        <f t="shared" si="125"/>
        <v>92.979227692253957</v>
      </c>
      <c r="I458">
        <f t="shared" si="126"/>
        <v>1.0793328007353804</v>
      </c>
      <c r="J458">
        <f t="shared" si="127"/>
        <v>1.3184740123715126</v>
      </c>
      <c r="K458">
        <f t="shared" si="128"/>
        <v>0.5168149751923049</v>
      </c>
      <c r="L458">
        <f t="shared" si="129"/>
        <v>1.3224753927052224</v>
      </c>
      <c r="M458">
        <f t="shared" si="130"/>
        <v>0.99979086515582161</v>
      </c>
      <c r="N458">
        <f t="shared" si="131"/>
        <v>1.0032040328434748</v>
      </c>
      <c r="O458">
        <v>6.5120866326576236E-3</v>
      </c>
      <c r="P458">
        <v>3.6091922277902591E-3</v>
      </c>
      <c r="Q458">
        <f t="shared" si="132"/>
        <v>3806.8741660862556</v>
      </c>
      <c r="R458">
        <f t="shared" si="133"/>
        <v>3.8068741660862555</v>
      </c>
    </row>
    <row r="459" spans="1:18" x14ac:dyDescent="0.3">
      <c r="A459">
        <v>0.91600000000000004</v>
      </c>
      <c r="B459" s="4"/>
      <c r="C459">
        <v>-44.656655209031896</v>
      </c>
      <c r="D459">
        <v>1.95</v>
      </c>
      <c r="E459">
        <f t="shared" si="134"/>
        <v>55.72253608126838</v>
      </c>
      <c r="F459">
        <f t="shared" si="123"/>
        <v>1.0924823209144853E-2</v>
      </c>
      <c r="G459">
        <f t="shared" si="124"/>
        <v>3.378811301797377E-2</v>
      </c>
      <c r="H459">
        <f t="shared" si="125"/>
        <v>92.979227692253957</v>
      </c>
      <c r="I459">
        <f t="shared" si="126"/>
        <v>1.0793328007353804</v>
      </c>
      <c r="J459">
        <f t="shared" si="127"/>
        <v>1.3184740123715126</v>
      </c>
      <c r="K459">
        <f t="shared" si="128"/>
        <v>0.5168149751923049</v>
      </c>
      <c r="L459">
        <f t="shared" si="129"/>
        <v>1.3224753927052224</v>
      </c>
      <c r="M459">
        <f t="shared" si="130"/>
        <v>0.99005263500121354</v>
      </c>
      <c r="N459">
        <f t="shared" si="131"/>
        <v>1.0012176333782192</v>
      </c>
      <c r="O459">
        <v>6.4340298180855784E-3</v>
      </c>
      <c r="P459">
        <v>3.6915017454964253E-3</v>
      </c>
      <c r="Q459">
        <f t="shared" si="132"/>
        <v>3806.8741660862556</v>
      </c>
      <c r="R459">
        <f t="shared" si="133"/>
        <v>3.8068741660862555</v>
      </c>
    </row>
    <row r="460" spans="1:18" x14ac:dyDescent="0.3">
      <c r="A460">
        <v>0.91800000000000004</v>
      </c>
      <c r="B460" s="4"/>
      <c r="C460">
        <v>-44.656655209031896</v>
      </c>
      <c r="D460">
        <v>1.95</v>
      </c>
      <c r="E460">
        <f t="shared" si="134"/>
        <v>55.72253608126838</v>
      </c>
      <c r="F460">
        <f t="shared" si="123"/>
        <v>1.0924823209144853E-2</v>
      </c>
      <c r="G460">
        <f t="shared" si="124"/>
        <v>3.378811301797377E-2</v>
      </c>
      <c r="H460">
        <f t="shared" si="125"/>
        <v>92.979227692253957</v>
      </c>
      <c r="I460">
        <f t="shared" si="126"/>
        <v>1.0793328007353804</v>
      </c>
      <c r="J460">
        <f t="shared" si="127"/>
        <v>1.3184740123715126</v>
      </c>
      <c r="K460">
        <f t="shared" si="128"/>
        <v>0.5168149751923049</v>
      </c>
      <c r="L460">
        <f t="shared" si="129"/>
        <v>1.3224753927052224</v>
      </c>
      <c r="M460">
        <f t="shared" si="130"/>
        <v>0.99209538483877269</v>
      </c>
      <c r="N460">
        <f t="shared" si="131"/>
        <v>1.00459957015629</v>
      </c>
      <c r="O460">
        <v>6.3409763356030036E-3</v>
      </c>
      <c r="P460">
        <v>3.8510275230801577E-3</v>
      </c>
      <c r="Q460">
        <f t="shared" si="132"/>
        <v>3806.8741660862556</v>
      </c>
      <c r="R460">
        <f t="shared" si="133"/>
        <v>3.8068741660862555</v>
      </c>
    </row>
    <row r="461" spans="1:18" x14ac:dyDescent="0.3">
      <c r="A461">
        <v>0.92</v>
      </c>
      <c r="B461" s="4"/>
      <c r="C461">
        <v>-44.656655209031896</v>
      </c>
      <c r="D461">
        <v>1.95</v>
      </c>
      <c r="E461">
        <f t="shared" si="134"/>
        <v>55.72253608126838</v>
      </c>
      <c r="F461">
        <f t="shared" si="123"/>
        <v>1.0924823209144853E-2</v>
      </c>
      <c r="G461">
        <f t="shared" si="124"/>
        <v>3.378811301797377E-2</v>
      </c>
      <c r="H461">
        <f t="shared" si="125"/>
        <v>92.979227692253957</v>
      </c>
      <c r="I461">
        <f t="shared" si="126"/>
        <v>1.0793328007353804</v>
      </c>
      <c r="J461">
        <f t="shared" si="127"/>
        <v>1.3184740123715126</v>
      </c>
      <c r="K461">
        <f t="shared" si="128"/>
        <v>0.5168149751923049</v>
      </c>
      <c r="L461">
        <f t="shared" si="129"/>
        <v>1.3224753927052224</v>
      </c>
      <c r="M461">
        <f t="shared" si="130"/>
        <v>0.99445902470151015</v>
      </c>
      <c r="N461">
        <f t="shared" si="131"/>
        <v>1.0010229862923121</v>
      </c>
      <c r="O461">
        <v>6.210404911225955E-3</v>
      </c>
      <c r="P461">
        <v>4.0344835780164396E-3</v>
      </c>
      <c r="Q461">
        <f t="shared" si="132"/>
        <v>3806.8741660862556</v>
      </c>
      <c r="R461">
        <f t="shared" si="133"/>
        <v>3.8068741660862555</v>
      </c>
    </row>
    <row r="462" spans="1:18" x14ac:dyDescent="0.3">
      <c r="A462">
        <v>0.92200000000000004</v>
      </c>
      <c r="B462" s="4"/>
      <c r="C462">
        <v>-44.656655209031896</v>
      </c>
      <c r="D462">
        <v>1.95</v>
      </c>
      <c r="E462">
        <f t="shared" si="134"/>
        <v>55.72253608126838</v>
      </c>
      <c r="F462">
        <f t="shared" si="123"/>
        <v>1.0924823209144853E-2</v>
      </c>
      <c r="G462">
        <f t="shared" si="124"/>
        <v>3.378811301797377E-2</v>
      </c>
      <c r="H462">
        <f t="shared" si="125"/>
        <v>92.979227692253957</v>
      </c>
      <c r="I462">
        <f t="shared" si="126"/>
        <v>1.0793328007353804</v>
      </c>
      <c r="J462">
        <f t="shared" si="127"/>
        <v>1.3184740123715126</v>
      </c>
      <c r="K462">
        <f t="shared" si="128"/>
        <v>0.5168149751923049</v>
      </c>
      <c r="L462">
        <f t="shared" si="129"/>
        <v>1.3224753927052224</v>
      </c>
      <c r="M462">
        <f t="shared" si="130"/>
        <v>0.99671665796797382</v>
      </c>
      <c r="N462">
        <f t="shared" si="131"/>
        <v>1.0003128064435676</v>
      </c>
      <c r="O462">
        <v>6.0444936376870938E-3</v>
      </c>
      <c r="P462">
        <v>4.2640495973545207E-3</v>
      </c>
      <c r="Q462">
        <f t="shared" si="132"/>
        <v>3806.8741660862556</v>
      </c>
      <c r="R462">
        <f t="shared" si="133"/>
        <v>3.8068741660862555</v>
      </c>
    </row>
    <row r="463" spans="1:18" x14ac:dyDescent="0.3">
      <c r="A463">
        <v>0.92400000000000004</v>
      </c>
      <c r="B463" s="4"/>
      <c r="C463">
        <v>-44.656655209031896</v>
      </c>
      <c r="D463">
        <v>1.95</v>
      </c>
      <c r="E463">
        <f t="shared" si="134"/>
        <v>55.72253608126838</v>
      </c>
      <c r="F463">
        <f t="shared" si="123"/>
        <v>1.0924823209144853E-2</v>
      </c>
      <c r="G463">
        <f t="shared" si="124"/>
        <v>3.378811301797377E-2</v>
      </c>
      <c r="H463">
        <f t="shared" si="125"/>
        <v>92.979227692253957</v>
      </c>
      <c r="I463">
        <f t="shared" si="126"/>
        <v>1.0793328007353804</v>
      </c>
      <c r="J463">
        <f t="shared" si="127"/>
        <v>1.3184740123715126</v>
      </c>
      <c r="K463">
        <f t="shared" si="128"/>
        <v>0.5168149751923049</v>
      </c>
      <c r="L463">
        <f t="shared" si="129"/>
        <v>1.3224753927052224</v>
      </c>
      <c r="M463">
        <f t="shared" si="130"/>
        <v>0.99849982941312698</v>
      </c>
      <c r="N463">
        <f t="shared" si="131"/>
        <v>1.0030138777712407</v>
      </c>
      <c r="O463">
        <v>5.8463291986917514E-3</v>
      </c>
      <c r="P463">
        <v>4.5280387761867814E-3</v>
      </c>
      <c r="Q463">
        <f t="shared" si="132"/>
        <v>3806.8741660862556</v>
      </c>
      <c r="R463">
        <f t="shared" si="133"/>
        <v>3.8068741660862555</v>
      </c>
    </row>
    <row r="464" spans="1:18" x14ac:dyDescent="0.3">
      <c r="A464">
        <v>0.92600000000000005</v>
      </c>
      <c r="B464" s="4"/>
      <c r="C464">
        <v>-44.656655209031896</v>
      </c>
      <c r="D464">
        <v>1.95</v>
      </c>
      <c r="E464">
        <f t="shared" si="134"/>
        <v>55.72253608126838</v>
      </c>
      <c r="F464">
        <f t="shared" si="123"/>
        <v>1.0924823209144853E-2</v>
      </c>
      <c r="G464">
        <f t="shared" si="124"/>
        <v>3.378811301797377E-2</v>
      </c>
      <c r="H464">
        <f t="shared" si="125"/>
        <v>92.979227692253957</v>
      </c>
      <c r="I464">
        <f t="shared" si="126"/>
        <v>1.0793328007353804</v>
      </c>
      <c r="J464">
        <f t="shared" si="127"/>
        <v>1.3184740123715126</v>
      </c>
      <c r="K464">
        <f t="shared" si="128"/>
        <v>0.5168149751923049</v>
      </c>
      <c r="L464">
        <f t="shared" si="129"/>
        <v>1.3224753927052224</v>
      </c>
      <c r="M464">
        <f t="shared" si="130"/>
        <v>0.9995916764808972</v>
      </c>
      <c r="N464">
        <f t="shared" si="131"/>
        <v>1.0021189435126503</v>
      </c>
      <c r="O464">
        <v>5.6200853757637573E-3</v>
      </c>
      <c r="P464">
        <v>4.7940468096679565E-3</v>
      </c>
      <c r="Q464">
        <f t="shared" si="132"/>
        <v>3806.8741660862556</v>
      </c>
      <c r="R464">
        <f t="shared" si="133"/>
        <v>3.8068741660862555</v>
      </c>
    </row>
    <row r="465" spans="1:18" x14ac:dyDescent="0.3">
      <c r="A465">
        <v>0.92800000000000005</v>
      </c>
      <c r="B465" s="4"/>
      <c r="C465">
        <v>-44.656655209031896</v>
      </c>
      <c r="D465">
        <v>1.95</v>
      </c>
      <c r="E465">
        <f t="shared" si="134"/>
        <v>55.72253608126838</v>
      </c>
      <c r="F465">
        <f t="shared" si="123"/>
        <v>1.0924823209144853E-2</v>
      </c>
      <c r="G465">
        <f t="shared" si="124"/>
        <v>3.378811301797377E-2</v>
      </c>
      <c r="H465">
        <f t="shared" si="125"/>
        <v>92.979227692253957</v>
      </c>
      <c r="I465">
        <f t="shared" si="126"/>
        <v>1.0793328007353804</v>
      </c>
      <c r="J465">
        <f t="shared" si="127"/>
        <v>1.3184740123715126</v>
      </c>
      <c r="K465">
        <f t="shared" si="128"/>
        <v>0.5168149751923049</v>
      </c>
      <c r="L465">
        <f t="shared" si="129"/>
        <v>1.3224753927052224</v>
      </c>
      <c r="M465">
        <f t="shared" si="130"/>
        <v>1.0020911019272563</v>
      </c>
      <c r="N465">
        <f t="shared" si="131"/>
        <v>0.99952579861239754</v>
      </c>
      <c r="O465">
        <v>5.3765484096974132E-3</v>
      </c>
      <c r="P465">
        <v>5.0587944039868077E-3</v>
      </c>
      <c r="Q465">
        <f t="shared" si="132"/>
        <v>3806.8741660862556</v>
      </c>
      <c r="R465">
        <f t="shared" si="133"/>
        <v>3.8068741660862555</v>
      </c>
    </row>
    <row r="466" spans="1:18" x14ac:dyDescent="0.3">
      <c r="A466">
        <v>0.93</v>
      </c>
      <c r="B466" s="4"/>
      <c r="C466">
        <v>-44.656655209031896</v>
      </c>
      <c r="D466">
        <v>1.95</v>
      </c>
      <c r="E466">
        <f t="shared" si="134"/>
        <v>55.72253608126838</v>
      </c>
      <c r="F466">
        <f t="shared" si="123"/>
        <v>1.0924823209144853E-2</v>
      </c>
      <c r="G466">
        <f t="shared" si="124"/>
        <v>3.378811301797377E-2</v>
      </c>
      <c r="H466">
        <f t="shared" si="125"/>
        <v>92.979227692253957</v>
      </c>
      <c r="I466">
        <f t="shared" si="126"/>
        <v>1.0793328007353804</v>
      </c>
      <c r="J466">
        <f t="shared" si="127"/>
        <v>1.3184740123715126</v>
      </c>
      <c r="K466">
        <f t="shared" si="128"/>
        <v>0.5168149751923049</v>
      </c>
      <c r="L466">
        <f t="shared" si="129"/>
        <v>1.3224753927052224</v>
      </c>
      <c r="M466">
        <f t="shared" si="130"/>
        <v>0.99831862751803724</v>
      </c>
      <c r="N466">
        <f t="shared" si="131"/>
        <v>0.99811977559948639</v>
      </c>
      <c r="O466">
        <v>5.1023199113584541E-3</v>
      </c>
      <c r="P466">
        <v>5.3214875377922037E-3</v>
      </c>
      <c r="Q466">
        <f t="shared" si="132"/>
        <v>3806.8741660862556</v>
      </c>
      <c r="R466">
        <f t="shared" si="133"/>
        <v>3.8068741660862555</v>
      </c>
    </row>
    <row r="467" spans="1:18" x14ac:dyDescent="0.3">
      <c r="A467">
        <v>0.93200000000000005</v>
      </c>
      <c r="B467" s="4"/>
      <c r="C467">
        <v>-44.656655209031896</v>
      </c>
      <c r="D467">
        <v>1.95</v>
      </c>
      <c r="E467">
        <f t="shared" si="134"/>
        <v>55.72253608126838</v>
      </c>
      <c r="F467">
        <f t="shared" si="123"/>
        <v>1.0924823209144853E-2</v>
      </c>
      <c r="G467">
        <f t="shared" si="124"/>
        <v>3.378811301797377E-2</v>
      </c>
      <c r="H467">
        <f t="shared" si="125"/>
        <v>92.979227692253957</v>
      </c>
      <c r="I467">
        <f t="shared" si="126"/>
        <v>1.0793328007353804</v>
      </c>
      <c r="J467">
        <f t="shared" si="127"/>
        <v>1.3184740123715126</v>
      </c>
      <c r="K467">
        <f t="shared" si="128"/>
        <v>0.5168149751923049</v>
      </c>
      <c r="L467">
        <f t="shared" si="129"/>
        <v>1.3224753927052224</v>
      </c>
      <c r="M467">
        <f t="shared" si="130"/>
        <v>0.99963070022885514</v>
      </c>
      <c r="N467">
        <f t="shared" si="131"/>
        <v>1.0017256651926922</v>
      </c>
      <c r="O467">
        <v>4.834177579089936E-3</v>
      </c>
      <c r="P467">
        <v>5.583413467009142E-3</v>
      </c>
      <c r="Q467">
        <f t="shared" si="132"/>
        <v>3806.8741660862556</v>
      </c>
      <c r="R467">
        <f t="shared" si="133"/>
        <v>3.8068741660862555</v>
      </c>
    </row>
    <row r="468" spans="1:18" x14ac:dyDescent="0.3">
      <c r="A468">
        <v>0.93400000000000005</v>
      </c>
      <c r="B468" s="4"/>
      <c r="C468">
        <v>-44.656655209031896</v>
      </c>
      <c r="D468">
        <v>1.95</v>
      </c>
      <c r="E468">
        <f t="shared" si="134"/>
        <v>55.72253608126838</v>
      </c>
      <c r="F468">
        <f t="shared" si="123"/>
        <v>1.0924823209144853E-2</v>
      </c>
      <c r="G468">
        <f t="shared" si="124"/>
        <v>3.378811301797377E-2</v>
      </c>
      <c r="H468">
        <f t="shared" si="125"/>
        <v>92.979227692253957</v>
      </c>
      <c r="I468">
        <f t="shared" si="126"/>
        <v>1.0793328007353804</v>
      </c>
      <c r="J468">
        <f t="shared" si="127"/>
        <v>1.3184740123715126</v>
      </c>
      <c r="K468">
        <f t="shared" si="128"/>
        <v>0.5168149751923049</v>
      </c>
      <c r="L468">
        <f t="shared" si="129"/>
        <v>1.3224753927052224</v>
      </c>
      <c r="M468">
        <f t="shared" si="130"/>
        <v>1.0012015481605363</v>
      </c>
      <c r="N468">
        <f t="shared" si="131"/>
        <v>0.99967744121536328</v>
      </c>
      <c r="O468">
        <v>4.5685624324375753E-3</v>
      </c>
      <c r="P468">
        <v>5.811262407183786E-3</v>
      </c>
      <c r="Q468">
        <f t="shared" si="132"/>
        <v>3806.8741660862556</v>
      </c>
      <c r="R468">
        <f t="shared" si="133"/>
        <v>3.8068741660862555</v>
      </c>
    </row>
    <row r="469" spans="1:18" x14ac:dyDescent="0.3">
      <c r="A469">
        <v>0.93600000000000005</v>
      </c>
      <c r="B469" s="4"/>
      <c r="C469">
        <v>-44.656655209031896</v>
      </c>
      <c r="D469">
        <v>1.95</v>
      </c>
      <c r="E469">
        <f t="shared" si="134"/>
        <v>55.72253608126838</v>
      </c>
      <c r="F469">
        <f t="shared" si="123"/>
        <v>1.0924823209144853E-2</v>
      </c>
      <c r="G469">
        <f t="shared" si="124"/>
        <v>3.378811301797377E-2</v>
      </c>
      <c r="H469">
        <f t="shared" si="125"/>
        <v>92.979227692253957</v>
      </c>
      <c r="I469">
        <f t="shared" si="126"/>
        <v>1.0793328007353804</v>
      </c>
      <c r="J469">
        <f t="shared" si="127"/>
        <v>1.3184740123715126</v>
      </c>
      <c r="K469">
        <f t="shared" si="128"/>
        <v>0.5168149751923049</v>
      </c>
      <c r="L469">
        <f t="shared" si="129"/>
        <v>1.3224753927052224</v>
      </c>
      <c r="M469">
        <f t="shared" si="130"/>
        <v>1.0021011465558827</v>
      </c>
      <c r="N469">
        <f t="shared" si="131"/>
        <v>0.99883979380483923</v>
      </c>
      <c r="O469">
        <v>4.3125091236931277E-3</v>
      </c>
      <c r="P469">
        <v>6.0164830653317977E-3</v>
      </c>
      <c r="Q469">
        <f t="shared" si="132"/>
        <v>3806.8741660862556</v>
      </c>
      <c r="R469">
        <f t="shared" si="133"/>
        <v>3.8068741660862555</v>
      </c>
    </row>
    <row r="470" spans="1:18" x14ac:dyDescent="0.3">
      <c r="A470">
        <v>0.93799999999999994</v>
      </c>
      <c r="B470" s="4"/>
      <c r="C470">
        <v>-44.656655209031896</v>
      </c>
      <c r="D470">
        <v>1.95</v>
      </c>
      <c r="E470">
        <f t="shared" si="134"/>
        <v>55.72253608126838</v>
      </c>
      <c r="F470">
        <f t="shared" si="123"/>
        <v>1.0924823209144853E-2</v>
      </c>
      <c r="G470">
        <f t="shared" si="124"/>
        <v>3.378811301797377E-2</v>
      </c>
      <c r="H470">
        <f t="shared" si="125"/>
        <v>92.979227692253957</v>
      </c>
      <c r="I470">
        <f t="shared" si="126"/>
        <v>1.0793328007353804</v>
      </c>
      <c r="J470">
        <f t="shared" si="127"/>
        <v>1.3184740123715126</v>
      </c>
      <c r="K470">
        <f t="shared" si="128"/>
        <v>0.5168149751923049</v>
      </c>
      <c r="L470">
        <f t="shared" si="129"/>
        <v>1.3224753927052224</v>
      </c>
      <c r="M470">
        <f t="shared" si="130"/>
        <v>0.99555414641135354</v>
      </c>
      <c r="N470">
        <f t="shared" si="131"/>
        <v>0.99755199593860078</v>
      </c>
      <c r="O470">
        <v>4.0544585954635625E-3</v>
      </c>
      <c r="P470">
        <v>6.1901819531392302E-3</v>
      </c>
      <c r="Q470">
        <f t="shared" si="132"/>
        <v>3806.8741660862556</v>
      </c>
      <c r="R470">
        <f t="shared" si="133"/>
        <v>3.8068741660862555</v>
      </c>
    </row>
    <row r="471" spans="1:18" x14ac:dyDescent="0.3">
      <c r="A471">
        <v>0.94</v>
      </c>
      <c r="B471" s="4"/>
      <c r="C471">
        <v>-44.656655209031896</v>
      </c>
      <c r="D471">
        <v>1.95</v>
      </c>
      <c r="E471">
        <f t="shared" si="134"/>
        <v>55.72253608126838</v>
      </c>
      <c r="F471">
        <f t="shared" si="123"/>
        <v>1.0924823209144853E-2</v>
      </c>
      <c r="G471">
        <f t="shared" si="124"/>
        <v>3.378811301797377E-2</v>
      </c>
      <c r="H471">
        <f t="shared" si="125"/>
        <v>92.979227692253957</v>
      </c>
      <c r="I471">
        <f t="shared" si="126"/>
        <v>1.0793328007353804</v>
      </c>
      <c r="J471">
        <f t="shared" si="127"/>
        <v>1.3184740123715126</v>
      </c>
      <c r="K471">
        <f t="shared" si="128"/>
        <v>0.5168149751923049</v>
      </c>
      <c r="L471">
        <f t="shared" si="129"/>
        <v>1.3224753927052224</v>
      </c>
      <c r="M471">
        <f t="shared" si="130"/>
        <v>1.001008573806899</v>
      </c>
      <c r="N471">
        <f t="shared" si="131"/>
        <v>0.99604378342188338</v>
      </c>
      <c r="O471">
        <v>3.8694333299216883E-3</v>
      </c>
      <c r="P471">
        <v>6.3288584918787189E-3</v>
      </c>
      <c r="Q471">
        <f t="shared" si="132"/>
        <v>3806.8741660862556</v>
      </c>
      <c r="R471">
        <f t="shared" si="133"/>
        <v>3.8068741660862555</v>
      </c>
    </row>
    <row r="472" spans="1:18" x14ac:dyDescent="0.3">
      <c r="A472">
        <v>0.94199999999999995</v>
      </c>
      <c r="B472" s="4"/>
      <c r="C472">
        <v>-44.656655209031896</v>
      </c>
      <c r="D472">
        <v>1.95</v>
      </c>
      <c r="E472">
        <f t="shared" si="134"/>
        <v>55.72253608126838</v>
      </c>
      <c r="F472">
        <f t="shared" si="123"/>
        <v>1.0924823209144853E-2</v>
      </c>
      <c r="G472">
        <f t="shared" si="124"/>
        <v>3.378811301797377E-2</v>
      </c>
      <c r="H472">
        <f t="shared" si="125"/>
        <v>92.979227692253957</v>
      </c>
      <c r="I472">
        <f t="shared" si="126"/>
        <v>1.0793328007353804</v>
      </c>
      <c r="J472">
        <f t="shared" si="127"/>
        <v>1.3184740123715126</v>
      </c>
      <c r="K472">
        <f t="shared" si="128"/>
        <v>0.5168149751923049</v>
      </c>
      <c r="L472">
        <f t="shared" si="129"/>
        <v>1.3224753927052224</v>
      </c>
      <c r="M472">
        <f t="shared" si="130"/>
        <v>1.0036727870171691</v>
      </c>
      <c r="N472">
        <f t="shared" si="131"/>
        <v>0.994628980664514</v>
      </c>
      <c r="O472">
        <v>3.7219237141231818E-3</v>
      </c>
      <c r="P472">
        <v>6.429984125191023E-3</v>
      </c>
      <c r="Q472">
        <f t="shared" si="132"/>
        <v>3806.8741660862556</v>
      </c>
      <c r="R472">
        <f t="shared" si="133"/>
        <v>3.8068741660862555</v>
      </c>
    </row>
    <row r="473" spans="1:18" x14ac:dyDescent="0.3">
      <c r="A473">
        <v>0.94399999999999995</v>
      </c>
      <c r="B473" s="4">
        <v>49</v>
      </c>
      <c r="C473">
        <v>-44.232756500000001</v>
      </c>
      <c r="D473">
        <v>1.95</v>
      </c>
      <c r="E473">
        <f>$E$472+$R$472</f>
        <v>59.529410247354633</v>
      </c>
      <c r="F473">
        <f t="shared" si="123"/>
        <v>1.1291841428389602E-2</v>
      </c>
      <c r="G473">
        <f t="shared" si="124"/>
        <v>3.4923220912545162E-2</v>
      </c>
      <c r="H473">
        <f t="shared" si="125"/>
        <v>89.957127993920693</v>
      </c>
      <c r="I473">
        <f t="shared" si="126"/>
        <v>1.0741673871970114</v>
      </c>
      <c r="J473">
        <f t="shared" si="127"/>
        <v>1.2967122058170057</v>
      </c>
      <c r="K473">
        <f t="shared" si="128"/>
        <v>0.52079135724470793</v>
      </c>
      <c r="L473">
        <f t="shared" si="129"/>
        <v>1.3151367037441006</v>
      </c>
      <c r="M473">
        <f t="shared" si="130"/>
        <v>0.99976879857066292</v>
      </c>
      <c r="N473">
        <f t="shared" si="131"/>
        <v>1.0036270094299578</v>
      </c>
      <c r="O473">
        <v>6.5431401503114805E-3</v>
      </c>
      <c r="P473">
        <v>3.5930861891472167E-3</v>
      </c>
      <c r="Q473">
        <f t="shared" si="132"/>
        <v>3800.3243585348737</v>
      </c>
      <c r="R473">
        <f t="shared" si="133"/>
        <v>3.8003243585348736</v>
      </c>
    </row>
    <row r="474" spans="1:18" x14ac:dyDescent="0.3">
      <c r="A474">
        <v>0.94599999999999995</v>
      </c>
      <c r="B474" s="4"/>
      <c r="C474">
        <v>-44.232756500000001</v>
      </c>
      <c r="D474">
        <v>1.95</v>
      </c>
      <c r="E474">
        <f t="shared" ref="E474:E489" si="135">$E$472+$R$472</f>
        <v>59.529410247354633</v>
      </c>
      <c r="F474">
        <f t="shared" si="123"/>
        <v>1.1291841428389602E-2</v>
      </c>
      <c r="G474">
        <f t="shared" si="124"/>
        <v>3.4923220912545162E-2</v>
      </c>
      <c r="H474">
        <f t="shared" si="125"/>
        <v>89.957127993920693</v>
      </c>
      <c r="I474">
        <f t="shared" si="126"/>
        <v>1.0741673871970114</v>
      </c>
      <c r="J474">
        <f t="shared" si="127"/>
        <v>1.2967122058170057</v>
      </c>
      <c r="K474">
        <f t="shared" si="128"/>
        <v>0.52079135724470793</v>
      </c>
      <c r="L474">
        <f t="shared" si="129"/>
        <v>1.3151367037441006</v>
      </c>
      <c r="M474">
        <f t="shared" si="130"/>
        <v>0.99979792935061484</v>
      </c>
      <c r="N474">
        <f t="shared" si="131"/>
        <v>1.0020721443183596</v>
      </c>
      <c r="O474">
        <v>6.5023967300578463E-3</v>
      </c>
      <c r="P474">
        <v>3.6527963341639624E-3</v>
      </c>
      <c r="Q474">
        <f t="shared" si="132"/>
        <v>3800.3243585348737</v>
      </c>
      <c r="R474">
        <f t="shared" si="133"/>
        <v>3.8003243585348736</v>
      </c>
    </row>
    <row r="475" spans="1:18" x14ac:dyDescent="0.3">
      <c r="A475">
        <v>0.94799999999999995</v>
      </c>
      <c r="B475" s="4"/>
      <c r="C475">
        <v>-44.232756500000001</v>
      </c>
      <c r="D475">
        <v>1.95</v>
      </c>
      <c r="E475">
        <f t="shared" si="135"/>
        <v>59.529410247354633</v>
      </c>
      <c r="F475">
        <f t="shared" si="123"/>
        <v>1.1291841428389602E-2</v>
      </c>
      <c r="G475">
        <f t="shared" si="124"/>
        <v>3.4923220912545162E-2</v>
      </c>
      <c r="H475">
        <f t="shared" si="125"/>
        <v>89.957127993920693</v>
      </c>
      <c r="I475">
        <f t="shared" si="126"/>
        <v>1.0741673871970114</v>
      </c>
      <c r="J475">
        <f t="shared" si="127"/>
        <v>1.2967122058170057</v>
      </c>
      <c r="K475">
        <f t="shared" si="128"/>
        <v>0.52079135724470793</v>
      </c>
      <c r="L475">
        <f t="shared" si="129"/>
        <v>1.3151367037441006</v>
      </c>
      <c r="M475">
        <f t="shared" si="130"/>
        <v>0.99078824282565336</v>
      </c>
      <c r="N475">
        <f t="shared" si="131"/>
        <v>1.0062753861399134</v>
      </c>
      <c r="O475">
        <v>6.4032954635297023E-3</v>
      </c>
      <c r="P475">
        <v>3.7912386575450251E-3</v>
      </c>
      <c r="Q475">
        <f t="shared" si="132"/>
        <v>3800.3243585348737</v>
      </c>
      <c r="R475">
        <f t="shared" si="133"/>
        <v>3.8003243585348736</v>
      </c>
    </row>
    <row r="476" spans="1:18" x14ac:dyDescent="0.3">
      <c r="A476">
        <v>0.95</v>
      </c>
      <c r="B476" s="4"/>
      <c r="C476">
        <v>-44.232756500000001</v>
      </c>
      <c r="D476">
        <v>1.95</v>
      </c>
      <c r="E476">
        <f t="shared" si="135"/>
        <v>59.529410247354633</v>
      </c>
      <c r="F476">
        <f t="shared" si="123"/>
        <v>1.1291841428389602E-2</v>
      </c>
      <c r="G476">
        <f t="shared" si="124"/>
        <v>3.4923220912545162E-2</v>
      </c>
      <c r="H476">
        <f t="shared" si="125"/>
        <v>89.957127993920693</v>
      </c>
      <c r="I476">
        <f t="shared" si="126"/>
        <v>1.0741673871970114</v>
      </c>
      <c r="J476">
        <f t="shared" si="127"/>
        <v>1.2967122058170057</v>
      </c>
      <c r="K476">
        <f t="shared" si="128"/>
        <v>0.52079135724470793</v>
      </c>
      <c r="L476">
        <f t="shared" si="129"/>
        <v>1.3151367037441006</v>
      </c>
      <c r="M476">
        <f t="shared" si="130"/>
        <v>0.99307232552921687</v>
      </c>
      <c r="N476">
        <f t="shared" si="131"/>
        <v>1.0023272326531687</v>
      </c>
      <c r="O476">
        <v>6.2918276096182195E-3</v>
      </c>
      <c r="P476">
        <v>3.9504566973752979E-3</v>
      </c>
      <c r="Q476">
        <f t="shared" si="132"/>
        <v>3800.3243585348737</v>
      </c>
      <c r="R476">
        <f t="shared" si="133"/>
        <v>3.8003243585348736</v>
      </c>
    </row>
    <row r="477" spans="1:18" x14ac:dyDescent="0.3">
      <c r="A477">
        <v>0.95199999999999996</v>
      </c>
      <c r="B477" s="4"/>
      <c r="C477">
        <v>-44.232756500000001</v>
      </c>
      <c r="D477">
        <v>1.95</v>
      </c>
      <c r="E477">
        <f t="shared" si="135"/>
        <v>59.529410247354633</v>
      </c>
      <c r="F477">
        <f t="shared" si="123"/>
        <v>1.1291841428389602E-2</v>
      </c>
      <c r="G477">
        <f t="shared" si="124"/>
        <v>3.4923220912545162E-2</v>
      </c>
      <c r="H477">
        <f t="shared" si="125"/>
        <v>89.957127993920693</v>
      </c>
      <c r="I477">
        <f t="shared" si="126"/>
        <v>1.0741673871970114</v>
      </c>
      <c r="J477">
        <f t="shared" si="127"/>
        <v>1.2967122058170057</v>
      </c>
      <c r="K477">
        <f t="shared" si="128"/>
        <v>0.52079135724470793</v>
      </c>
      <c r="L477">
        <f t="shared" si="129"/>
        <v>1.3151367037441006</v>
      </c>
      <c r="M477">
        <f t="shared" si="130"/>
        <v>0.99544179100026076</v>
      </c>
      <c r="N477">
        <f t="shared" si="131"/>
        <v>1.0076410661230566</v>
      </c>
      <c r="O477">
        <v>6.1461259388926048E-3</v>
      </c>
      <c r="P477">
        <v>4.1796129716643315E-3</v>
      </c>
      <c r="Q477">
        <f t="shared" si="132"/>
        <v>3800.3243585348737</v>
      </c>
      <c r="R477">
        <f t="shared" si="133"/>
        <v>3.8003243585348736</v>
      </c>
    </row>
    <row r="478" spans="1:18" x14ac:dyDescent="0.3">
      <c r="A478">
        <v>0.95399999999999996</v>
      </c>
      <c r="B478" s="4"/>
      <c r="C478">
        <v>-44.232756500000001</v>
      </c>
      <c r="D478">
        <v>1.95</v>
      </c>
      <c r="E478">
        <f t="shared" si="135"/>
        <v>59.529410247354633</v>
      </c>
      <c r="F478">
        <f t="shared" si="123"/>
        <v>1.1291841428389602E-2</v>
      </c>
      <c r="G478">
        <f t="shared" si="124"/>
        <v>3.4923220912545162E-2</v>
      </c>
      <c r="H478">
        <f t="shared" si="125"/>
        <v>89.957127993920693</v>
      </c>
      <c r="I478">
        <f t="shared" si="126"/>
        <v>1.0741673871970114</v>
      </c>
      <c r="J478">
        <f t="shared" si="127"/>
        <v>1.2967122058170057</v>
      </c>
      <c r="K478">
        <f t="shared" si="128"/>
        <v>0.52079135724470793</v>
      </c>
      <c r="L478">
        <f t="shared" si="129"/>
        <v>1.3151367037441006</v>
      </c>
      <c r="M478">
        <f t="shared" si="130"/>
        <v>0.99751609237219596</v>
      </c>
      <c r="N478">
        <f t="shared" si="131"/>
        <v>1.000875941424493</v>
      </c>
      <c r="O478">
        <v>5.9685393128495927E-3</v>
      </c>
      <c r="P478">
        <v>4.3979648139126481E-3</v>
      </c>
      <c r="Q478">
        <f t="shared" si="132"/>
        <v>3800.3243585348737</v>
      </c>
      <c r="R478">
        <f t="shared" si="133"/>
        <v>3.8003243585348736</v>
      </c>
    </row>
    <row r="479" spans="1:18" x14ac:dyDescent="0.3">
      <c r="A479">
        <v>0.95599999999999996</v>
      </c>
      <c r="B479" s="4"/>
      <c r="C479">
        <v>-44.232756500000001</v>
      </c>
      <c r="D479">
        <v>1.95</v>
      </c>
      <c r="E479">
        <f t="shared" si="135"/>
        <v>59.529410247354633</v>
      </c>
      <c r="F479">
        <f t="shared" si="123"/>
        <v>1.1291841428389602E-2</v>
      </c>
      <c r="G479">
        <f t="shared" si="124"/>
        <v>3.4923220912545162E-2</v>
      </c>
      <c r="H479">
        <f t="shared" si="125"/>
        <v>89.957127993920693</v>
      </c>
      <c r="I479">
        <f t="shared" si="126"/>
        <v>1.0741673871970114</v>
      </c>
      <c r="J479">
        <f t="shared" si="127"/>
        <v>1.2967122058170057</v>
      </c>
      <c r="K479">
        <f t="shared" si="128"/>
        <v>0.52079135724470793</v>
      </c>
      <c r="L479">
        <f t="shared" si="129"/>
        <v>1.3151367037441006</v>
      </c>
      <c r="M479">
        <f t="shared" si="130"/>
        <v>0.99901146019437814</v>
      </c>
      <c r="N479">
        <f t="shared" si="131"/>
        <v>1.0068026659430998</v>
      </c>
      <c r="O479">
        <v>5.7622923131337061E-3</v>
      </c>
      <c r="P479">
        <v>4.6724713480547544E-3</v>
      </c>
      <c r="Q479">
        <f t="shared" si="132"/>
        <v>3800.3243585348737</v>
      </c>
      <c r="R479">
        <f t="shared" si="133"/>
        <v>3.8003243585348736</v>
      </c>
    </row>
    <row r="480" spans="1:18" x14ac:dyDescent="0.3">
      <c r="A480">
        <v>0.95799999999999996</v>
      </c>
      <c r="B480" s="4"/>
      <c r="C480">
        <v>-44.232756500000001</v>
      </c>
      <c r="D480">
        <v>1.95</v>
      </c>
      <c r="E480">
        <f t="shared" si="135"/>
        <v>59.529410247354633</v>
      </c>
      <c r="F480">
        <f t="shared" si="123"/>
        <v>1.1291841428389602E-2</v>
      </c>
      <c r="G480">
        <f t="shared" si="124"/>
        <v>3.4923220912545162E-2</v>
      </c>
      <c r="H480">
        <f t="shared" si="125"/>
        <v>89.957127993920693</v>
      </c>
      <c r="I480">
        <f t="shared" si="126"/>
        <v>1.0741673871970114</v>
      </c>
      <c r="J480">
        <f t="shared" si="127"/>
        <v>1.2967122058170057</v>
      </c>
      <c r="K480">
        <f t="shared" si="128"/>
        <v>0.52079135724470793</v>
      </c>
      <c r="L480">
        <f t="shared" si="129"/>
        <v>1.3151367037441006</v>
      </c>
      <c r="M480">
        <f t="shared" si="130"/>
        <v>1.0093398204556832</v>
      </c>
      <c r="N480">
        <f t="shared" si="131"/>
        <v>1.0061228143157739</v>
      </c>
      <c r="O480">
        <v>5.5553266015868959E-3</v>
      </c>
      <c r="P480">
        <v>4.9345664708273559E-3</v>
      </c>
      <c r="Q480">
        <f t="shared" si="132"/>
        <v>3800.3243585348737</v>
      </c>
      <c r="R480">
        <f t="shared" si="133"/>
        <v>3.8003243585348736</v>
      </c>
    </row>
    <row r="481" spans="1:18" x14ac:dyDescent="0.3">
      <c r="A481">
        <v>0.96</v>
      </c>
      <c r="B481" s="4"/>
      <c r="C481">
        <v>-44.232756500000001</v>
      </c>
      <c r="D481">
        <v>1.95</v>
      </c>
      <c r="E481">
        <f t="shared" si="135"/>
        <v>59.529410247354633</v>
      </c>
      <c r="F481">
        <f t="shared" si="123"/>
        <v>1.1291841428389602E-2</v>
      </c>
      <c r="G481">
        <f t="shared" si="124"/>
        <v>3.4923220912545162E-2</v>
      </c>
      <c r="H481">
        <f t="shared" si="125"/>
        <v>89.957127993920693</v>
      </c>
      <c r="I481">
        <f t="shared" si="126"/>
        <v>1.0741673871970114</v>
      </c>
      <c r="J481">
        <f t="shared" si="127"/>
        <v>1.2967122058170057</v>
      </c>
      <c r="K481">
        <f t="shared" si="128"/>
        <v>0.52079135724470793</v>
      </c>
      <c r="L481">
        <f t="shared" si="129"/>
        <v>1.3151367037441006</v>
      </c>
      <c r="M481">
        <f t="shared" si="130"/>
        <v>0.99910144779037624</v>
      </c>
      <c r="N481">
        <f t="shared" si="131"/>
        <v>0.99903945351418455</v>
      </c>
      <c r="O481">
        <v>5.2797437998117064E-3</v>
      </c>
      <c r="P481">
        <v>5.1789639516646672E-3</v>
      </c>
      <c r="Q481">
        <f t="shared" si="132"/>
        <v>3800.3243585348737</v>
      </c>
      <c r="R481">
        <f t="shared" si="133"/>
        <v>3.8003243585348736</v>
      </c>
    </row>
    <row r="482" spans="1:18" x14ac:dyDescent="0.3">
      <c r="A482">
        <v>0.96199999999999997</v>
      </c>
      <c r="B482" s="4"/>
      <c r="C482">
        <v>-44.232756500000001</v>
      </c>
      <c r="D482">
        <v>1.95</v>
      </c>
      <c r="E482">
        <f t="shared" si="135"/>
        <v>59.529410247354633</v>
      </c>
      <c r="F482">
        <f t="shared" si="123"/>
        <v>1.1291841428389602E-2</v>
      </c>
      <c r="G482">
        <f t="shared" si="124"/>
        <v>3.4923220912545162E-2</v>
      </c>
      <c r="H482">
        <f t="shared" si="125"/>
        <v>89.957127993920693</v>
      </c>
      <c r="I482">
        <f t="shared" si="126"/>
        <v>1.0741673871970114</v>
      </c>
      <c r="J482">
        <f t="shared" si="127"/>
        <v>1.2967122058170057</v>
      </c>
      <c r="K482">
        <f t="shared" si="128"/>
        <v>0.52079135724470793</v>
      </c>
      <c r="L482">
        <f t="shared" si="129"/>
        <v>1.3151367037441006</v>
      </c>
      <c r="M482">
        <f t="shared" si="130"/>
        <v>0.99887838023240993</v>
      </c>
      <c r="N482">
        <f t="shared" si="131"/>
        <v>0.99727477196223979</v>
      </c>
      <c r="O482">
        <v>5.017703242036208E-3</v>
      </c>
      <c r="P482">
        <v>5.4298204954383901E-3</v>
      </c>
      <c r="Q482">
        <f t="shared" si="132"/>
        <v>3800.3243585348737</v>
      </c>
      <c r="R482">
        <f t="shared" si="133"/>
        <v>3.8003243585348736</v>
      </c>
    </row>
    <row r="483" spans="1:18" x14ac:dyDescent="0.3">
      <c r="A483">
        <v>0.96399999999999997</v>
      </c>
      <c r="B483" s="4"/>
      <c r="C483">
        <v>-44.232756500000001</v>
      </c>
      <c r="D483">
        <v>1.95</v>
      </c>
      <c r="E483">
        <f t="shared" si="135"/>
        <v>59.529410247354633</v>
      </c>
      <c r="F483">
        <f t="shared" si="123"/>
        <v>1.1291841428389602E-2</v>
      </c>
      <c r="G483">
        <f t="shared" si="124"/>
        <v>3.4923220912545162E-2</v>
      </c>
      <c r="H483">
        <f t="shared" si="125"/>
        <v>89.957127993920693</v>
      </c>
      <c r="I483">
        <f t="shared" si="126"/>
        <v>1.0741673871970114</v>
      </c>
      <c r="J483">
        <f t="shared" si="127"/>
        <v>1.2967122058170057</v>
      </c>
      <c r="K483">
        <f t="shared" si="128"/>
        <v>0.52079135724470793</v>
      </c>
      <c r="L483">
        <f t="shared" si="129"/>
        <v>1.3151367037441006</v>
      </c>
      <c r="M483">
        <f t="shared" si="130"/>
        <v>1.0068820188074632</v>
      </c>
      <c r="N483">
        <f t="shared" si="131"/>
        <v>1.0058247791004684</v>
      </c>
      <c r="O483">
        <v>4.7748632564347214E-3</v>
      </c>
      <c r="P483">
        <v>5.6909062294741575E-3</v>
      </c>
      <c r="Q483">
        <f t="shared" si="132"/>
        <v>3800.3243585348737</v>
      </c>
      <c r="R483">
        <f t="shared" si="133"/>
        <v>3.8003243585348736</v>
      </c>
    </row>
    <row r="484" spans="1:18" x14ac:dyDescent="0.3">
      <c r="A484">
        <v>0.96599999999999997</v>
      </c>
      <c r="B484" s="4"/>
      <c r="C484">
        <v>-44.232756500000001</v>
      </c>
      <c r="D484">
        <v>1.95</v>
      </c>
      <c r="E484">
        <f t="shared" si="135"/>
        <v>59.529410247354633</v>
      </c>
      <c r="F484">
        <f t="shared" si="123"/>
        <v>1.1291841428389602E-2</v>
      </c>
      <c r="G484">
        <f t="shared" si="124"/>
        <v>3.4923220912545162E-2</v>
      </c>
      <c r="H484">
        <f t="shared" si="125"/>
        <v>89.957127993920693</v>
      </c>
      <c r="I484">
        <f t="shared" si="126"/>
        <v>1.0741673871970114</v>
      </c>
      <c r="J484">
        <f t="shared" si="127"/>
        <v>1.2967122058170057</v>
      </c>
      <c r="K484">
        <f t="shared" si="128"/>
        <v>0.52079135724470793</v>
      </c>
      <c r="L484">
        <f t="shared" si="129"/>
        <v>1.3151367037441006</v>
      </c>
      <c r="M484">
        <f t="shared" si="130"/>
        <v>1.0022044886719941</v>
      </c>
      <c r="N484">
        <f t="shared" si="131"/>
        <v>0.99941637781536619</v>
      </c>
      <c r="O484">
        <v>4.5004490409645539E-3</v>
      </c>
      <c r="P484">
        <v>5.8945133585614849E-3</v>
      </c>
      <c r="Q484">
        <f t="shared" si="132"/>
        <v>3800.3243585348737</v>
      </c>
      <c r="R484">
        <f t="shared" si="133"/>
        <v>3.8003243585348736</v>
      </c>
    </row>
    <row r="485" spans="1:18" x14ac:dyDescent="0.3">
      <c r="A485">
        <v>0.96799999999999997</v>
      </c>
      <c r="B485" s="4"/>
      <c r="C485">
        <v>-44.232756500000001</v>
      </c>
      <c r="D485">
        <v>1.95</v>
      </c>
      <c r="E485">
        <f t="shared" si="135"/>
        <v>59.529410247354633</v>
      </c>
      <c r="F485">
        <f t="shared" si="123"/>
        <v>1.1291841428389602E-2</v>
      </c>
      <c r="G485">
        <f t="shared" si="124"/>
        <v>3.4923220912545162E-2</v>
      </c>
      <c r="H485">
        <f t="shared" si="125"/>
        <v>89.957127993920693</v>
      </c>
      <c r="I485">
        <f t="shared" si="126"/>
        <v>1.0741673871970114</v>
      </c>
      <c r="J485">
        <f t="shared" si="127"/>
        <v>1.2967122058170057</v>
      </c>
      <c r="K485">
        <f t="shared" si="128"/>
        <v>0.52079135724470793</v>
      </c>
      <c r="L485">
        <f t="shared" si="129"/>
        <v>1.3151367037441006</v>
      </c>
      <c r="M485">
        <f t="shared" si="130"/>
        <v>1.0011181699048133</v>
      </c>
      <c r="N485">
        <f t="shared" si="131"/>
        <v>0.99840540470173367</v>
      </c>
      <c r="O485">
        <v>4.2492096116684861E-3</v>
      </c>
      <c r="P485">
        <v>6.0855767533590016E-3</v>
      </c>
      <c r="Q485">
        <f t="shared" si="132"/>
        <v>3800.3243585348737</v>
      </c>
      <c r="R485">
        <f t="shared" si="133"/>
        <v>3.8003243585348736</v>
      </c>
    </row>
    <row r="486" spans="1:18" x14ac:dyDescent="0.3">
      <c r="A486">
        <v>0.97</v>
      </c>
      <c r="B486" s="4"/>
      <c r="C486">
        <v>-44.232756500000001</v>
      </c>
      <c r="D486">
        <v>1.95</v>
      </c>
      <c r="E486">
        <f t="shared" si="135"/>
        <v>59.529410247354633</v>
      </c>
      <c r="F486">
        <f t="shared" si="123"/>
        <v>1.1291841428389602E-2</v>
      </c>
      <c r="G486">
        <f t="shared" si="124"/>
        <v>3.4923220912545162E-2</v>
      </c>
      <c r="H486">
        <f t="shared" si="125"/>
        <v>89.957127993920693</v>
      </c>
      <c r="I486">
        <f t="shared" si="126"/>
        <v>1.0741673871970114</v>
      </c>
      <c r="J486">
        <f t="shared" si="127"/>
        <v>1.2967122058170057</v>
      </c>
      <c r="K486">
        <f t="shared" si="128"/>
        <v>0.52079135724470793</v>
      </c>
      <c r="L486">
        <f t="shared" si="129"/>
        <v>1.3151367037441006</v>
      </c>
      <c r="M486">
        <f t="shared" si="130"/>
        <v>0.99784185134142822</v>
      </c>
      <c r="N486">
        <f t="shared" si="131"/>
        <v>0.99701152497938372</v>
      </c>
      <c r="O486">
        <v>4.013914009508927E-3</v>
      </c>
      <c r="P486">
        <v>6.2459124486686068E-3</v>
      </c>
      <c r="Q486">
        <f t="shared" si="132"/>
        <v>3800.3243585348737</v>
      </c>
      <c r="R486">
        <f t="shared" si="133"/>
        <v>3.8003243585348736</v>
      </c>
    </row>
    <row r="487" spans="1:18" x14ac:dyDescent="0.3">
      <c r="A487">
        <v>0.97199999999999998</v>
      </c>
      <c r="B487" s="4"/>
      <c r="C487">
        <v>-44.232756500000001</v>
      </c>
      <c r="D487">
        <v>1.95</v>
      </c>
      <c r="E487">
        <f t="shared" si="135"/>
        <v>59.529410247354633</v>
      </c>
      <c r="F487">
        <f t="shared" si="123"/>
        <v>1.1291841428389602E-2</v>
      </c>
      <c r="G487">
        <f t="shared" si="124"/>
        <v>3.4923220912545162E-2</v>
      </c>
      <c r="H487">
        <f t="shared" si="125"/>
        <v>89.957127993920693</v>
      </c>
      <c r="I487">
        <f t="shared" si="126"/>
        <v>1.0741673871970114</v>
      </c>
      <c r="J487">
        <f t="shared" si="127"/>
        <v>1.2967122058170057</v>
      </c>
      <c r="K487">
        <f t="shared" si="128"/>
        <v>0.52079135724470793</v>
      </c>
      <c r="L487">
        <f t="shared" si="129"/>
        <v>1.3151367037441006</v>
      </c>
      <c r="M487">
        <f t="shared" si="130"/>
        <v>1.0014535267682239</v>
      </c>
      <c r="N487">
        <f t="shared" si="131"/>
        <v>0.99547919196362145</v>
      </c>
      <c r="O487">
        <v>3.8362327697364484E-3</v>
      </c>
      <c r="P487">
        <v>6.3726379820542248E-3</v>
      </c>
      <c r="Q487">
        <f t="shared" si="132"/>
        <v>3800.3243585348737</v>
      </c>
      <c r="R487">
        <f t="shared" si="133"/>
        <v>3.8003243585348736</v>
      </c>
    </row>
    <row r="488" spans="1:18" x14ac:dyDescent="0.3">
      <c r="A488">
        <v>0.97399999999999998</v>
      </c>
      <c r="B488" s="4"/>
      <c r="C488">
        <v>-44.232756500000001</v>
      </c>
      <c r="D488">
        <v>1.95</v>
      </c>
      <c r="E488">
        <f t="shared" si="135"/>
        <v>59.529410247354633</v>
      </c>
      <c r="F488">
        <f t="shared" si="123"/>
        <v>1.1291841428389602E-2</v>
      </c>
      <c r="G488">
        <f t="shared" si="124"/>
        <v>3.4923220912545162E-2</v>
      </c>
      <c r="H488">
        <f t="shared" si="125"/>
        <v>89.957127993920693</v>
      </c>
      <c r="I488">
        <f t="shared" si="126"/>
        <v>1.0741673871970114</v>
      </c>
      <c r="J488">
        <f t="shared" si="127"/>
        <v>1.2967122058170057</v>
      </c>
      <c r="K488">
        <f t="shared" si="128"/>
        <v>0.52079135724470793</v>
      </c>
      <c r="L488">
        <f t="shared" si="129"/>
        <v>1.3151367037441006</v>
      </c>
      <c r="M488">
        <f t="shared" si="130"/>
        <v>1.0041359887252264</v>
      </c>
      <c r="N488">
        <f t="shared" si="131"/>
        <v>0.99410833055070458</v>
      </c>
      <c r="O488">
        <v>3.7017701640970489E-3</v>
      </c>
      <c r="P488">
        <v>6.4636864270420681E-3</v>
      </c>
      <c r="Q488">
        <f t="shared" si="132"/>
        <v>3800.3243585348737</v>
      </c>
      <c r="R488">
        <f t="shared" si="133"/>
        <v>3.8003243585348736</v>
      </c>
    </row>
    <row r="489" spans="1:18" x14ac:dyDescent="0.3">
      <c r="A489">
        <v>0.97599999999999998</v>
      </c>
      <c r="B489" s="4"/>
      <c r="C489">
        <v>-44.232756500000001</v>
      </c>
      <c r="D489">
        <v>1.95</v>
      </c>
      <c r="E489">
        <f t="shared" si="135"/>
        <v>59.529410247354633</v>
      </c>
      <c r="F489">
        <f t="shared" si="123"/>
        <v>1.1291841428389602E-2</v>
      </c>
      <c r="G489">
        <f t="shared" si="124"/>
        <v>3.4923220912545162E-2</v>
      </c>
      <c r="H489">
        <f t="shared" si="125"/>
        <v>89.957127993920693</v>
      </c>
      <c r="I489">
        <f t="shared" si="126"/>
        <v>1.0741673871970114</v>
      </c>
      <c r="J489">
        <f t="shared" si="127"/>
        <v>1.2967122058170057</v>
      </c>
      <c r="K489">
        <f t="shared" si="128"/>
        <v>0.52079135724470793</v>
      </c>
      <c r="L489">
        <f t="shared" si="129"/>
        <v>1.3151367037441006</v>
      </c>
      <c r="M489">
        <f t="shared" si="130"/>
        <v>1.0063957561539629</v>
      </c>
      <c r="N489">
        <f t="shared" si="131"/>
        <v>0.99317838697768457</v>
      </c>
      <c r="O489">
        <v>3.621360344043719E-3</v>
      </c>
      <c r="P489">
        <v>6.5176845376493514E-3</v>
      </c>
      <c r="Q489">
        <f t="shared" si="132"/>
        <v>3800.3243585348737</v>
      </c>
      <c r="R489">
        <f t="shared" si="133"/>
        <v>3.8003243585348736</v>
      </c>
    </row>
    <row r="490" spans="1:18" x14ac:dyDescent="0.3">
      <c r="A490">
        <v>0.97799999999999998</v>
      </c>
      <c r="B490" s="4">
        <v>50</v>
      </c>
      <c r="C490">
        <v>-44.174072211043999</v>
      </c>
      <c r="D490">
        <v>1.95</v>
      </c>
      <c r="E490">
        <f>$E$489+$R$489</f>
        <v>63.329734605889506</v>
      </c>
      <c r="F490">
        <f t="shared" si="123"/>
        <v>1.1646698010322186E-2</v>
      </c>
      <c r="G490">
        <f t="shared" si="124"/>
        <v>3.6020715495841814E-2</v>
      </c>
      <c r="H490">
        <f t="shared" si="125"/>
        <v>87.216275699810978</v>
      </c>
      <c r="I490">
        <f t="shared" si="126"/>
        <v>1.0696407279724622</v>
      </c>
      <c r="J490">
        <f t="shared" si="127"/>
        <v>1.2777591848986574</v>
      </c>
      <c r="K490">
        <f t="shared" si="128"/>
        <v>0.52431512044448958</v>
      </c>
      <c r="L490">
        <f t="shared" si="129"/>
        <v>1.3086945944949215</v>
      </c>
      <c r="M490">
        <f t="shared" si="130"/>
        <v>0.99063452408806396</v>
      </c>
      <c r="N490">
        <f t="shared" si="131"/>
        <v>1.0058034547536667</v>
      </c>
      <c r="O490">
        <v>6.4111431778774474E-3</v>
      </c>
      <c r="P490">
        <v>3.8056144508885567E-3</v>
      </c>
      <c r="Q490">
        <f t="shared" si="132"/>
        <v>3773.8732636983914</v>
      </c>
      <c r="R490">
        <f t="shared" si="133"/>
        <v>3.7738732636983916</v>
      </c>
    </row>
    <row r="491" spans="1:18" x14ac:dyDescent="0.3">
      <c r="A491">
        <v>0.98</v>
      </c>
      <c r="B491" s="4"/>
      <c r="C491">
        <v>-44.174072211043999</v>
      </c>
      <c r="D491">
        <v>1.95</v>
      </c>
      <c r="E491">
        <f t="shared" ref="E491:E507" si="136">$E$489+$R$489</f>
        <v>63.329734605889506</v>
      </c>
      <c r="F491">
        <f t="shared" si="123"/>
        <v>1.1646698010322186E-2</v>
      </c>
      <c r="G491">
        <f t="shared" si="124"/>
        <v>3.6020715495841814E-2</v>
      </c>
      <c r="H491">
        <f t="shared" si="125"/>
        <v>87.216275699810978</v>
      </c>
      <c r="I491">
        <f t="shared" si="126"/>
        <v>1.0696407279724622</v>
      </c>
      <c r="J491">
        <f t="shared" si="127"/>
        <v>1.2777591848986574</v>
      </c>
      <c r="K491">
        <f t="shared" si="128"/>
        <v>0.52431512044448958</v>
      </c>
      <c r="L491">
        <f t="shared" si="129"/>
        <v>1.3086945944949215</v>
      </c>
      <c r="M491">
        <f t="shared" si="130"/>
        <v>0.99294049238220794</v>
      </c>
      <c r="N491">
        <f t="shared" si="131"/>
        <v>1.0020369204090589</v>
      </c>
      <c r="O491">
        <v>6.2999242759480666E-3</v>
      </c>
      <c r="P491">
        <v>3.9657278427850037E-3</v>
      </c>
      <c r="Q491">
        <f t="shared" si="132"/>
        <v>3773.8732636983914</v>
      </c>
      <c r="R491">
        <f t="shared" si="133"/>
        <v>3.7738732636983916</v>
      </c>
    </row>
    <row r="492" spans="1:18" x14ac:dyDescent="0.3">
      <c r="A492">
        <v>0.98199999999999998</v>
      </c>
      <c r="B492" s="4"/>
      <c r="C492">
        <v>-44.174072211043999</v>
      </c>
      <c r="D492">
        <v>1.95</v>
      </c>
      <c r="E492">
        <f t="shared" si="136"/>
        <v>63.329734605889506</v>
      </c>
      <c r="F492">
        <f t="shared" si="123"/>
        <v>1.1646698010322186E-2</v>
      </c>
      <c r="G492">
        <f t="shared" si="124"/>
        <v>3.6020715495841814E-2</v>
      </c>
      <c r="H492">
        <f t="shared" si="125"/>
        <v>87.216275699810978</v>
      </c>
      <c r="I492">
        <f t="shared" si="126"/>
        <v>1.0696407279724622</v>
      </c>
      <c r="J492">
        <f t="shared" si="127"/>
        <v>1.2777591848986574</v>
      </c>
      <c r="K492">
        <f t="shared" si="128"/>
        <v>0.52431512044448958</v>
      </c>
      <c r="L492">
        <f t="shared" si="129"/>
        <v>1.3086945944949215</v>
      </c>
      <c r="M492">
        <f t="shared" si="130"/>
        <v>0.99530843617830533</v>
      </c>
      <c r="N492">
        <f t="shared" si="131"/>
        <v>1.0033892718928845</v>
      </c>
      <c r="O492">
        <v>6.1565210179175666E-3</v>
      </c>
      <c r="P492">
        <v>4.1796129716643315E-3</v>
      </c>
      <c r="Q492">
        <f t="shared" si="132"/>
        <v>3773.8732636983914</v>
      </c>
      <c r="R492">
        <f t="shared" si="133"/>
        <v>3.7738732636983916</v>
      </c>
    </row>
    <row r="493" spans="1:18" x14ac:dyDescent="0.3">
      <c r="A493">
        <v>0.98399999999999999</v>
      </c>
      <c r="B493" s="4"/>
      <c r="C493">
        <v>-44.174072211043999</v>
      </c>
      <c r="D493">
        <v>1.95</v>
      </c>
      <c r="E493">
        <f t="shared" si="136"/>
        <v>63.329734605889506</v>
      </c>
      <c r="F493">
        <f t="shared" si="123"/>
        <v>1.1646698010322186E-2</v>
      </c>
      <c r="G493">
        <f t="shared" si="124"/>
        <v>3.6020715495841814E-2</v>
      </c>
      <c r="H493">
        <f t="shared" si="125"/>
        <v>87.216275699810978</v>
      </c>
      <c r="I493">
        <f t="shared" si="126"/>
        <v>1.0696407279724622</v>
      </c>
      <c r="J493">
        <f t="shared" si="127"/>
        <v>1.2777591848986574</v>
      </c>
      <c r="K493">
        <f t="shared" si="128"/>
        <v>0.52431512044448958</v>
      </c>
      <c r="L493">
        <f t="shared" si="129"/>
        <v>1.3086945944949215</v>
      </c>
      <c r="M493">
        <f t="shared" si="130"/>
        <v>0.99738514383132615</v>
      </c>
      <c r="N493">
        <f t="shared" si="131"/>
        <v>1.0009812311540975</v>
      </c>
      <c r="O493">
        <v>5.9830705622725853E-3</v>
      </c>
      <c r="P493">
        <v>4.4073223811999032E-3</v>
      </c>
      <c r="Q493">
        <f t="shared" si="132"/>
        <v>3773.8732636983914</v>
      </c>
      <c r="R493">
        <f t="shared" si="133"/>
        <v>3.7738732636983916</v>
      </c>
    </row>
    <row r="494" spans="1:18" x14ac:dyDescent="0.3">
      <c r="A494">
        <v>0.98599999999999999</v>
      </c>
      <c r="B494" s="4"/>
      <c r="C494">
        <v>-44.174072211043999</v>
      </c>
      <c r="D494">
        <v>1.95</v>
      </c>
      <c r="E494">
        <f t="shared" si="136"/>
        <v>63.329734605889506</v>
      </c>
      <c r="F494">
        <f t="shared" si="123"/>
        <v>1.1646698010322186E-2</v>
      </c>
      <c r="G494">
        <f t="shared" si="124"/>
        <v>3.6020715495841814E-2</v>
      </c>
      <c r="H494">
        <f t="shared" si="125"/>
        <v>87.216275699810978</v>
      </c>
      <c r="I494">
        <f t="shared" si="126"/>
        <v>1.0696407279724622</v>
      </c>
      <c r="J494">
        <f t="shared" si="127"/>
        <v>1.2777591848986574</v>
      </c>
      <c r="K494">
        <f t="shared" si="128"/>
        <v>0.52431512044448958</v>
      </c>
      <c r="L494">
        <f t="shared" si="129"/>
        <v>1.3086945944949215</v>
      </c>
      <c r="M494">
        <f t="shared" si="130"/>
        <v>0.99890599322652607</v>
      </c>
      <c r="N494">
        <f t="shared" si="131"/>
        <v>1.0068780128789165</v>
      </c>
      <c r="O494">
        <v>5.7824884123780255E-3</v>
      </c>
      <c r="P494">
        <v>4.6760064334307209E-3</v>
      </c>
      <c r="Q494">
        <f t="shared" si="132"/>
        <v>3773.8732636983914</v>
      </c>
      <c r="R494">
        <f t="shared" si="133"/>
        <v>3.7738732636983916</v>
      </c>
    </row>
    <row r="495" spans="1:18" x14ac:dyDescent="0.3">
      <c r="A495">
        <v>0.98799999999999999</v>
      </c>
      <c r="B495" s="4"/>
      <c r="C495">
        <v>-44.174072211043999</v>
      </c>
      <c r="D495">
        <v>1.95</v>
      </c>
      <c r="E495">
        <f t="shared" si="136"/>
        <v>63.329734605889506</v>
      </c>
      <c r="F495">
        <f t="shared" si="123"/>
        <v>1.1646698010322186E-2</v>
      </c>
      <c r="G495">
        <f t="shared" si="124"/>
        <v>3.6020715495841814E-2</v>
      </c>
      <c r="H495">
        <f t="shared" si="125"/>
        <v>87.216275699810978</v>
      </c>
      <c r="I495">
        <f t="shared" si="126"/>
        <v>1.0696407279724622</v>
      </c>
      <c r="J495">
        <f t="shared" si="127"/>
        <v>1.2777591848986574</v>
      </c>
      <c r="K495">
        <f t="shared" si="128"/>
        <v>0.52431512044448958</v>
      </c>
      <c r="L495">
        <f t="shared" si="129"/>
        <v>1.3086945944949215</v>
      </c>
      <c r="M495">
        <f t="shared" si="130"/>
        <v>0.99975579599541353</v>
      </c>
      <c r="N495">
        <f t="shared" si="131"/>
        <v>1.0059820441437932</v>
      </c>
      <c r="O495">
        <v>5.5586153700332534E-3</v>
      </c>
      <c r="P495">
        <v>4.9312742814891092E-3</v>
      </c>
      <c r="Q495">
        <f t="shared" si="132"/>
        <v>3773.8732636983914</v>
      </c>
      <c r="R495">
        <f t="shared" si="133"/>
        <v>3.7738732636983916</v>
      </c>
    </row>
    <row r="496" spans="1:18" x14ac:dyDescent="0.3">
      <c r="A496">
        <v>0.99</v>
      </c>
      <c r="B496" s="4"/>
      <c r="C496">
        <v>-44.174072211043999</v>
      </c>
      <c r="D496">
        <v>1.95</v>
      </c>
      <c r="E496">
        <f t="shared" si="136"/>
        <v>63.329734605889506</v>
      </c>
      <c r="F496">
        <f t="shared" si="123"/>
        <v>1.1646698010322186E-2</v>
      </c>
      <c r="G496">
        <f t="shared" si="124"/>
        <v>3.6020715495841814E-2</v>
      </c>
      <c r="H496">
        <f t="shared" si="125"/>
        <v>87.216275699810978</v>
      </c>
      <c r="I496">
        <f t="shared" si="126"/>
        <v>1.0696407279724622</v>
      </c>
      <c r="J496">
        <f t="shared" si="127"/>
        <v>1.2777591848986574</v>
      </c>
      <c r="K496">
        <f t="shared" si="128"/>
        <v>0.52431512044448958</v>
      </c>
      <c r="L496">
        <f t="shared" si="129"/>
        <v>1.3086945944949215</v>
      </c>
      <c r="M496">
        <f t="shared" si="130"/>
        <v>0.99806431058783573</v>
      </c>
      <c r="N496">
        <f t="shared" si="131"/>
        <v>0.99908772028557979</v>
      </c>
      <c r="O496">
        <v>5.3113407600572666E-3</v>
      </c>
      <c r="P496">
        <v>5.1701104246407838E-3</v>
      </c>
      <c r="Q496">
        <f t="shared" si="132"/>
        <v>3773.8732636983914</v>
      </c>
      <c r="R496">
        <f t="shared" si="133"/>
        <v>3.7738732636983916</v>
      </c>
    </row>
    <row r="497" spans="1:18" x14ac:dyDescent="0.3">
      <c r="A497">
        <v>0.99199999999999999</v>
      </c>
      <c r="B497" s="4"/>
      <c r="C497">
        <v>-44.174072211043999</v>
      </c>
      <c r="D497">
        <v>1.95</v>
      </c>
      <c r="E497">
        <f t="shared" si="136"/>
        <v>63.329734605889506</v>
      </c>
      <c r="F497">
        <f t="shared" si="123"/>
        <v>1.1646698010322186E-2</v>
      </c>
      <c r="G497">
        <f t="shared" si="124"/>
        <v>3.6020715495841814E-2</v>
      </c>
      <c r="H497">
        <f t="shared" si="125"/>
        <v>87.216275699810978</v>
      </c>
      <c r="I497">
        <f t="shared" si="126"/>
        <v>1.0696407279724622</v>
      </c>
      <c r="J497">
        <f t="shared" si="127"/>
        <v>1.2777591848986574</v>
      </c>
      <c r="K497">
        <f t="shared" si="128"/>
        <v>0.52431512044448958</v>
      </c>
      <c r="L497">
        <f t="shared" si="129"/>
        <v>1.3086945944949215</v>
      </c>
      <c r="M497">
        <f t="shared" si="130"/>
        <v>0.998638051901926</v>
      </c>
      <c r="N497">
        <f t="shared" si="131"/>
        <v>0.99730025328218574</v>
      </c>
      <c r="O497">
        <v>5.0584480739203118E-3</v>
      </c>
      <c r="P497">
        <v>5.4157304087043383E-3</v>
      </c>
      <c r="Q497">
        <f t="shared" si="132"/>
        <v>3773.8732636983914</v>
      </c>
      <c r="R497">
        <f t="shared" si="133"/>
        <v>3.7738732636983916</v>
      </c>
    </row>
    <row r="498" spans="1:18" x14ac:dyDescent="0.3">
      <c r="A498">
        <v>0.99399999999999999</v>
      </c>
      <c r="B498" s="4"/>
      <c r="C498">
        <v>-44.174072211043999</v>
      </c>
      <c r="D498">
        <v>1.95</v>
      </c>
      <c r="E498">
        <f t="shared" si="136"/>
        <v>63.329734605889506</v>
      </c>
      <c r="F498">
        <f t="shared" si="123"/>
        <v>1.1646698010322186E-2</v>
      </c>
      <c r="G498">
        <f t="shared" si="124"/>
        <v>3.6020715495841814E-2</v>
      </c>
      <c r="H498">
        <f t="shared" si="125"/>
        <v>87.216275699810978</v>
      </c>
      <c r="I498">
        <f t="shared" si="126"/>
        <v>1.0696407279724622</v>
      </c>
      <c r="J498">
        <f t="shared" si="127"/>
        <v>1.2777591848986574</v>
      </c>
      <c r="K498">
        <f t="shared" si="128"/>
        <v>0.52431512044448958</v>
      </c>
      <c r="L498">
        <f t="shared" si="129"/>
        <v>1.3086945944949215</v>
      </c>
      <c r="M498">
        <f t="shared" si="130"/>
        <v>1.0087998014967516</v>
      </c>
      <c r="N498">
        <f t="shared" si="131"/>
        <v>1.0049827589566014</v>
      </c>
      <c r="O498">
        <v>4.8279260828097883E-3</v>
      </c>
      <c r="P498">
        <v>5.6710122574618943E-3</v>
      </c>
      <c r="Q498">
        <f t="shared" si="132"/>
        <v>3773.8732636983914</v>
      </c>
      <c r="R498">
        <f t="shared" si="133"/>
        <v>3.7738732636983916</v>
      </c>
    </row>
    <row r="499" spans="1:18" x14ac:dyDescent="0.3">
      <c r="A499">
        <v>0.996</v>
      </c>
      <c r="B499" s="4"/>
      <c r="C499">
        <v>-44.174072211043999</v>
      </c>
      <c r="D499">
        <v>1.95</v>
      </c>
      <c r="E499">
        <f t="shared" si="136"/>
        <v>63.329734605889506</v>
      </c>
      <c r="F499">
        <f t="shared" si="123"/>
        <v>1.1646698010322186E-2</v>
      </c>
      <c r="G499">
        <f t="shared" si="124"/>
        <v>3.6020715495841814E-2</v>
      </c>
      <c r="H499">
        <f t="shared" si="125"/>
        <v>87.216275699810978</v>
      </c>
      <c r="I499">
        <f t="shared" si="126"/>
        <v>1.0696407279724622</v>
      </c>
      <c r="J499">
        <f t="shared" si="127"/>
        <v>1.2777591848986574</v>
      </c>
      <c r="K499">
        <f t="shared" si="128"/>
        <v>0.52431512044448958</v>
      </c>
      <c r="L499">
        <f t="shared" si="129"/>
        <v>1.3086945944949215</v>
      </c>
      <c r="M499">
        <f t="shared" si="130"/>
        <v>1.0008063853633258</v>
      </c>
      <c r="N499">
        <f t="shared" si="131"/>
        <v>0.99948950806533066</v>
      </c>
      <c r="O499">
        <v>4.5487039124230081E-3</v>
      </c>
      <c r="P499">
        <v>5.8746544180891275E-3</v>
      </c>
      <c r="Q499">
        <f t="shared" si="132"/>
        <v>3773.8732636983914</v>
      </c>
      <c r="R499">
        <f t="shared" si="133"/>
        <v>3.7738732636983916</v>
      </c>
    </row>
    <row r="500" spans="1:18" x14ac:dyDescent="0.3">
      <c r="A500">
        <v>0.998</v>
      </c>
      <c r="B500" s="4"/>
      <c r="C500">
        <v>-44.174072211043999</v>
      </c>
      <c r="D500">
        <v>1.95</v>
      </c>
      <c r="E500">
        <f t="shared" si="136"/>
        <v>63.329734605889506</v>
      </c>
      <c r="F500">
        <f t="shared" si="123"/>
        <v>1.1646698010322186E-2</v>
      </c>
      <c r="G500">
        <f t="shared" si="124"/>
        <v>3.6020715495841814E-2</v>
      </c>
      <c r="H500">
        <f t="shared" si="125"/>
        <v>87.216275699810978</v>
      </c>
      <c r="I500">
        <f t="shared" si="126"/>
        <v>1.0696407279724622</v>
      </c>
      <c r="J500">
        <f t="shared" si="127"/>
        <v>1.2777591848986574</v>
      </c>
      <c r="K500">
        <f t="shared" si="128"/>
        <v>0.52431512044448958</v>
      </c>
      <c r="L500">
        <f t="shared" si="129"/>
        <v>1.3086945944949215</v>
      </c>
      <c r="M500">
        <f t="shared" si="130"/>
        <v>1.0019729101325963</v>
      </c>
      <c r="N500">
        <f t="shared" si="131"/>
        <v>0.99854464536675902</v>
      </c>
      <c r="O500">
        <v>4.3065830085095699E-3</v>
      </c>
      <c r="P500">
        <v>6.0658363248244154E-3</v>
      </c>
      <c r="Q500">
        <f t="shared" si="132"/>
        <v>3773.8732636983914</v>
      </c>
      <c r="R500">
        <f t="shared" si="133"/>
        <v>3.7738732636983916</v>
      </c>
    </row>
    <row r="501" spans="1:18" x14ac:dyDescent="0.3">
      <c r="A501">
        <v>1</v>
      </c>
      <c r="B501" s="4"/>
      <c r="C501">
        <v>-44.174072211043999</v>
      </c>
      <c r="D501">
        <v>1.95</v>
      </c>
      <c r="E501">
        <f t="shared" si="136"/>
        <v>63.329734605889506</v>
      </c>
      <c r="F501">
        <f t="shared" si="123"/>
        <v>1.1646698010322186E-2</v>
      </c>
      <c r="G501">
        <f t="shared" si="124"/>
        <v>3.6020715495841814E-2</v>
      </c>
      <c r="H501">
        <f t="shared" si="125"/>
        <v>87.216275699810978</v>
      </c>
      <c r="I501">
        <f t="shared" si="126"/>
        <v>1.0696407279724622</v>
      </c>
      <c r="J501">
        <f t="shared" si="127"/>
        <v>1.2777591848986574</v>
      </c>
      <c r="K501">
        <f t="shared" si="128"/>
        <v>0.52431512044448958</v>
      </c>
      <c r="L501">
        <f t="shared" si="129"/>
        <v>1.3086945944949215</v>
      </c>
      <c r="M501">
        <f t="shared" si="130"/>
        <v>0.99392921058466155</v>
      </c>
      <c r="N501">
        <f t="shared" si="131"/>
        <v>0.99719810322533886</v>
      </c>
      <c r="O501">
        <v>4.0544585954635625E-3</v>
      </c>
      <c r="P501">
        <v>6.228581424282181E-3</v>
      </c>
      <c r="Q501">
        <f t="shared" si="132"/>
        <v>3773.8732636983914</v>
      </c>
      <c r="R501">
        <f t="shared" si="133"/>
        <v>3.7738732636983916</v>
      </c>
    </row>
    <row r="502" spans="1:18" x14ac:dyDescent="0.3">
      <c r="A502">
        <v>1.002</v>
      </c>
      <c r="B502" s="4"/>
      <c r="C502">
        <v>-44.174072211043999</v>
      </c>
      <c r="D502">
        <v>1.95</v>
      </c>
      <c r="E502">
        <f t="shared" si="136"/>
        <v>63.329734605889506</v>
      </c>
      <c r="F502">
        <f t="shared" si="123"/>
        <v>1.1646698010322186E-2</v>
      </c>
      <c r="G502">
        <f t="shared" si="124"/>
        <v>3.6020715495841814E-2</v>
      </c>
      <c r="H502">
        <f t="shared" si="125"/>
        <v>87.216275699810978</v>
      </c>
      <c r="I502">
        <f t="shared" si="126"/>
        <v>1.0696407279724622</v>
      </c>
      <c r="J502">
        <f t="shared" si="127"/>
        <v>1.2777591848986574</v>
      </c>
      <c r="K502">
        <f t="shared" si="128"/>
        <v>0.52431512044448958</v>
      </c>
      <c r="L502">
        <f t="shared" si="129"/>
        <v>1.3086945944949215</v>
      </c>
      <c r="M502">
        <f t="shared" si="130"/>
        <v>1.0008473956321013</v>
      </c>
      <c r="N502">
        <f t="shared" si="131"/>
        <v>0.995660785487962</v>
      </c>
      <c r="O502">
        <v>3.8819589437294631E-3</v>
      </c>
      <c r="P502">
        <v>6.360126548189622E-3</v>
      </c>
      <c r="Q502">
        <f t="shared" si="132"/>
        <v>3773.8732636983914</v>
      </c>
      <c r="R502">
        <f t="shared" si="133"/>
        <v>3.7738732636983916</v>
      </c>
    </row>
    <row r="503" spans="1:18" x14ac:dyDescent="0.3">
      <c r="A503">
        <v>1.004</v>
      </c>
      <c r="B503" s="4"/>
      <c r="C503">
        <v>-44.174072211043999</v>
      </c>
      <c r="D503">
        <v>1.95</v>
      </c>
      <c r="E503">
        <f t="shared" si="136"/>
        <v>63.329734605889506</v>
      </c>
      <c r="F503">
        <f t="shared" si="123"/>
        <v>1.1646698010322186E-2</v>
      </c>
      <c r="G503">
        <f t="shared" si="124"/>
        <v>3.6020715495841814E-2</v>
      </c>
      <c r="H503">
        <f t="shared" si="125"/>
        <v>87.216275699810978</v>
      </c>
      <c r="I503">
        <f t="shared" si="126"/>
        <v>1.0696407279724622</v>
      </c>
      <c r="J503">
        <f t="shared" si="127"/>
        <v>1.2777591848986574</v>
      </c>
      <c r="K503">
        <f t="shared" si="128"/>
        <v>0.52431512044448958</v>
      </c>
      <c r="L503">
        <f t="shared" si="129"/>
        <v>1.3086945944949215</v>
      </c>
      <c r="M503">
        <f t="shared" si="130"/>
        <v>1.0033053035685306</v>
      </c>
      <c r="N503">
        <f t="shared" si="131"/>
        <v>0.99420790108194612</v>
      </c>
      <c r="O503">
        <v>3.7358639615521719E-3</v>
      </c>
      <c r="P503">
        <v>6.4584545539170682E-3</v>
      </c>
      <c r="Q503">
        <f t="shared" si="132"/>
        <v>3773.8732636983914</v>
      </c>
      <c r="R503">
        <f t="shared" si="133"/>
        <v>3.7738732636983916</v>
      </c>
    </row>
    <row r="504" spans="1:18" x14ac:dyDescent="0.3">
      <c r="A504">
        <v>1.006</v>
      </c>
      <c r="B504" s="4"/>
      <c r="C504">
        <v>-44.174072211043999</v>
      </c>
      <c r="D504">
        <v>1.95</v>
      </c>
      <c r="E504">
        <f t="shared" si="136"/>
        <v>63.329734605889506</v>
      </c>
      <c r="F504">
        <f t="shared" si="123"/>
        <v>1.1646698010322186E-2</v>
      </c>
      <c r="G504">
        <f t="shared" si="124"/>
        <v>3.6020715495841814E-2</v>
      </c>
      <c r="H504">
        <f t="shared" si="125"/>
        <v>87.216275699810978</v>
      </c>
      <c r="I504">
        <f t="shared" si="126"/>
        <v>1.0696407279724622</v>
      </c>
      <c r="J504">
        <f t="shared" si="127"/>
        <v>1.2777591848986574</v>
      </c>
      <c r="K504">
        <f t="shared" si="128"/>
        <v>0.52431512044448958</v>
      </c>
      <c r="L504">
        <f t="shared" si="129"/>
        <v>1.3086945944949215</v>
      </c>
      <c r="M504">
        <f t="shared" si="130"/>
        <v>1.005783320189181</v>
      </c>
      <c r="N504">
        <f t="shared" si="131"/>
        <v>0.99311279970137678</v>
      </c>
      <c r="O504">
        <v>3.6402559970284609E-3</v>
      </c>
      <c r="P504">
        <v>6.5221801953018613E-3</v>
      </c>
      <c r="Q504">
        <f t="shared" si="132"/>
        <v>3773.8732636983914</v>
      </c>
      <c r="R504">
        <f t="shared" si="133"/>
        <v>3.7738732636983916</v>
      </c>
    </row>
    <row r="505" spans="1:18" x14ac:dyDescent="0.3">
      <c r="A505">
        <v>1.008</v>
      </c>
      <c r="B505" s="4"/>
      <c r="C505">
        <v>-44.174072211043999</v>
      </c>
      <c r="D505">
        <v>1.95</v>
      </c>
      <c r="E505">
        <f t="shared" si="136"/>
        <v>63.329734605889506</v>
      </c>
      <c r="F505">
        <f t="shared" si="123"/>
        <v>1.1646698010322186E-2</v>
      </c>
      <c r="G505">
        <f t="shared" si="124"/>
        <v>3.6020715495841814E-2</v>
      </c>
      <c r="H505">
        <f t="shared" si="125"/>
        <v>87.216275699810978</v>
      </c>
      <c r="I505">
        <f t="shared" si="126"/>
        <v>1.0696407279724622</v>
      </c>
      <c r="J505">
        <f t="shared" si="127"/>
        <v>1.2777591848986574</v>
      </c>
      <c r="K505">
        <f t="shared" si="128"/>
        <v>0.52431512044448958</v>
      </c>
      <c r="L505">
        <f t="shared" si="129"/>
        <v>1.3086945944949215</v>
      </c>
      <c r="M505">
        <f t="shared" si="130"/>
        <v>1.0005808999148069</v>
      </c>
      <c r="N505">
        <f t="shared" si="131"/>
        <v>0.99258568075120368</v>
      </c>
      <c r="O505">
        <v>3.5732130826476804E-3</v>
      </c>
      <c r="P505">
        <v>6.550460365370445E-3</v>
      </c>
      <c r="Q505">
        <f t="shared" si="132"/>
        <v>3773.8732636983914</v>
      </c>
      <c r="R505">
        <f t="shared" si="133"/>
        <v>3.7738732636983916</v>
      </c>
    </row>
    <row r="506" spans="1:18" x14ac:dyDescent="0.3">
      <c r="A506">
        <v>1.01</v>
      </c>
      <c r="B506" s="4"/>
      <c r="C506">
        <v>-44.174072211043999</v>
      </c>
      <c r="D506">
        <v>1.95</v>
      </c>
      <c r="E506">
        <f t="shared" si="136"/>
        <v>63.329734605889506</v>
      </c>
      <c r="F506">
        <f t="shared" si="123"/>
        <v>1.1646698010322186E-2</v>
      </c>
      <c r="G506">
        <f t="shared" si="124"/>
        <v>3.6020715495841814E-2</v>
      </c>
      <c r="H506">
        <f t="shared" si="125"/>
        <v>87.216275699810978</v>
      </c>
      <c r="I506">
        <f t="shared" si="126"/>
        <v>1.0696407279724622</v>
      </c>
      <c r="J506">
        <f t="shared" si="127"/>
        <v>1.2777591848986574</v>
      </c>
      <c r="K506">
        <f t="shared" si="128"/>
        <v>0.52431512044448958</v>
      </c>
      <c r="L506">
        <f t="shared" si="129"/>
        <v>1.3086945944949215</v>
      </c>
      <c r="M506">
        <f t="shared" si="130"/>
        <v>1.0067445419979173</v>
      </c>
      <c r="N506">
        <f t="shared" si="131"/>
        <v>0.99272849313602318</v>
      </c>
      <c r="O506">
        <v>3.6089596556175322E-3</v>
      </c>
      <c r="P506">
        <v>6.5429344601301053E-3</v>
      </c>
      <c r="Q506">
        <f t="shared" si="132"/>
        <v>3773.8732636983914</v>
      </c>
      <c r="R506">
        <f t="shared" si="133"/>
        <v>3.7738732636983916</v>
      </c>
    </row>
    <row r="507" spans="1:18" x14ac:dyDescent="0.3">
      <c r="A507">
        <v>1.012</v>
      </c>
      <c r="B507" s="4"/>
      <c r="C507">
        <v>-44.174072211043999</v>
      </c>
      <c r="D507">
        <v>1.95</v>
      </c>
      <c r="E507">
        <f t="shared" si="136"/>
        <v>63.329734605889506</v>
      </c>
      <c r="F507">
        <f t="shared" si="123"/>
        <v>1.1646698010322186E-2</v>
      </c>
      <c r="G507">
        <f t="shared" si="124"/>
        <v>3.6020715495841814E-2</v>
      </c>
      <c r="H507">
        <f t="shared" si="125"/>
        <v>87.216275699810978</v>
      </c>
      <c r="I507">
        <f t="shared" si="126"/>
        <v>1.0696407279724622</v>
      </c>
      <c r="J507">
        <f t="shared" si="127"/>
        <v>1.2777591848986574</v>
      </c>
      <c r="K507">
        <f t="shared" si="128"/>
        <v>0.52431512044448958</v>
      </c>
      <c r="L507">
        <f t="shared" si="129"/>
        <v>1.3086945944949215</v>
      </c>
      <c r="M507">
        <f t="shared" si="130"/>
        <v>1.0048280285962217</v>
      </c>
      <c r="N507">
        <f t="shared" si="131"/>
        <v>0.99351357705501309</v>
      </c>
      <c r="O507">
        <v>3.6740703929164622E-3</v>
      </c>
      <c r="P507">
        <v>6.4996976359334747E-3</v>
      </c>
      <c r="Q507">
        <f t="shared" si="132"/>
        <v>3773.8732636983914</v>
      </c>
      <c r="R507">
        <f t="shared" si="133"/>
        <v>3.7738732636983916</v>
      </c>
    </row>
    <row r="508" spans="1:18" x14ac:dyDescent="0.3">
      <c r="A508">
        <v>1.014</v>
      </c>
      <c r="B508" s="4">
        <v>51</v>
      </c>
      <c r="C508">
        <v>-43.706809308230298</v>
      </c>
      <c r="D508">
        <v>1.95</v>
      </c>
      <c r="E508">
        <f>$E$507+$R$507</f>
        <v>67.103607869587904</v>
      </c>
      <c r="F508">
        <f t="shared" si="123"/>
        <v>1.1988695125148085E-2</v>
      </c>
      <c r="G508">
        <f t="shared" si="124"/>
        <v>3.7078438531385829E-2</v>
      </c>
      <c r="H508">
        <f t="shared" si="125"/>
        <v>84.728288946971844</v>
      </c>
      <c r="I508">
        <f t="shared" si="126"/>
        <v>1.0656610527992829</v>
      </c>
      <c r="J508">
        <f t="shared" si="127"/>
        <v>1.2611871720310623</v>
      </c>
      <c r="K508">
        <f t="shared" si="128"/>
        <v>0.52744369779034261</v>
      </c>
      <c r="L508">
        <f t="shared" si="129"/>
        <v>1.3030224178739693</v>
      </c>
      <c r="M508">
        <f t="shared" si="130"/>
        <v>0.99818066745332457</v>
      </c>
      <c r="N508">
        <f t="shared" si="131"/>
        <v>1.0035673447884841</v>
      </c>
      <c r="O508">
        <v>5.8926616869565693E-3</v>
      </c>
      <c r="P508">
        <v>4.5556229075155536E-3</v>
      </c>
      <c r="Q508">
        <f t="shared" si="132"/>
        <v>3776.7198125150467</v>
      </c>
      <c r="R508">
        <f t="shared" si="133"/>
        <v>3.7767198125150467</v>
      </c>
    </row>
    <row r="509" spans="1:18" x14ac:dyDescent="0.3">
      <c r="A509">
        <v>1.016</v>
      </c>
      <c r="B509" s="4"/>
      <c r="C509">
        <v>-43.706809308230298</v>
      </c>
      <c r="D509">
        <v>1.95</v>
      </c>
      <c r="E509">
        <f t="shared" ref="E509:E525" si="137">$E$507+$R$507</f>
        <v>67.103607869587904</v>
      </c>
      <c r="F509">
        <f t="shared" si="123"/>
        <v>1.1988695125148085E-2</v>
      </c>
      <c r="G509">
        <f t="shared" si="124"/>
        <v>3.7078438531385829E-2</v>
      </c>
      <c r="H509">
        <f t="shared" si="125"/>
        <v>84.728288946971844</v>
      </c>
      <c r="I509">
        <f t="shared" si="126"/>
        <v>1.0656610527992829</v>
      </c>
      <c r="J509">
        <f t="shared" si="127"/>
        <v>1.2611871720310623</v>
      </c>
      <c r="K509">
        <f t="shared" si="128"/>
        <v>0.52744369779034261</v>
      </c>
      <c r="L509">
        <f t="shared" si="129"/>
        <v>1.3030224178739693</v>
      </c>
      <c r="M509">
        <f t="shared" si="130"/>
        <v>0.99937275560585515</v>
      </c>
      <c r="N509">
        <f t="shared" si="131"/>
        <v>1.0022796680243335</v>
      </c>
      <c r="O509">
        <v>5.6846820704048321E-3</v>
      </c>
      <c r="P509">
        <v>4.8022740477282463E-3</v>
      </c>
      <c r="Q509">
        <f t="shared" si="132"/>
        <v>3776.7198125150467</v>
      </c>
      <c r="R509">
        <f t="shared" si="133"/>
        <v>3.7767198125150467</v>
      </c>
    </row>
    <row r="510" spans="1:18" x14ac:dyDescent="0.3">
      <c r="A510">
        <v>1.018</v>
      </c>
      <c r="B510" s="4"/>
      <c r="C510">
        <v>-43.706809308230298</v>
      </c>
      <c r="D510">
        <v>1.95</v>
      </c>
      <c r="E510">
        <f t="shared" si="137"/>
        <v>67.103607869587904</v>
      </c>
      <c r="F510">
        <f t="shared" si="123"/>
        <v>1.1988695125148085E-2</v>
      </c>
      <c r="G510">
        <f t="shared" si="124"/>
        <v>3.7078438531385829E-2</v>
      </c>
      <c r="H510">
        <f t="shared" si="125"/>
        <v>84.728288946971844</v>
      </c>
      <c r="I510">
        <f t="shared" si="126"/>
        <v>1.0656610527992829</v>
      </c>
      <c r="J510">
        <f t="shared" si="127"/>
        <v>1.2611871720310623</v>
      </c>
      <c r="K510">
        <f t="shared" si="128"/>
        <v>0.52744369779034261</v>
      </c>
      <c r="L510">
        <f t="shared" si="129"/>
        <v>1.3030224178739693</v>
      </c>
      <c r="M510">
        <f t="shared" si="130"/>
        <v>1.0055901968104575</v>
      </c>
      <c r="N510">
        <f t="shared" si="131"/>
        <v>0.99956578762837045</v>
      </c>
      <c r="O510">
        <v>5.4710855116643052E-3</v>
      </c>
      <c r="P510">
        <v>5.0480211131682653E-3</v>
      </c>
      <c r="Q510">
        <f t="shared" si="132"/>
        <v>3776.7198125150467</v>
      </c>
      <c r="R510">
        <f t="shared" si="133"/>
        <v>3.7767198125150467</v>
      </c>
    </row>
    <row r="511" spans="1:18" x14ac:dyDescent="0.3">
      <c r="A511">
        <v>1.02</v>
      </c>
      <c r="B511" s="4"/>
      <c r="C511">
        <v>-43.706809308230298</v>
      </c>
      <c r="D511">
        <v>1.95</v>
      </c>
      <c r="E511">
        <f t="shared" si="137"/>
        <v>67.103607869587904</v>
      </c>
      <c r="F511">
        <f t="shared" si="123"/>
        <v>1.1988695125148085E-2</v>
      </c>
      <c r="G511">
        <f t="shared" si="124"/>
        <v>3.7078438531385829E-2</v>
      </c>
      <c r="H511">
        <f t="shared" si="125"/>
        <v>84.728288946971844</v>
      </c>
      <c r="I511">
        <f t="shared" si="126"/>
        <v>1.0656610527992829</v>
      </c>
      <c r="J511">
        <f t="shared" si="127"/>
        <v>1.2611871720310623</v>
      </c>
      <c r="K511">
        <f t="shared" si="128"/>
        <v>0.52744369779034261</v>
      </c>
      <c r="L511">
        <f t="shared" si="129"/>
        <v>1.3030224178739693</v>
      </c>
      <c r="M511">
        <f t="shared" si="130"/>
        <v>0.99745034135344135</v>
      </c>
      <c r="N511">
        <f t="shared" si="131"/>
        <v>0.99835012638969822</v>
      </c>
      <c r="O511">
        <v>5.2070544452005128E-3</v>
      </c>
      <c r="P511">
        <v>5.2940928539633647E-3</v>
      </c>
      <c r="Q511">
        <f t="shared" si="132"/>
        <v>3776.7198125150467</v>
      </c>
      <c r="R511">
        <f t="shared" si="133"/>
        <v>3.7767198125150467</v>
      </c>
    </row>
    <row r="512" spans="1:18" x14ac:dyDescent="0.3">
      <c r="A512">
        <v>1.022</v>
      </c>
      <c r="B512" s="4"/>
      <c r="C512">
        <v>-43.706809308230298</v>
      </c>
      <c r="D512">
        <v>1.95</v>
      </c>
      <c r="E512">
        <f t="shared" si="137"/>
        <v>67.103607869587904</v>
      </c>
      <c r="F512">
        <f t="shared" si="123"/>
        <v>1.1988695125148085E-2</v>
      </c>
      <c r="G512">
        <f t="shared" si="124"/>
        <v>3.7078438531385829E-2</v>
      </c>
      <c r="H512">
        <f t="shared" si="125"/>
        <v>84.728288946971844</v>
      </c>
      <c r="I512">
        <f t="shared" si="126"/>
        <v>1.0656610527992829</v>
      </c>
      <c r="J512">
        <f t="shared" si="127"/>
        <v>1.2611871720310623</v>
      </c>
      <c r="K512">
        <f t="shared" si="128"/>
        <v>0.52744369779034261</v>
      </c>
      <c r="L512">
        <f t="shared" si="129"/>
        <v>1.3030224178739693</v>
      </c>
      <c r="M512">
        <f t="shared" si="130"/>
        <v>0.99918186883958804</v>
      </c>
      <c r="N512">
        <f t="shared" si="131"/>
        <v>0.99731022137085756</v>
      </c>
      <c r="O512">
        <v>4.9601755795746398E-3</v>
      </c>
      <c r="P512">
        <v>5.5305989827073481E-3</v>
      </c>
      <c r="Q512">
        <f t="shared" si="132"/>
        <v>3776.7198125150467</v>
      </c>
      <c r="R512">
        <f t="shared" si="133"/>
        <v>3.7767198125150467</v>
      </c>
    </row>
    <row r="513" spans="1:18" x14ac:dyDescent="0.3">
      <c r="A513">
        <v>1.024</v>
      </c>
      <c r="B513" s="4"/>
      <c r="C513">
        <v>-43.706809308230298</v>
      </c>
      <c r="D513">
        <v>1.95</v>
      </c>
      <c r="E513">
        <f t="shared" si="137"/>
        <v>67.103607869587904</v>
      </c>
      <c r="F513">
        <f t="shared" si="123"/>
        <v>1.1988695125148085E-2</v>
      </c>
      <c r="G513">
        <f t="shared" si="124"/>
        <v>3.7078438531385829E-2</v>
      </c>
      <c r="H513">
        <f t="shared" si="125"/>
        <v>84.728288946971844</v>
      </c>
      <c r="I513">
        <f t="shared" si="126"/>
        <v>1.0656610527992829</v>
      </c>
      <c r="J513">
        <f t="shared" si="127"/>
        <v>1.2611871720310623</v>
      </c>
      <c r="K513">
        <f t="shared" si="128"/>
        <v>0.52744369779034261</v>
      </c>
      <c r="L513">
        <f t="shared" si="129"/>
        <v>1.3030224178739693</v>
      </c>
      <c r="M513">
        <f t="shared" si="130"/>
        <v>1.0051395319219298</v>
      </c>
      <c r="N513">
        <f t="shared" si="131"/>
        <v>0.99979679120319909</v>
      </c>
      <c r="O513">
        <v>4.7239868825674595E-3</v>
      </c>
      <c r="P513">
        <v>5.760317910004792E-3</v>
      </c>
      <c r="Q513">
        <f t="shared" si="132"/>
        <v>3776.7198125150467</v>
      </c>
      <c r="R513">
        <f t="shared" si="133"/>
        <v>3.7767198125150467</v>
      </c>
    </row>
    <row r="514" spans="1:18" x14ac:dyDescent="0.3">
      <c r="A514">
        <v>1.026</v>
      </c>
      <c r="B514" s="4"/>
      <c r="C514">
        <v>-43.706809308230298</v>
      </c>
      <c r="D514">
        <v>1.95</v>
      </c>
      <c r="E514">
        <f t="shared" si="137"/>
        <v>67.103607869587904</v>
      </c>
      <c r="F514">
        <f t="shared" si="123"/>
        <v>1.1988695125148085E-2</v>
      </c>
      <c r="G514">
        <f t="shared" si="124"/>
        <v>3.7078438531385829E-2</v>
      </c>
      <c r="H514">
        <f t="shared" si="125"/>
        <v>84.728288946971844</v>
      </c>
      <c r="I514">
        <f t="shared" si="126"/>
        <v>1.0656610527992829</v>
      </c>
      <c r="J514">
        <f t="shared" si="127"/>
        <v>1.2611871720310623</v>
      </c>
      <c r="K514">
        <f t="shared" si="128"/>
        <v>0.52744369779034261</v>
      </c>
      <c r="L514">
        <f t="shared" si="129"/>
        <v>1.3030224178739693</v>
      </c>
      <c r="M514">
        <f t="shared" si="130"/>
        <v>1.0059869889599231</v>
      </c>
      <c r="N514">
        <f t="shared" si="131"/>
        <v>0.99913443870545227</v>
      </c>
      <c r="O514">
        <v>4.4791203658742316E-3</v>
      </c>
      <c r="P514">
        <v>5.9621861915122561E-3</v>
      </c>
      <c r="Q514">
        <f t="shared" si="132"/>
        <v>3776.7198125150467</v>
      </c>
      <c r="R514">
        <f t="shared" si="133"/>
        <v>3.7767198125150467</v>
      </c>
    </row>
    <row r="515" spans="1:18" x14ac:dyDescent="0.3">
      <c r="A515">
        <v>1.028</v>
      </c>
      <c r="B515" s="4"/>
      <c r="C515">
        <v>-43.706809308230298</v>
      </c>
      <c r="D515">
        <v>1.95</v>
      </c>
      <c r="E515">
        <f t="shared" si="137"/>
        <v>67.103607869587904</v>
      </c>
      <c r="F515">
        <f t="shared" ref="F515:F578" si="138">0.0462806*SQRT(E515/1000)</f>
        <v>1.1988695125148085E-2</v>
      </c>
      <c r="G515">
        <f t="shared" ref="G515:G578" si="139">$U$3*F515/2</f>
        <v>3.7078438531385829E-2</v>
      </c>
      <c r="H515">
        <f t="shared" ref="H515:H578" si="140">PI()/G515</f>
        <v>84.728288946971844</v>
      </c>
      <c r="I515">
        <f t="shared" ref="I515:I578" si="141">BESSELI(H515*$Y$5,0)</f>
        <v>1.0656610527992829</v>
      </c>
      <c r="J515">
        <f t="shared" ref="J515:J578" si="142">BESSELI(H515*D515*$Y$5,0)</f>
        <v>1.2611871720310623</v>
      </c>
      <c r="K515">
        <f t="shared" ref="K515:K578" si="143">(D515^2-1)/(D515^2*I515+J515)</f>
        <v>0.52744369779034261</v>
      </c>
      <c r="L515">
        <f t="shared" ref="L515:L578" si="144">I515+J515/(D515^2*I515+J515)</f>
        <v>1.3030224178739693</v>
      </c>
      <c r="M515">
        <f t="shared" ref="M515:M578" si="145">((L515*O515^2)/$Y$5^2)+(K515*BESSELI(O515*H515,0)*COS(H515*A515))</f>
        <v>1.0008574887582882</v>
      </c>
      <c r="N515">
        <f t="shared" ref="N515:N578" si="146">((L515*P515^2)/$Y$5^2)-(K515*BESSELI(P515*H515,0)*COS(H515*A515))</f>
        <v>0.99801347425528508</v>
      </c>
      <c r="O515">
        <v>4.2286402039047417E-3</v>
      </c>
      <c r="P515">
        <v>6.1390921925229876E-3</v>
      </c>
      <c r="Q515">
        <f t="shared" ref="Q515:Q578" si="147">PI()*K515*$U$4*J515*COS(C515*$Y$7)/(4*$Y$6)</f>
        <v>3776.7198125150467</v>
      </c>
      <c r="R515">
        <f t="shared" ref="R515:R578" si="148">Q515/1000</f>
        <v>3.7767198125150467</v>
      </c>
    </row>
    <row r="516" spans="1:18" x14ac:dyDescent="0.3">
      <c r="A516">
        <v>1.03</v>
      </c>
      <c r="B516" s="4"/>
      <c r="C516">
        <v>-43.706809308230298</v>
      </c>
      <c r="D516">
        <v>1.95</v>
      </c>
      <c r="E516">
        <f t="shared" si="137"/>
        <v>67.103607869587904</v>
      </c>
      <c r="F516">
        <f t="shared" si="138"/>
        <v>1.1988695125148085E-2</v>
      </c>
      <c r="G516">
        <f t="shared" si="139"/>
        <v>3.7078438531385829E-2</v>
      </c>
      <c r="H516">
        <f t="shared" si="140"/>
        <v>84.728288946971844</v>
      </c>
      <c r="I516">
        <f t="shared" si="141"/>
        <v>1.0656610527992829</v>
      </c>
      <c r="J516">
        <f t="shared" si="142"/>
        <v>1.2611871720310623</v>
      </c>
      <c r="K516">
        <f t="shared" si="143"/>
        <v>0.52744369779034261</v>
      </c>
      <c r="L516">
        <f t="shared" si="144"/>
        <v>1.3030224178739693</v>
      </c>
      <c r="M516">
        <f t="shared" si="145"/>
        <v>1.000249735282329</v>
      </c>
      <c r="N516">
        <f t="shared" si="146"/>
        <v>0.99656618353621462</v>
      </c>
      <c r="O516">
        <v>4.013914009508927E-3</v>
      </c>
      <c r="P516">
        <v>6.2880315307955667E-3</v>
      </c>
      <c r="Q516">
        <f t="shared" si="147"/>
        <v>3776.7198125150467</v>
      </c>
      <c r="R516">
        <f t="shared" si="148"/>
        <v>3.7767198125150467</v>
      </c>
    </row>
    <row r="517" spans="1:18" x14ac:dyDescent="0.3">
      <c r="A517">
        <v>1.032</v>
      </c>
      <c r="B517" s="4"/>
      <c r="C517">
        <v>-43.706809308230298</v>
      </c>
      <c r="D517">
        <v>1.95</v>
      </c>
      <c r="E517">
        <f t="shared" si="137"/>
        <v>67.103607869587904</v>
      </c>
      <c r="F517">
        <f t="shared" si="138"/>
        <v>1.1988695125148085E-2</v>
      </c>
      <c r="G517">
        <f t="shared" si="139"/>
        <v>3.7078438531385829E-2</v>
      </c>
      <c r="H517">
        <f t="shared" si="140"/>
        <v>84.728288946971844</v>
      </c>
      <c r="I517">
        <f t="shared" si="141"/>
        <v>1.0656610527992829</v>
      </c>
      <c r="J517">
        <f t="shared" si="142"/>
        <v>1.2611871720310623</v>
      </c>
      <c r="K517">
        <f t="shared" si="143"/>
        <v>0.52744369779034261</v>
      </c>
      <c r="L517">
        <f t="shared" si="144"/>
        <v>1.3030224178739693</v>
      </c>
      <c r="M517">
        <f t="shared" si="145"/>
        <v>1.0014257396063493</v>
      </c>
      <c r="N517">
        <f t="shared" si="146"/>
        <v>0.9950180981159269</v>
      </c>
      <c r="O517">
        <v>3.8369724696313838E-3</v>
      </c>
      <c r="P517">
        <v>6.406739957957968E-3</v>
      </c>
      <c r="Q517">
        <f t="shared" si="147"/>
        <v>3776.7198125150467</v>
      </c>
      <c r="R517">
        <f t="shared" si="148"/>
        <v>3.7767198125150467</v>
      </c>
    </row>
    <row r="518" spans="1:18" x14ac:dyDescent="0.3">
      <c r="A518">
        <v>1.034</v>
      </c>
      <c r="B518" s="4"/>
      <c r="C518">
        <v>-43.706809308230298</v>
      </c>
      <c r="D518">
        <v>1.95</v>
      </c>
      <c r="E518">
        <f t="shared" si="137"/>
        <v>67.103607869587904</v>
      </c>
      <c r="F518">
        <f t="shared" si="138"/>
        <v>1.1988695125148085E-2</v>
      </c>
      <c r="G518">
        <f t="shared" si="139"/>
        <v>3.7078438531385829E-2</v>
      </c>
      <c r="H518">
        <f t="shared" si="140"/>
        <v>84.728288946971844</v>
      </c>
      <c r="I518">
        <f t="shared" si="141"/>
        <v>1.0656610527992829</v>
      </c>
      <c r="J518">
        <f t="shared" si="142"/>
        <v>1.2611871720310623</v>
      </c>
      <c r="K518">
        <f t="shared" si="143"/>
        <v>0.52744369779034261</v>
      </c>
      <c r="L518">
        <f t="shared" si="144"/>
        <v>1.3030224178739693</v>
      </c>
      <c r="M518">
        <f t="shared" si="145"/>
        <v>1.0039709997012731</v>
      </c>
      <c r="N518">
        <f t="shared" si="146"/>
        <v>0.99363365996933051</v>
      </c>
      <c r="O518">
        <v>3.7064828665663418E-3</v>
      </c>
      <c r="P518">
        <v>6.4935808852574087E-3</v>
      </c>
      <c r="Q518">
        <f t="shared" si="147"/>
        <v>3776.7198125150467</v>
      </c>
      <c r="R518">
        <f t="shared" si="148"/>
        <v>3.7767198125150467</v>
      </c>
    </row>
    <row r="519" spans="1:18" x14ac:dyDescent="0.3">
      <c r="A519">
        <v>1.036</v>
      </c>
      <c r="B519" s="4"/>
      <c r="C519">
        <v>-43.706809308230298</v>
      </c>
      <c r="D519">
        <v>1.95</v>
      </c>
      <c r="E519">
        <f t="shared" si="137"/>
        <v>67.103607869587904</v>
      </c>
      <c r="F519">
        <f t="shared" si="138"/>
        <v>1.1988695125148085E-2</v>
      </c>
      <c r="G519">
        <f t="shared" si="139"/>
        <v>3.7078438531385829E-2</v>
      </c>
      <c r="H519">
        <f t="shared" si="140"/>
        <v>84.728288946971844</v>
      </c>
      <c r="I519">
        <f t="shared" si="141"/>
        <v>1.0656610527992829</v>
      </c>
      <c r="J519">
        <f t="shared" si="142"/>
        <v>1.2611871720310623</v>
      </c>
      <c r="K519">
        <f t="shared" si="143"/>
        <v>0.52744369779034261</v>
      </c>
      <c r="L519">
        <f t="shared" si="144"/>
        <v>1.3030224178739693</v>
      </c>
      <c r="M519">
        <f t="shared" si="145"/>
        <v>1.0062125536237017</v>
      </c>
      <c r="N519">
        <f t="shared" si="146"/>
        <v>0.99265820170936991</v>
      </c>
      <c r="O519">
        <v>3.624823112256129E-3</v>
      </c>
      <c r="P519">
        <v>6.547448936836473E-3</v>
      </c>
      <c r="Q519">
        <f t="shared" si="147"/>
        <v>3776.7198125150467</v>
      </c>
      <c r="R519">
        <f t="shared" si="148"/>
        <v>3.7767198125150467</v>
      </c>
    </row>
    <row r="520" spans="1:18" x14ac:dyDescent="0.3">
      <c r="A520">
        <v>1.038</v>
      </c>
      <c r="B520" s="4"/>
      <c r="C520">
        <v>-43.706809308230298</v>
      </c>
      <c r="D520">
        <v>1.95</v>
      </c>
      <c r="E520">
        <f t="shared" si="137"/>
        <v>67.103607869587904</v>
      </c>
      <c r="F520">
        <f t="shared" si="138"/>
        <v>1.1988695125148085E-2</v>
      </c>
      <c r="G520">
        <f t="shared" si="139"/>
        <v>3.7078438531385829E-2</v>
      </c>
      <c r="H520">
        <f t="shared" si="140"/>
        <v>84.728288946971844</v>
      </c>
      <c r="I520">
        <f t="shared" si="141"/>
        <v>1.0656610527992829</v>
      </c>
      <c r="J520">
        <f t="shared" si="142"/>
        <v>1.2611871720310623</v>
      </c>
      <c r="K520">
        <f t="shared" si="143"/>
        <v>0.52744369779034261</v>
      </c>
      <c r="L520">
        <f t="shared" si="144"/>
        <v>1.3030224178739693</v>
      </c>
      <c r="M520">
        <f t="shared" si="145"/>
        <v>1.0006456635939653</v>
      </c>
      <c r="N520">
        <f t="shared" si="146"/>
        <v>0.99226723257606342</v>
      </c>
      <c r="O520">
        <v>3.5693983191999968E-3</v>
      </c>
      <c r="P520">
        <v>6.5676966324153688E-3</v>
      </c>
      <c r="Q520">
        <f t="shared" si="147"/>
        <v>3776.7198125150467</v>
      </c>
      <c r="R520">
        <f t="shared" si="148"/>
        <v>3.7767198125150467</v>
      </c>
    </row>
    <row r="521" spans="1:18" x14ac:dyDescent="0.3">
      <c r="A521">
        <v>1.04</v>
      </c>
      <c r="B521" s="4"/>
      <c r="C521">
        <v>-43.706809308230298</v>
      </c>
      <c r="D521">
        <v>1.95</v>
      </c>
      <c r="E521">
        <f t="shared" si="137"/>
        <v>67.103607869587904</v>
      </c>
      <c r="F521">
        <f t="shared" si="138"/>
        <v>1.1988695125148085E-2</v>
      </c>
      <c r="G521">
        <f t="shared" si="139"/>
        <v>3.7078438531385829E-2</v>
      </c>
      <c r="H521">
        <f t="shared" si="140"/>
        <v>84.728288946971844</v>
      </c>
      <c r="I521">
        <f t="shared" si="141"/>
        <v>1.0656610527992829</v>
      </c>
      <c r="J521">
        <f t="shared" si="142"/>
        <v>1.2611871720310623</v>
      </c>
      <c r="K521">
        <f t="shared" si="143"/>
        <v>0.52744369779034261</v>
      </c>
      <c r="L521">
        <f t="shared" si="144"/>
        <v>1.3030224178739693</v>
      </c>
      <c r="M521">
        <f t="shared" si="145"/>
        <v>1.006524698424387</v>
      </c>
      <c r="N521">
        <f t="shared" si="146"/>
        <v>0.99253149673588859</v>
      </c>
      <c r="O521">
        <v>3.614720446637991E-3</v>
      </c>
      <c r="P521">
        <v>6.5540880588883929E-3</v>
      </c>
      <c r="Q521">
        <f t="shared" si="147"/>
        <v>3776.7198125150467</v>
      </c>
      <c r="R521">
        <f t="shared" si="148"/>
        <v>3.7767198125150467</v>
      </c>
    </row>
    <row r="522" spans="1:18" x14ac:dyDescent="0.3">
      <c r="A522">
        <v>1.042</v>
      </c>
      <c r="B522" s="4"/>
      <c r="C522">
        <v>-43.706809308230298</v>
      </c>
      <c r="D522">
        <v>1.95</v>
      </c>
      <c r="E522">
        <f t="shared" si="137"/>
        <v>67.103607869587904</v>
      </c>
      <c r="F522">
        <f t="shared" si="138"/>
        <v>1.1988695125148085E-2</v>
      </c>
      <c r="G522">
        <f t="shared" si="139"/>
        <v>3.7078438531385829E-2</v>
      </c>
      <c r="H522">
        <f t="shared" si="140"/>
        <v>84.728288946971844</v>
      </c>
      <c r="I522">
        <f t="shared" si="141"/>
        <v>1.0656610527992829</v>
      </c>
      <c r="J522">
        <f t="shared" si="142"/>
        <v>1.2611871720310623</v>
      </c>
      <c r="K522">
        <f t="shared" si="143"/>
        <v>0.52744369779034261</v>
      </c>
      <c r="L522">
        <f t="shared" si="144"/>
        <v>1.3030224178739693</v>
      </c>
      <c r="M522">
        <f t="shared" si="145"/>
        <v>1.0044726775398347</v>
      </c>
      <c r="N522">
        <f t="shared" si="146"/>
        <v>0.99340315575504801</v>
      </c>
      <c r="O522">
        <v>3.6865230384955888E-3</v>
      </c>
      <c r="P522">
        <v>6.5067813278562358E-3</v>
      </c>
      <c r="Q522">
        <f t="shared" si="147"/>
        <v>3776.7198125150467</v>
      </c>
      <c r="R522">
        <f t="shared" si="148"/>
        <v>3.7767198125150467</v>
      </c>
    </row>
    <row r="523" spans="1:18" x14ac:dyDescent="0.3">
      <c r="A523">
        <v>1.044</v>
      </c>
      <c r="B523" s="4"/>
      <c r="C523">
        <v>-43.706809308230298</v>
      </c>
      <c r="D523">
        <v>1.95</v>
      </c>
      <c r="E523">
        <f t="shared" si="137"/>
        <v>67.103607869587904</v>
      </c>
      <c r="F523">
        <f t="shared" si="138"/>
        <v>1.1988695125148085E-2</v>
      </c>
      <c r="G523">
        <f t="shared" si="139"/>
        <v>3.7078438531385829E-2</v>
      </c>
      <c r="H523">
        <f t="shared" si="140"/>
        <v>84.728288946971844</v>
      </c>
      <c r="I523">
        <f t="shared" si="141"/>
        <v>1.0656610527992829</v>
      </c>
      <c r="J523">
        <f t="shared" si="142"/>
        <v>1.2611871720310623</v>
      </c>
      <c r="K523">
        <f t="shared" si="143"/>
        <v>0.52744369779034261</v>
      </c>
      <c r="L523">
        <f t="shared" si="144"/>
        <v>1.3030224178739693</v>
      </c>
      <c r="M523">
        <f t="shared" si="145"/>
        <v>1.0018869962918875</v>
      </c>
      <c r="N523">
        <f t="shared" si="146"/>
        <v>0.99472511643182426</v>
      </c>
      <c r="O523">
        <v>3.8076439889449054E-3</v>
      </c>
      <c r="P523">
        <v>6.4263403728665857E-3</v>
      </c>
      <c r="Q523">
        <f t="shared" si="147"/>
        <v>3776.7198125150467</v>
      </c>
      <c r="R523">
        <f t="shared" si="148"/>
        <v>3.7767198125150467</v>
      </c>
    </row>
    <row r="524" spans="1:18" x14ac:dyDescent="0.3">
      <c r="A524">
        <v>1.046</v>
      </c>
      <c r="B524" s="4"/>
      <c r="C524">
        <v>-43.706809308230298</v>
      </c>
      <c r="D524">
        <v>1.95</v>
      </c>
      <c r="E524">
        <f t="shared" si="137"/>
        <v>67.103607869587904</v>
      </c>
      <c r="F524">
        <f t="shared" si="138"/>
        <v>1.1988695125148085E-2</v>
      </c>
      <c r="G524">
        <f t="shared" si="139"/>
        <v>3.7078438531385829E-2</v>
      </c>
      <c r="H524">
        <f t="shared" si="140"/>
        <v>84.728288946971844</v>
      </c>
      <c r="I524">
        <f t="shared" si="141"/>
        <v>1.0656610527992829</v>
      </c>
      <c r="J524">
        <f t="shared" si="142"/>
        <v>1.2611871720310623</v>
      </c>
      <c r="K524">
        <f t="shared" si="143"/>
        <v>0.52744369779034261</v>
      </c>
      <c r="L524">
        <f t="shared" si="144"/>
        <v>1.3030224178739693</v>
      </c>
      <c r="M524">
        <f t="shared" si="145"/>
        <v>1.0001138690851006</v>
      </c>
      <c r="N524">
        <f t="shared" si="146"/>
        <v>0.99626214519964529</v>
      </c>
      <c r="O524">
        <v>3.9751049972739363E-3</v>
      </c>
      <c r="P524">
        <v>6.3137757215730693E-3</v>
      </c>
      <c r="Q524">
        <f t="shared" si="147"/>
        <v>3776.7198125150467</v>
      </c>
      <c r="R524">
        <f t="shared" si="148"/>
        <v>3.7767198125150467</v>
      </c>
    </row>
    <row r="525" spans="1:18" x14ac:dyDescent="0.3">
      <c r="A525">
        <v>1.048</v>
      </c>
      <c r="B525" s="4"/>
      <c r="C525">
        <v>-43.706809308230298</v>
      </c>
      <c r="D525">
        <v>1.95</v>
      </c>
      <c r="E525">
        <f t="shared" si="137"/>
        <v>67.103607869587904</v>
      </c>
      <c r="F525">
        <f t="shared" si="138"/>
        <v>1.1988695125148085E-2</v>
      </c>
      <c r="G525">
        <f t="shared" si="139"/>
        <v>3.7078438531385829E-2</v>
      </c>
      <c r="H525">
        <f t="shared" si="140"/>
        <v>84.728288946971844</v>
      </c>
      <c r="I525">
        <f t="shared" si="141"/>
        <v>1.0656610527992829</v>
      </c>
      <c r="J525">
        <f t="shared" si="142"/>
        <v>1.2611871720310623</v>
      </c>
      <c r="K525">
        <f t="shared" si="143"/>
        <v>0.52744369779034261</v>
      </c>
      <c r="L525">
        <f t="shared" si="144"/>
        <v>1.3030224178739693</v>
      </c>
      <c r="M525">
        <f t="shared" si="145"/>
        <v>1.0004204533529411</v>
      </c>
      <c r="N525">
        <f t="shared" si="146"/>
        <v>0.99774906150671949</v>
      </c>
      <c r="O525">
        <v>4.1834363619065356E-3</v>
      </c>
      <c r="P525">
        <v>6.1706127402372047E-3</v>
      </c>
      <c r="Q525">
        <f t="shared" si="147"/>
        <v>3776.7198125150467</v>
      </c>
      <c r="R525">
        <f t="shared" si="148"/>
        <v>3.7767198125150467</v>
      </c>
    </row>
    <row r="526" spans="1:18" x14ac:dyDescent="0.3">
      <c r="A526">
        <v>1.05</v>
      </c>
      <c r="B526" s="4">
        <v>52</v>
      </c>
      <c r="C526">
        <v>-43.231886357829502</v>
      </c>
      <c r="D526">
        <v>1.95</v>
      </c>
      <c r="E526">
        <f>$E$525+$R$525</f>
        <v>70.880327682102944</v>
      </c>
      <c r="F526">
        <f t="shared" si="138"/>
        <v>1.2321450566776061E-2</v>
      </c>
      <c r="G526">
        <f t="shared" si="139"/>
        <v>3.8107579072503284E-2</v>
      </c>
      <c r="H526">
        <f t="shared" si="140"/>
        <v>82.440100632281442</v>
      </c>
      <c r="I526">
        <f t="shared" si="141"/>
        <v>1.062109047395259</v>
      </c>
      <c r="J526">
        <f t="shared" si="142"/>
        <v>1.2464677736414984</v>
      </c>
      <c r="K526">
        <f t="shared" si="143"/>
        <v>0.53026057298364393</v>
      </c>
      <c r="L526">
        <f t="shared" si="144"/>
        <v>1.2979530138026767</v>
      </c>
      <c r="M526">
        <f t="shared" si="145"/>
        <v>0.99891615155277047</v>
      </c>
      <c r="N526">
        <f t="shared" si="146"/>
        <v>1.0093074037874679</v>
      </c>
      <c r="O526">
        <v>5.0135706014529996E-3</v>
      </c>
      <c r="P526">
        <v>5.5305989827073481E-3</v>
      </c>
      <c r="Q526">
        <f t="shared" si="147"/>
        <v>3782.1784698197534</v>
      </c>
      <c r="R526">
        <f t="shared" si="148"/>
        <v>3.7821784698197534</v>
      </c>
    </row>
    <row r="527" spans="1:18" x14ac:dyDescent="0.3">
      <c r="A527">
        <v>1.052</v>
      </c>
      <c r="B527" s="4"/>
      <c r="C527">
        <v>-43.231886357829502</v>
      </c>
      <c r="D527">
        <v>1.95</v>
      </c>
      <c r="E527">
        <f t="shared" ref="E527:E544" si="149">$E$525+$R$525</f>
        <v>70.880327682102944</v>
      </c>
      <c r="F527">
        <f t="shared" si="138"/>
        <v>1.2321450566776061E-2</v>
      </c>
      <c r="G527">
        <f t="shared" si="139"/>
        <v>3.8107579072503284E-2</v>
      </c>
      <c r="H527">
        <f t="shared" si="140"/>
        <v>82.440100632281442</v>
      </c>
      <c r="I527">
        <f t="shared" si="141"/>
        <v>1.062109047395259</v>
      </c>
      <c r="J527">
        <f t="shared" si="142"/>
        <v>1.2464677736414984</v>
      </c>
      <c r="K527">
        <f t="shared" si="143"/>
        <v>0.53026057298364393</v>
      </c>
      <c r="L527">
        <f t="shared" si="144"/>
        <v>1.2979530138026767</v>
      </c>
      <c r="M527">
        <f t="shared" si="145"/>
        <v>1.0072986480616595</v>
      </c>
      <c r="N527">
        <f t="shared" si="146"/>
        <v>1.0082911405697552</v>
      </c>
      <c r="O527">
        <v>4.7894651410052055E-3</v>
      </c>
      <c r="P527">
        <v>5.7489129877750572E-3</v>
      </c>
      <c r="Q527">
        <f t="shared" si="147"/>
        <v>3782.1784698197534</v>
      </c>
      <c r="R527">
        <f t="shared" si="148"/>
        <v>3.7821784698197534</v>
      </c>
    </row>
    <row r="528" spans="1:18" x14ac:dyDescent="0.3">
      <c r="A528">
        <v>1.054</v>
      </c>
      <c r="B528" s="4"/>
      <c r="C528">
        <v>-43.231886357829502</v>
      </c>
      <c r="D528">
        <v>1.95</v>
      </c>
      <c r="E528">
        <f t="shared" si="149"/>
        <v>70.880327682102944</v>
      </c>
      <c r="F528">
        <f t="shared" si="138"/>
        <v>1.2321450566776061E-2</v>
      </c>
      <c r="G528">
        <f t="shared" si="139"/>
        <v>3.8107579072503284E-2</v>
      </c>
      <c r="H528">
        <f t="shared" si="140"/>
        <v>82.440100632281442</v>
      </c>
      <c r="I528">
        <f t="shared" si="141"/>
        <v>1.062109047395259</v>
      </c>
      <c r="J528">
        <f t="shared" si="142"/>
        <v>1.2464677736414984</v>
      </c>
      <c r="K528">
        <f t="shared" si="143"/>
        <v>0.53026057298364393</v>
      </c>
      <c r="L528">
        <f t="shared" si="144"/>
        <v>1.2979530138026767</v>
      </c>
      <c r="M528">
        <f t="shared" si="145"/>
        <v>0.992358208481531</v>
      </c>
      <c r="N528">
        <f t="shared" si="146"/>
        <v>0.99928008599569607</v>
      </c>
      <c r="O528">
        <v>4.5004490409645539E-3</v>
      </c>
      <c r="P528">
        <v>5.9302842742024013E-3</v>
      </c>
      <c r="Q528">
        <f t="shared" si="147"/>
        <v>3782.1784698197534</v>
      </c>
      <c r="R528">
        <f t="shared" si="148"/>
        <v>3.7821784698197534</v>
      </c>
    </row>
    <row r="529" spans="1:18" x14ac:dyDescent="0.3">
      <c r="A529">
        <v>1.056</v>
      </c>
      <c r="B529" s="4"/>
      <c r="C529">
        <v>-43.231886357829502</v>
      </c>
      <c r="D529">
        <v>1.95</v>
      </c>
      <c r="E529">
        <f t="shared" si="149"/>
        <v>70.880327682102944</v>
      </c>
      <c r="F529">
        <f t="shared" si="138"/>
        <v>1.2321450566776061E-2</v>
      </c>
      <c r="G529">
        <f t="shared" si="139"/>
        <v>3.8107579072503284E-2</v>
      </c>
      <c r="H529">
        <f t="shared" si="140"/>
        <v>82.440100632281442</v>
      </c>
      <c r="I529">
        <f t="shared" si="141"/>
        <v>1.062109047395259</v>
      </c>
      <c r="J529">
        <f t="shared" si="142"/>
        <v>1.2464677736414984</v>
      </c>
      <c r="K529">
        <f t="shared" si="143"/>
        <v>0.53026057298364393</v>
      </c>
      <c r="L529">
        <f t="shared" si="144"/>
        <v>1.2979530138026767</v>
      </c>
      <c r="M529">
        <f t="shared" si="145"/>
        <v>1.0017631043413397</v>
      </c>
      <c r="N529">
        <f t="shared" si="146"/>
        <v>0.99824963907398867</v>
      </c>
      <c r="O529">
        <v>4.295047656093307E-3</v>
      </c>
      <c r="P529">
        <v>6.1091811181969696E-3</v>
      </c>
      <c r="Q529">
        <f t="shared" si="147"/>
        <v>3782.1784698197534</v>
      </c>
      <c r="R529">
        <f t="shared" si="148"/>
        <v>3.7821784698197534</v>
      </c>
    </row>
    <row r="530" spans="1:18" x14ac:dyDescent="0.3">
      <c r="A530">
        <v>1.0580000000000001</v>
      </c>
      <c r="B530" s="4"/>
      <c r="C530">
        <v>-43.231886357829502</v>
      </c>
      <c r="D530">
        <v>1.95</v>
      </c>
      <c r="E530">
        <f t="shared" si="149"/>
        <v>70.880327682102944</v>
      </c>
      <c r="F530">
        <f t="shared" si="138"/>
        <v>1.2321450566776061E-2</v>
      </c>
      <c r="G530">
        <f t="shared" si="139"/>
        <v>3.8107579072503284E-2</v>
      </c>
      <c r="H530">
        <f t="shared" si="140"/>
        <v>82.440100632281442</v>
      </c>
      <c r="I530">
        <f t="shared" si="141"/>
        <v>1.062109047395259</v>
      </c>
      <c r="J530">
        <f t="shared" si="142"/>
        <v>1.2464677736414984</v>
      </c>
      <c r="K530">
        <f t="shared" si="143"/>
        <v>0.53026057298364393</v>
      </c>
      <c r="L530">
        <f t="shared" si="144"/>
        <v>1.2979530138026767</v>
      </c>
      <c r="M530">
        <f t="shared" si="145"/>
        <v>0.99418439602766995</v>
      </c>
      <c r="N530">
        <f t="shared" si="146"/>
        <v>0.99686281245288555</v>
      </c>
      <c r="O530">
        <v>4.0544585954635625E-3</v>
      </c>
      <c r="P530">
        <v>6.2621206034961909E-3</v>
      </c>
      <c r="Q530">
        <f t="shared" si="147"/>
        <v>3782.1784698197534</v>
      </c>
      <c r="R530">
        <f t="shared" si="148"/>
        <v>3.7821784698197534</v>
      </c>
    </row>
    <row r="531" spans="1:18" x14ac:dyDescent="0.3">
      <c r="A531">
        <v>1.06</v>
      </c>
      <c r="B531" s="4"/>
      <c r="C531">
        <v>-43.231886357829502</v>
      </c>
      <c r="D531">
        <v>1.95</v>
      </c>
      <c r="E531">
        <f t="shared" si="149"/>
        <v>70.880327682102944</v>
      </c>
      <c r="F531">
        <f t="shared" si="138"/>
        <v>1.2321450566776061E-2</v>
      </c>
      <c r="G531">
        <f t="shared" si="139"/>
        <v>3.8107579072503284E-2</v>
      </c>
      <c r="H531">
        <f t="shared" si="140"/>
        <v>82.440100632281442</v>
      </c>
      <c r="I531">
        <f t="shared" si="141"/>
        <v>1.062109047395259</v>
      </c>
      <c r="J531">
        <f t="shared" si="142"/>
        <v>1.2464677736414984</v>
      </c>
      <c r="K531">
        <f t="shared" si="143"/>
        <v>0.53026057298364393</v>
      </c>
      <c r="L531">
        <f t="shared" si="144"/>
        <v>1.2979530138026767</v>
      </c>
      <c r="M531">
        <f t="shared" si="145"/>
        <v>1.0007656777866476</v>
      </c>
      <c r="N531">
        <f t="shared" si="146"/>
        <v>0.99531405649187821</v>
      </c>
      <c r="O531">
        <v>3.8886010548012172E-3</v>
      </c>
      <c r="P531">
        <v>6.3868720970497546E-3</v>
      </c>
      <c r="Q531">
        <f t="shared" si="147"/>
        <v>3782.1784698197534</v>
      </c>
      <c r="R531">
        <f t="shared" si="148"/>
        <v>3.7821784698197534</v>
      </c>
    </row>
    <row r="532" spans="1:18" x14ac:dyDescent="0.3">
      <c r="A532">
        <v>1.0620000000000001</v>
      </c>
      <c r="B532" s="4"/>
      <c r="C532">
        <v>-43.231886357829502</v>
      </c>
      <c r="D532">
        <v>1.95</v>
      </c>
      <c r="E532">
        <f t="shared" si="149"/>
        <v>70.880327682102944</v>
      </c>
      <c r="F532">
        <f t="shared" si="138"/>
        <v>1.2321450566776061E-2</v>
      </c>
      <c r="G532">
        <f t="shared" si="139"/>
        <v>3.8107579072503284E-2</v>
      </c>
      <c r="H532">
        <f t="shared" si="140"/>
        <v>82.440100632281442</v>
      </c>
      <c r="I532">
        <f t="shared" si="141"/>
        <v>1.062109047395259</v>
      </c>
      <c r="J532">
        <f t="shared" si="142"/>
        <v>1.2464677736414984</v>
      </c>
      <c r="K532">
        <f t="shared" si="143"/>
        <v>0.53026057298364393</v>
      </c>
      <c r="L532">
        <f t="shared" si="144"/>
        <v>1.2979530138026767</v>
      </c>
      <c r="M532">
        <f t="shared" si="145"/>
        <v>1.0030620237732566</v>
      </c>
      <c r="N532">
        <f t="shared" si="146"/>
        <v>0.99384730034580404</v>
      </c>
      <c r="O532">
        <v>3.745456135387406E-3</v>
      </c>
      <c r="P532">
        <v>6.4817931242309446E-3</v>
      </c>
      <c r="Q532">
        <f t="shared" si="147"/>
        <v>3782.1784698197534</v>
      </c>
      <c r="R532">
        <f t="shared" si="148"/>
        <v>3.7821784698197534</v>
      </c>
    </row>
    <row r="533" spans="1:18" x14ac:dyDescent="0.3">
      <c r="A533">
        <v>1.0640000000000001</v>
      </c>
      <c r="B533" s="4"/>
      <c r="C533">
        <v>-43.231886357829502</v>
      </c>
      <c r="D533">
        <v>1.95</v>
      </c>
      <c r="E533">
        <f t="shared" si="149"/>
        <v>70.880327682102944</v>
      </c>
      <c r="F533">
        <f t="shared" si="138"/>
        <v>1.2321450566776061E-2</v>
      </c>
      <c r="G533">
        <f t="shared" si="139"/>
        <v>3.8107579072503284E-2</v>
      </c>
      <c r="H533">
        <f t="shared" si="140"/>
        <v>82.440100632281442</v>
      </c>
      <c r="I533">
        <f t="shared" si="141"/>
        <v>1.062109047395259</v>
      </c>
      <c r="J533">
        <f t="shared" si="142"/>
        <v>1.2464677736414984</v>
      </c>
      <c r="K533">
        <f t="shared" si="143"/>
        <v>0.53026057298364393</v>
      </c>
      <c r="L533">
        <f t="shared" si="144"/>
        <v>1.2979530138026767</v>
      </c>
      <c r="M533">
        <f t="shared" si="145"/>
        <v>1.0054965178914057</v>
      </c>
      <c r="N533">
        <f t="shared" si="146"/>
        <v>0.99270453265880165</v>
      </c>
      <c r="O533">
        <v>3.6480269053483019E-3</v>
      </c>
      <c r="P533">
        <v>6.5457375532261839E-3</v>
      </c>
      <c r="Q533">
        <f t="shared" si="147"/>
        <v>3782.1784698197534</v>
      </c>
      <c r="R533">
        <f t="shared" si="148"/>
        <v>3.7821784698197534</v>
      </c>
    </row>
    <row r="534" spans="1:18" x14ac:dyDescent="0.3">
      <c r="A534">
        <v>1.0660000000000001</v>
      </c>
      <c r="B534" s="4"/>
      <c r="C534">
        <v>-43.231886357829502</v>
      </c>
      <c r="D534">
        <v>1.95</v>
      </c>
      <c r="E534">
        <f t="shared" si="149"/>
        <v>70.880327682102944</v>
      </c>
      <c r="F534">
        <f t="shared" si="138"/>
        <v>1.2321450566776061E-2</v>
      </c>
      <c r="G534">
        <f t="shared" si="139"/>
        <v>3.8107579072503284E-2</v>
      </c>
      <c r="H534">
        <f t="shared" si="140"/>
        <v>82.440100632281442</v>
      </c>
      <c r="I534">
        <f t="shared" si="141"/>
        <v>1.062109047395259</v>
      </c>
      <c r="J534">
        <f t="shared" si="142"/>
        <v>1.2464677736414984</v>
      </c>
      <c r="K534">
        <f t="shared" si="143"/>
        <v>0.53026057298364393</v>
      </c>
      <c r="L534">
        <f t="shared" si="144"/>
        <v>1.2979530138026767</v>
      </c>
      <c r="M534">
        <f t="shared" si="145"/>
        <v>1.0096348103352542</v>
      </c>
      <c r="N534">
        <f t="shared" si="146"/>
        <v>0.99207805346407785</v>
      </c>
      <c r="O534">
        <v>3.6084681499625707E-3</v>
      </c>
      <c r="P534">
        <v>6.5779826245296142E-3</v>
      </c>
      <c r="Q534">
        <f t="shared" si="147"/>
        <v>3782.1784698197534</v>
      </c>
      <c r="R534">
        <f t="shared" si="148"/>
        <v>3.7821784698197534</v>
      </c>
    </row>
    <row r="535" spans="1:18" x14ac:dyDescent="0.3">
      <c r="A535">
        <v>1.0680000000000001</v>
      </c>
      <c r="B535" s="4"/>
      <c r="C535">
        <v>-43.231886357829502</v>
      </c>
      <c r="D535">
        <v>1.95</v>
      </c>
      <c r="E535">
        <f t="shared" si="149"/>
        <v>70.880327682102944</v>
      </c>
      <c r="F535">
        <f t="shared" si="138"/>
        <v>1.2321450566776061E-2</v>
      </c>
      <c r="G535">
        <f t="shared" si="139"/>
        <v>3.8107579072503284E-2</v>
      </c>
      <c r="H535">
        <f t="shared" si="140"/>
        <v>82.440100632281442</v>
      </c>
      <c r="I535">
        <f t="shared" si="141"/>
        <v>1.062109047395259</v>
      </c>
      <c r="J535">
        <f t="shared" si="142"/>
        <v>1.2464677736414984</v>
      </c>
      <c r="K535">
        <f t="shared" si="143"/>
        <v>0.53026057298364393</v>
      </c>
      <c r="L535">
        <f t="shared" si="144"/>
        <v>1.2979530138026767</v>
      </c>
      <c r="M535">
        <f t="shared" si="145"/>
        <v>1.0097247018921247</v>
      </c>
      <c r="N535">
        <f t="shared" si="146"/>
        <v>0.99207413778180853</v>
      </c>
      <c r="O535">
        <v>3.6084681499625707E-3</v>
      </c>
      <c r="P535">
        <v>6.5781787030885783E-3</v>
      </c>
      <c r="Q535">
        <f t="shared" si="147"/>
        <v>3782.1784698197534</v>
      </c>
      <c r="R535">
        <f t="shared" si="148"/>
        <v>3.7821784698197534</v>
      </c>
    </row>
    <row r="536" spans="1:18" x14ac:dyDescent="0.3">
      <c r="A536">
        <v>1.07</v>
      </c>
      <c r="B536" s="4"/>
      <c r="C536">
        <v>-43.231886357829502</v>
      </c>
      <c r="D536">
        <v>1.95</v>
      </c>
      <c r="E536">
        <f t="shared" si="149"/>
        <v>70.880327682102944</v>
      </c>
      <c r="F536">
        <f t="shared" si="138"/>
        <v>1.2321450566776061E-2</v>
      </c>
      <c r="G536">
        <f t="shared" si="139"/>
        <v>3.8107579072503284E-2</v>
      </c>
      <c r="H536">
        <f t="shared" si="140"/>
        <v>82.440100632281442</v>
      </c>
      <c r="I536">
        <f t="shared" si="141"/>
        <v>1.062109047395259</v>
      </c>
      <c r="J536">
        <f t="shared" si="142"/>
        <v>1.2464677736414984</v>
      </c>
      <c r="K536">
        <f t="shared" si="143"/>
        <v>0.53026057298364393</v>
      </c>
      <c r="L536">
        <f t="shared" si="144"/>
        <v>1.2979530138026767</v>
      </c>
      <c r="M536">
        <f t="shared" si="145"/>
        <v>1.0055222169039366</v>
      </c>
      <c r="N536">
        <f t="shared" si="146"/>
        <v>0.99269345131109865</v>
      </c>
      <c r="O536">
        <v>3.6471300776500593E-3</v>
      </c>
      <c r="P536">
        <v>6.5463236929763913E-3</v>
      </c>
      <c r="Q536">
        <f t="shared" si="147"/>
        <v>3782.1784698197534</v>
      </c>
      <c r="R536">
        <f t="shared" si="148"/>
        <v>3.7821784698197534</v>
      </c>
    </row>
    <row r="537" spans="1:18" x14ac:dyDescent="0.3">
      <c r="A537">
        <v>1.0720000000000001</v>
      </c>
      <c r="B537" s="4"/>
      <c r="C537">
        <v>-43.231886357829502</v>
      </c>
      <c r="D537">
        <v>1.95</v>
      </c>
      <c r="E537">
        <f t="shared" si="149"/>
        <v>70.880327682102944</v>
      </c>
      <c r="F537">
        <f t="shared" si="138"/>
        <v>1.2321450566776061E-2</v>
      </c>
      <c r="G537">
        <f t="shared" si="139"/>
        <v>3.8107579072503284E-2</v>
      </c>
      <c r="H537">
        <f t="shared" si="140"/>
        <v>82.440100632281442</v>
      </c>
      <c r="I537">
        <f t="shared" si="141"/>
        <v>1.062109047395259</v>
      </c>
      <c r="J537">
        <f t="shared" si="142"/>
        <v>1.2464677736414984</v>
      </c>
      <c r="K537">
        <f t="shared" si="143"/>
        <v>0.53026057298364393</v>
      </c>
      <c r="L537">
        <f t="shared" si="144"/>
        <v>1.2979530138026767</v>
      </c>
      <c r="M537">
        <f t="shared" si="145"/>
        <v>1.0030935327373625</v>
      </c>
      <c r="N537">
        <f t="shared" si="146"/>
        <v>0.99383092877014001</v>
      </c>
      <c r="O537">
        <v>3.7439845968147475E-3</v>
      </c>
      <c r="P537">
        <v>6.4827628813925982E-3</v>
      </c>
      <c r="Q537">
        <f t="shared" si="147"/>
        <v>3782.1784698197534</v>
      </c>
      <c r="R537">
        <f t="shared" si="148"/>
        <v>3.7821784698197534</v>
      </c>
    </row>
    <row r="538" spans="1:18" x14ac:dyDescent="0.3">
      <c r="A538">
        <v>1.0740000000000001</v>
      </c>
      <c r="B538" s="4"/>
      <c r="C538">
        <v>-43.231886357829502</v>
      </c>
      <c r="D538">
        <v>1.95</v>
      </c>
      <c r="E538">
        <f t="shared" si="149"/>
        <v>70.880327682102944</v>
      </c>
      <c r="F538">
        <f t="shared" si="138"/>
        <v>1.2321450566776061E-2</v>
      </c>
      <c r="G538">
        <f t="shared" si="139"/>
        <v>3.8107579072503284E-2</v>
      </c>
      <c r="H538">
        <f t="shared" si="140"/>
        <v>82.440100632281442</v>
      </c>
      <c r="I538">
        <f t="shared" si="141"/>
        <v>1.062109047395259</v>
      </c>
      <c r="J538">
        <f t="shared" si="142"/>
        <v>1.2464677736414984</v>
      </c>
      <c r="K538">
        <f t="shared" si="143"/>
        <v>0.53026057298364393</v>
      </c>
      <c r="L538">
        <f t="shared" si="144"/>
        <v>1.2979530138026767</v>
      </c>
      <c r="M538">
        <f t="shared" si="145"/>
        <v>1.0007874278916848</v>
      </c>
      <c r="N538">
        <f t="shared" si="146"/>
        <v>0.99529513138129055</v>
      </c>
      <c r="O538">
        <v>3.8865893078793953E-3</v>
      </c>
      <c r="P538">
        <v>6.3882142162138642E-3</v>
      </c>
      <c r="Q538">
        <f t="shared" si="147"/>
        <v>3782.1784698197534</v>
      </c>
      <c r="R538">
        <f t="shared" si="148"/>
        <v>3.7821784698197534</v>
      </c>
    </row>
    <row r="539" spans="1:18" x14ac:dyDescent="0.3">
      <c r="A539">
        <v>1.0760000000000001</v>
      </c>
      <c r="B539" s="4"/>
      <c r="C539">
        <v>-43.231886357829502</v>
      </c>
      <c r="D539">
        <v>1.95</v>
      </c>
      <c r="E539">
        <f t="shared" si="149"/>
        <v>70.880327682102944</v>
      </c>
      <c r="F539">
        <f t="shared" si="138"/>
        <v>1.2321450566776061E-2</v>
      </c>
      <c r="G539">
        <f t="shared" si="139"/>
        <v>3.8107579072503284E-2</v>
      </c>
      <c r="H539">
        <f t="shared" si="140"/>
        <v>82.440100632281442</v>
      </c>
      <c r="I539">
        <f t="shared" si="141"/>
        <v>1.062109047395259</v>
      </c>
      <c r="J539">
        <f t="shared" si="142"/>
        <v>1.2464677736414984</v>
      </c>
      <c r="K539">
        <f t="shared" si="143"/>
        <v>0.53026057298364393</v>
      </c>
      <c r="L539">
        <f t="shared" si="144"/>
        <v>1.2979530138026767</v>
      </c>
      <c r="M539">
        <f t="shared" si="145"/>
        <v>0.99492628595034227</v>
      </c>
      <c r="N539">
        <f t="shared" si="146"/>
        <v>0.99684440565925991</v>
      </c>
      <c r="O539">
        <v>4.0544585954635625E-3</v>
      </c>
      <c r="P539">
        <v>6.2638182612876634E-3</v>
      </c>
      <c r="Q539">
        <f t="shared" si="147"/>
        <v>3782.1784698197534</v>
      </c>
      <c r="R539">
        <f t="shared" si="148"/>
        <v>3.7821784698197534</v>
      </c>
    </row>
    <row r="540" spans="1:18" x14ac:dyDescent="0.3">
      <c r="A540">
        <v>1.0780000000000001</v>
      </c>
      <c r="B540" s="4"/>
      <c r="C540">
        <v>-43.231886357829502</v>
      </c>
      <c r="D540">
        <v>1.95</v>
      </c>
      <c r="E540">
        <f t="shared" si="149"/>
        <v>70.880327682102944</v>
      </c>
      <c r="F540">
        <f t="shared" si="138"/>
        <v>1.2321450566776061E-2</v>
      </c>
      <c r="G540">
        <f t="shared" si="139"/>
        <v>3.8107579072503284E-2</v>
      </c>
      <c r="H540">
        <f t="shared" si="140"/>
        <v>82.440100632281442</v>
      </c>
      <c r="I540">
        <f t="shared" si="141"/>
        <v>1.062109047395259</v>
      </c>
      <c r="J540">
        <f t="shared" si="142"/>
        <v>1.2464677736414984</v>
      </c>
      <c r="K540">
        <f t="shared" si="143"/>
        <v>0.53026057298364393</v>
      </c>
      <c r="L540">
        <f t="shared" si="144"/>
        <v>1.2979530138026767</v>
      </c>
      <c r="M540">
        <f t="shared" si="145"/>
        <v>1.001716558610658</v>
      </c>
      <c r="N540">
        <f t="shared" si="146"/>
        <v>0.99823453433569709</v>
      </c>
      <c r="O540">
        <v>4.292140635011263E-3</v>
      </c>
      <c r="P540">
        <v>6.1112109079000214E-3</v>
      </c>
      <c r="Q540">
        <f t="shared" si="147"/>
        <v>3782.1784698197534</v>
      </c>
      <c r="R540">
        <f t="shared" si="148"/>
        <v>3.7821784698197534</v>
      </c>
    </row>
    <row r="541" spans="1:18" x14ac:dyDescent="0.3">
      <c r="A541">
        <v>1.08</v>
      </c>
      <c r="B541" s="4"/>
      <c r="C541">
        <v>-43.231886357829502</v>
      </c>
      <c r="D541">
        <v>1.95</v>
      </c>
      <c r="E541">
        <f t="shared" si="149"/>
        <v>70.880327682102944</v>
      </c>
      <c r="F541">
        <f t="shared" si="138"/>
        <v>1.2321450566776061E-2</v>
      </c>
      <c r="G541">
        <f t="shared" si="139"/>
        <v>3.8107579072503284E-2</v>
      </c>
      <c r="H541">
        <f t="shared" si="140"/>
        <v>82.440100632281442</v>
      </c>
      <c r="I541">
        <f t="shared" si="141"/>
        <v>1.062109047395259</v>
      </c>
      <c r="J541">
        <f t="shared" si="142"/>
        <v>1.2464677736414984</v>
      </c>
      <c r="K541">
        <f t="shared" si="143"/>
        <v>0.53026057298364393</v>
      </c>
      <c r="L541">
        <f t="shared" si="144"/>
        <v>1.2979530138026767</v>
      </c>
      <c r="M541">
        <f t="shared" si="145"/>
        <v>0.99332836742425323</v>
      </c>
      <c r="N541">
        <f t="shared" si="146"/>
        <v>0.99927016569066207</v>
      </c>
      <c r="O541">
        <v>4.5004490409645539E-3</v>
      </c>
      <c r="P541">
        <v>5.9326149942691116E-3</v>
      </c>
      <c r="Q541">
        <f t="shared" si="147"/>
        <v>3782.1784698197534</v>
      </c>
      <c r="R541">
        <f t="shared" si="148"/>
        <v>3.7821784698197534</v>
      </c>
    </row>
    <row r="542" spans="1:18" x14ac:dyDescent="0.3">
      <c r="A542">
        <v>1.0820000000000001</v>
      </c>
      <c r="B542" s="4"/>
      <c r="C542">
        <v>-43.231886357829502</v>
      </c>
      <c r="D542">
        <v>1.95</v>
      </c>
      <c r="E542">
        <f t="shared" si="149"/>
        <v>70.880327682102944</v>
      </c>
      <c r="F542">
        <f t="shared" si="138"/>
        <v>1.2321450566776061E-2</v>
      </c>
      <c r="G542">
        <f t="shared" si="139"/>
        <v>3.8107579072503284E-2</v>
      </c>
      <c r="H542">
        <f t="shared" si="140"/>
        <v>82.440100632281442</v>
      </c>
      <c r="I542">
        <f t="shared" si="141"/>
        <v>1.062109047395259</v>
      </c>
      <c r="J542">
        <f t="shared" si="142"/>
        <v>1.2464677736414984</v>
      </c>
      <c r="K542">
        <f t="shared" si="143"/>
        <v>0.53026057298364393</v>
      </c>
      <c r="L542">
        <f t="shared" si="144"/>
        <v>1.2979530138026767</v>
      </c>
      <c r="M542">
        <f t="shared" si="145"/>
        <v>1.0071794575938069</v>
      </c>
      <c r="N542">
        <f t="shared" si="146"/>
        <v>1.0084245916260546</v>
      </c>
      <c r="O542">
        <v>4.7861110313970924E-3</v>
      </c>
      <c r="P542">
        <v>5.7518308983890752E-3</v>
      </c>
      <c r="Q542">
        <f t="shared" si="147"/>
        <v>3782.1784698197534</v>
      </c>
      <c r="R542">
        <f t="shared" si="148"/>
        <v>3.7821784698197534</v>
      </c>
    </row>
    <row r="543" spans="1:18" x14ac:dyDescent="0.3">
      <c r="A543">
        <v>1.0840000000000001</v>
      </c>
      <c r="B543" s="4"/>
      <c r="C543">
        <v>-43.231886357829502</v>
      </c>
      <c r="D543">
        <v>1.95</v>
      </c>
      <c r="E543">
        <f t="shared" si="149"/>
        <v>70.880327682102944</v>
      </c>
      <c r="F543">
        <f t="shared" si="138"/>
        <v>1.2321450566776061E-2</v>
      </c>
      <c r="G543">
        <f t="shared" si="139"/>
        <v>3.8107579072503284E-2</v>
      </c>
      <c r="H543">
        <f t="shared" si="140"/>
        <v>82.440100632281442</v>
      </c>
      <c r="I543">
        <f t="shared" si="141"/>
        <v>1.062109047395259</v>
      </c>
      <c r="J543">
        <f t="shared" si="142"/>
        <v>1.2464677736414984</v>
      </c>
      <c r="K543">
        <f t="shared" si="143"/>
        <v>0.53026057298364393</v>
      </c>
      <c r="L543">
        <f t="shared" si="144"/>
        <v>1.2979530138026767</v>
      </c>
      <c r="M543">
        <f t="shared" si="145"/>
        <v>0.998932515502024</v>
      </c>
      <c r="N543">
        <f t="shared" si="146"/>
        <v>1.0081993883888256</v>
      </c>
      <c r="O543">
        <v>5.010590611474579E-3</v>
      </c>
      <c r="P543">
        <v>5.5305989827073481E-3</v>
      </c>
      <c r="Q543">
        <f t="shared" si="147"/>
        <v>3782.1784698197534</v>
      </c>
      <c r="R543">
        <f t="shared" si="148"/>
        <v>3.7821784698197534</v>
      </c>
    </row>
    <row r="544" spans="1:18" x14ac:dyDescent="0.3">
      <c r="A544">
        <v>1.0860000000000001</v>
      </c>
      <c r="B544" s="4"/>
      <c r="C544">
        <v>-43.231886357829502</v>
      </c>
      <c r="D544">
        <v>1.95</v>
      </c>
      <c r="E544">
        <f t="shared" si="149"/>
        <v>70.880327682102944</v>
      </c>
      <c r="F544">
        <f t="shared" si="138"/>
        <v>1.2321450566776061E-2</v>
      </c>
      <c r="G544">
        <f t="shared" si="139"/>
        <v>3.8107579072503284E-2</v>
      </c>
      <c r="H544">
        <f t="shared" si="140"/>
        <v>82.440100632281442</v>
      </c>
      <c r="I544">
        <f t="shared" si="141"/>
        <v>1.062109047395259</v>
      </c>
      <c r="J544">
        <f t="shared" si="142"/>
        <v>1.2464677736414984</v>
      </c>
      <c r="K544">
        <f t="shared" si="143"/>
        <v>0.53026057298364393</v>
      </c>
      <c r="L544">
        <f t="shared" si="144"/>
        <v>1.2979530138026767</v>
      </c>
      <c r="M544">
        <f t="shared" si="145"/>
        <v>0.9984532266946633</v>
      </c>
      <c r="N544">
        <f t="shared" si="146"/>
        <v>0.9985191959485169</v>
      </c>
      <c r="O544">
        <v>5.2544508970179165E-3</v>
      </c>
      <c r="P544">
        <v>5.2705557902132938E-3</v>
      </c>
      <c r="Q544">
        <f t="shared" si="147"/>
        <v>3782.1784698197534</v>
      </c>
      <c r="R544">
        <f t="shared" si="148"/>
        <v>3.7821784698197534</v>
      </c>
    </row>
    <row r="545" spans="1:18" x14ac:dyDescent="0.3">
      <c r="A545">
        <v>1.0880000000000001</v>
      </c>
      <c r="B545" s="4">
        <v>53</v>
      </c>
      <c r="C545">
        <v>-42.741643312254403</v>
      </c>
      <c r="D545">
        <v>1.95</v>
      </c>
      <c r="E545">
        <f>$E$544+$R$544</f>
        <v>74.662506151922699</v>
      </c>
      <c r="F545">
        <f t="shared" si="138"/>
        <v>1.2645915119130146E-2</v>
      </c>
      <c r="G545">
        <f t="shared" si="139"/>
        <v>3.9111077688031383E-2</v>
      </c>
      <c r="H545">
        <f t="shared" si="140"/>
        <v>80.324880808671011</v>
      </c>
      <c r="I545">
        <f t="shared" si="141"/>
        <v>1.0589172074407021</v>
      </c>
      <c r="J545">
        <f t="shared" si="142"/>
        <v>1.2332985832092564</v>
      </c>
      <c r="K545">
        <f t="shared" si="143"/>
        <v>0.53281176887050952</v>
      </c>
      <c r="L545">
        <f t="shared" si="144"/>
        <v>1.2933921404166939</v>
      </c>
      <c r="M545">
        <f t="shared" si="145"/>
        <v>1.0008270821729939</v>
      </c>
      <c r="N545">
        <f t="shared" si="146"/>
        <v>0.9950770755368159</v>
      </c>
      <c r="O545">
        <v>3.8826592842592382E-3</v>
      </c>
      <c r="P545">
        <v>6.4040936155723193E-3</v>
      </c>
      <c r="Q545">
        <f t="shared" si="147"/>
        <v>3790.3324948264876</v>
      </c>
      <c r="R545">
        <f t="shared" si="148"/>
        <v>3.7903324948264876</v>
      </c>
    </row>
    <row r="546" spans="1:18" x14ac:dyDescent="0.3">
      <c r="A546">
        <v>1.0900000000000001</v>
      </c>
      <c r="B546" s="4"/>
      <c r="C546">
        <v>-42.741643312254403</v>
      </c>
      <c r="D546">
        <v>1.95</v>
      </c>
      <c r="E546">
        <f t="shared" ref="E546:E563" si="150">$E$544+$R$544</f>
        <v>74.662506151922699</v>
      </c>
      <c r="F546">
        <f t="shared" si="138"/>
        <v>1.2645915119130146E-2</v>
      </c>
      <c r="G546">
        <f t="shared" si="139"/>
        <v>3.9111077688031383E-2</v>
      </c>
      <c r="H546">
        <f t="shared" si="140"/>
        <v>80.324880808671011</v>
      </c>
      <c r="I546">
        <f t="shared" si="141"/>
        <v>1.0589172074407021</v>
      </c>
      <c r="J546">
        <f t="shared" si="142"/>
        <v>1.2332985832092564</v>
      </c>
      <c r="K546">
        <f t="shared" si="143"/>
        <v>0.53281176887050952</v>
      </c>
      <c r="L546">
        <f t="shared" si="144"/>
        <v>1.2933921404166939</v>
      </c>
      <c r="M546">
        <f t="shared" si="145"/>
        <v>1.0030934044745619</v>
      </c>
      <c r="N546">
        <f t="shared" si="146"/>
        <v>0.99361917145526757</v>
      </c>
      <c r="O546">
        <v>3.7433326837228932E-3</v>
      </c>
      <c r="P546">
        <v>6.4958323537515983E-3</v>
      </c>
      <c r="Q546">
        <f t="shared" si="147"/>
        <v>3790.3324948264876</v>
      </c>
      <c r="R546">
        <f t="shared" si="148"/>
        <v>3.7903324948264876</v>
      </c>
    </row>
    <row r="547" spans="1:18" x14ac:dyDescent="0.3">
      <c r="A547">
        <v>1.0920000000000001</v>
      </c>
      <c r="B547" s="4"/>
      <c r="C547">
        <v>-42.741643312254403</v>
      </c>
      <c r="D547">
        <v>1.95</v>
      </c>
      <c r="E547">
        <f t="shared" si="150"/>
        <v>74.662506151922699</v>
      </c>
      <c r="F547">
        <f t="shared" si="138"/>
        <v>1.2645915119130146E-2</v>
      </c>
      <c r="G547">
        <f t="shared" si="139"/>
        <v>3.9111077688031383E-2</v>
      </c>
      <c r="H547">
        <f t="shared" si="140"/>
        <v>80.324880808671011</v>
      </c>
      <c r="I547">
        <f t="shared" si="141"/>
        <v>1.0589172074407021</v>
      </c>
      <c r="J547">
        <f t="shared" si="142"/>
        <v>1.2332985832092564</v>
      </c>
      <c r="K547">
        <f t="shared" si="143"/>
        <v>0.53281176887050952</v>
      </c>
      <c r="L547">
        <f t="shared" si="144"/>
        <v>1.2933921404166939</v>
      </c>
      <c r="M547">
        <f t="shared" si="145"/>
        <v>1.0054778187524862</v>
      </c>
      <c r="N547">
        <f t="shared" si="146"/>
        <v>0.99248162511265536</v>
      </c>
      <c r="O547">
        <v>3.6477926728339205E-3</v>
      </c>
      <c r="P547">
        <v>6.5580949171558569E-3</v>
      </c>
      <c r="Q547">
        <f t="shared" si="147"/>
        <v>3790.3324948264876</v>
      </c>
      <c r="R547">
        <f t="shared" si="148"/>
        <v>3.7903324948264876</v>
      </c>
    </row>
    <row r="548" spans="1:18" x14ac:dyDescent="0.3">
      <c r="A548">
        <v>1.0940000000000001</v>
      </c>
      <c r="B548" s="4"/>
      <c r="C548">
        <v>-42.741643312254403</v>
      </c>
      <c r="D548">
        <v>1.95</v>
      </c>
      <c r="E548">
        <f t="shared" si="150"/>
        <v>74.662506151922699</v>
      </c>
      <c r="F548">
        <f t="shared" si="138"/>
        <v>1.2645915119130146E-2</v>
      </c>
      <c r="G548">
        <f t="shared" si="139"/>
        <v>3.9111077688031383E-2</v>
      </c>
      <c r="H548">
        <f t="shared" si="140"/>
        <v>80.324880808671011</v>
      </c>
      <c r="I548">
        <f t="shared" si="141"/>
        <v>1.0589172074407021</v>
      </c>
      <c r="J548">
        <f t="shared" si="142"/>
        <v>1.2332985832092564</v>
      </c>
      <c r="K548">
        <f t="shared" si="143"/>
        <v>0.53281176887050952</v>
      </c>
      <c r="L548">
        <f t="shared" si="144"/>
        <v>1.2933921404166939</v>
      </c>
      <c r="M548">
        <f t="shared" si="145"/>
        <v>1.0097139102013888</v>
      </c>
      <c r="N548">
        <f t="shared" si="146"/>
        <v>0.99184482872504309</v>
      </c>
      <c r="O548">
        <v>3.6084681499625707E-3</v>
      </c>
      <c r="P548">
        <v>6.5902281787264027E-3</v>
      </c>
      <c r="Q548">
        <f t="shared" si="147"/>
        <v>3790.3324948264876</v>
      </c>
      <c r="R548">
        <f t="shared" si="148"/>
        <v>3.7903324948264876</v>
      </c>
    </row>
    <row r="549" spans="1:18" x14ac:dyDescent="0.3">
      <c r="A549">
        <v>1.0960000000000001</v>
      </c>
      <c r="B549" s="4"/>
      <c r="C549">
        <v>-42.741643312254403</v>
      </c>
      <c r="D549">
        <v>1.95</v>
      </c>
      <c r="E549">
        <f t="shared" si="150"/>
        <v>74.662506151922699</v>
      </c>
      <c r="F549">
        <f t="shared" si="138"/>
        <v>1.2645915119130146E-2</v>
      </c>
      <c r="G549">
        <f t="shared" si="139"/>
        <v>3.9111077688031383E-2</v>
      </c>
      <c r="H549">
        <f t="shared" si="140"/>
        <v>80.324880808671011</v>
      </c>
      <c r="I549">
        <f t="shared" si="141"/>
        <v>1.0589172074407021</v>
      </c>
      <c r="J549">
        <f t="shared" si="142"/>
        <v>1.2332985832092564</v>
      </c>
      <c r="K549">
        <f t="shared" si="143"/>
        <v>0.53281176887050952</v>
      </c>
      <c r="L549">
        <f t="shared" si="144"/>
        <v>1.2933921404166939</v>
      </c>
      <c r="M549">
        <f t="shared" si="145"/>
        <v>1.0006095500641718</v>
      </c>
      <c r="N549">
        <f t="shared" si="146"/>
        <v>0.99181055999473966</v>
      </c>
      <c r="O549">
        <v>3.5710781853521725E-3</v>
      </c>
      <c r="P549">
        <v>6.5919089756575656E-3</v>
      </c>
      <c r="Q549">
        <f t="shared" si="147"/>
        <v>3790.3324948264876</v>
      </c>
      <c r="R549">
        <f t="shared" si="148"/>
        <v>3.7903324948264876</v>
      </c>
    </row>
    <row r="550" spans="1:18" x14ac:dyDescent="0.3">
      <c r="A550">
        <v>1.0980000000000001</v>
      </c>
      <c r="B550" s="4"/>
      <c r="C550">
        <v>-42.741643312254403</v>
      </c>
      <c r="D550">
        <v>1.95</v>
      </c>
      <c r="E550">
        <f t="shared" si="150"/>
        <v>74.662506151922699</v>
      </c>
      <c r="F550">
        <f t="shared" si="138"/>
        <v>1.2645915119130146E-2</v>
      </c>
      <c r="G550">
        <f t="shared" si="139"/>
        <v>3.9111077688031383E-2</v>
      </c>
      <c r="H550">
        <f t="shared" si="140"/>
        <v>80.324880808671011</v>
      </c>
      <c r="I550">
        <f t="shared" si="141"/>
        <v>1.0589172074407021</v>
      </c>
      <c r="J550">
        <f t="shared" si="142"/>
        <v>1.2332985832092564</v>
      </c>
      <c r="K550">
        <f t="shared" si="143"/>
        <v>0.53281176887050952</v>
      </c>
      <c r="L550">
        <f t="shared" si="144"/>
        <v>1.2933921404166939</v>
      </c>
      <c r="M550">
        <f t="shared" si="145"/>
        <v>1.0057008582780771</v>
      </c>
      <c r="N550">
        <f t="shared" si="146"/>
        <v>0.9923843083588505</v>
      </c>
      <c r="O550">
        <v>3.640045913386012E-3</v>
      </c>
      <c r="P550">
        <v>6.5631206628119099E-3</v>
      </c>
      <c r="Q550">
        <f t="shared" si="147"/>
        <v>3790.3324948264876</v>
      </c>
      <c r="R550">
        <f t="shared" si="148"/>
        <v>3.7903324948264876</v>
      </c>
    </row>
    <row r="551" spans="1:18" x14ac:dyDescent="0.3">
      <c r="A551">
        <v>1.1000000000000001</v>
      </c>
      <c r="B551" s="4"/>
      <c r="C551">
        <v>-42.741643312254403</v>
      </c>
      <c r="D551">
        <v>1.95</v>
      </c>
      <c r="E551">
        <f t="shared" si="150"/>
        <v>74.662506151922699</v>
      </c>
      <c r="F551">
        <f t="shared" si="138"/>
        <v>1.2645915119130146E-2</v>
      </c>
      <c r="G551">
        <f t="shared" si="139"/>
        <v>3.9111077688031383E-2</v>
      </c>
      <c r="H551">
        <f t="shared" si="140"/>
        <v>80.324880808671011</v>
      </c>
      <c r="I551">
        <f t="shared" si="141"/>
        <v>1.0589172074407021</v>
      </c>
      <c r="J551">
        <f t="shared" si="142"/>
        <v>1.2332985832092564</v>
      </c>
      <c r="K551">
        <f t="shared" si="143"/>
        <v>0.53281176887050952</v>
      </c>
      <c r="L551">
        <f t="shared" si="144"/>
        <v>1.2933921404166939</v>
      </c>
      <c r="M551">
        <f t="shared" si="145"/>
        <v>1.0033717988603486</v>
      </c>
      <c r="N551">
        <f t="shared" si="146"/>
        <v>0.99347432998043939</v>
      </c>
      <c r="O551">
        <v>3.7306127687737837E-3</v>
      </c>
      <c r="P551">
        <v>6.504151883125019E-3</v>
      </c>
      <c r="Q551">
        <f t="shared" si="147"/>
        <v>3790.3324948264876</v>
      </c>
      <c r="R551">
        <f t="shared" si="148"/>
        <v>3.7903324948264876</v>
      </c>
    </row>
    <row r="552" spans="1:18" x14ac:dyDescent="0.3">
      <c r="A552">
        <v>1.1020000000000001</v>
      </c>
      <c r="B552" s="4"/>
      <c r="C552">
        <v>-42.741643312254403</v>
      </c>
      <c r="D552">
        <v>1.95</v>
      </c>
      <c r="E552">
        <f t="shared" si="150"/>
        <v>74.662506151922699</v>
      </c>
      <c r="F552">
        <f t="shared" si="138"/>
        <v>1.2645915119130146E-2</v>
      </c>
      <c r="G552">
        <f t="shared" si="139"/>
        <v>3.9111077688031383E-2</v>
      </c>
      <c r="H552">
        <f t="shared" si="140"/>
        <v>80.324880808671011</v>
      </c>
      <c r="I552">
        <f t="shared" si="141"/>
        <v>1.0589172074407021</v>
      </c>
      <c r="J552">
        <f t="shared" si="142"/>
        <v>1.2332985832092564</v>
      </c>
      <c r="K552">
        <f t="shared" si="143"/>
        <v>0.53281176887050952</v>
      </c>
      <c r="L552">
        <f t="shared" si="144"/>
        <v>1.2933921404166939</v>
      </c>
      <c r="M552">
        <f t="shared" si="145"/>
        <v>1.001031934531502</v>
      </c>
      <c r="N552">
        <f t="shared" si="146"/>
        <v>0.99490755163383082</v>
      </c>
      <c r="O552">
        <v>3.8652510735699402E-3</v>
      </c>
      <c r="P552">
        <v>6.4156175847714511E-3</v>
      </c>
      <c r="Q552">
        <f t="shared" si="147"/>
        <v>3790.3324948264876</v>
      </c>
      <c r="R552">
        <f t="shared" si="148"/>
        <v>3.7903324948264876</v>
      </c>
    </row>
    <row r="553" spans="1:18" x14ac:dyDescent="0.3">
      <c r="A553">
        <v>1.1040000000000001</v>
      </c>
      <c r="B553" s="4"/>
      <c r="C553">
        <v>-42.741643312254403</v>
      </c>
      <c r="D553">
        <v>1.95</v>
      </c>
      <c r="E553">
        <f t="shared" si="150"/>
        <v>74.662506151922699</v>
      </c>
      <c r="F553">
        <f t="shared" si="138"/>
        <v>1.2645915119130146E-2</v>
      </c>
      <c r="G553">
        <f t="shared" si="139"/>
        <v>3.9111077688031383E-2</v>
      </c>
      <c r="H553">
        <f t="shared" si="140"/>
        <v>80.324880808671011</v>
      </c>
      <c r="I553">
        <f t="shared" si="141"/>
        <v>1.0589172074407021</v>
      </c>
      <c r="J553">
        <f t="shared" si="142"/>
        <v>1.2332985832092564</v>
      </c>
      <c r="K553">
        <f t="shared" si="143"/>
        <v>0.53281176887050952</v>
      </c>
      <c r="L553">
        <f t="shared" si="144"/>
        <v>1.2933921404166939</v>
      </c>
      <c r="M553">
        <f t="shared" si="145"/>
        <v>1.0039933262157219</v>
      </c>
      <c r="N553">
        <f t="shared" si="146"/>
        <v>0.99646026611159211</v>
      </c>
      <c r="O553">
        <v>4.0544585954635625E-3</v>
      </c>
      <c r="P553">
        <v>6.2985017291405133E-3</v>
      </c>
      <c r="Q553">
        <f t="shared" si="147"/>
        <v>3790.3324948264876</v>
      </c>
      <c r="R553">
        <f t="shared" si="148"/>
        <v>3.7903324948264876</v>
      </c>
    </row>
    <row r="554" spans="1:18" x14ac:dyDescent="0.3">
      <c r="A554">
        <v>1.1060000000000001</v>
      </c>
      <c r="B554" s="4"/>
      <c r="C554">
        <v>-42.741643312254403</v>
      </c>
      <c r="D554">
        <v>1.95</v>
      </c>
      <c r="E554">
        <f t="shared" si="150"/>
        <v>74.662506151922699</v>
      </c>
      <c r="F554">
        <f t="shared" si="138"/>
        <v>1.2645915119130146E-2</v>
      </c>
      <c r="G554">
        <f t="shared" si="139"/>
        <v>3.9111077688031383E-2</v>
      </c>
      <c r="H554">
        <f t="shared" si="140"/>
        <v>80.324880808671011</v>
      </c>
      <c r="I554">
        <f t="shared" si="141"/>
        <v>1.0589172074407021</v>
      </c>
      <c r="J554">
        <f t="shared" si="142"/>
        <v>1.2332985832092564</v>
      </c>
      <c r="K554">
        <f t="shared" si="143"/>
        <v>0.53281176887050952</v>
      </c>
      <c r="L554">
        <f t="shared" si="144"/>
        <v>1.2933921404166939</v>
      </c>
      <c r="M554">
        <f t="shared" si="145"/>
        <v>1.0011276854906948</v>
      </c>
      <c r="N554">
        <f t="shared" si="146"/>
        <v>0.99789942198211223</v>
      </c>
      <c r="O554">
        <v>4.2516633763121543E-3</v>
      </c>
      <c r="P554">
        <v>6.1542202486445522E-3</v>
      </c>
      <c r="Q554">
        <f t="shared" si="147"/>
        <v>3790.3324948264876</v>
      </c>
      <c r="R554">
        <f t="shared" si="148"/>
        <v>3.7903324948264876</v>
      </c>
    </row>
    <row r="555" spans="1:18" x14ac:dyDescent="0.3">
      <c r="A555">
        <v>1.1080000000000001</v>
      </c>
      <c r="B555" s="4"/>
      <c r="C555">
        <v>-42.741643312254403</v>
      </c>
      <c r="D555">
        <v>1.95</v>
      </c>
      <c r="E555">
        <f t="shared" si="150"/>
        <v>74.662506151922699</v>
      </c>
      <c r="F555">
        <f t="shared" si="138"/>
        <v>1.2645915119130146E-2</v>
      </c>
      <c r="G555">
        <f t="shared" si="139"/>
        <v>3.9111077688031383E-2</v>
      </c>
      <c r="H555">
        <f t="shared" si="140"/>
        <v>80.324880808671011</v>
      </c>
      <c r="I555">
        <f t="shared" si="141"/>
        <v>1.0589172074407021</v>
      </c>
      <c r="J555">
        <f t="shared" si="142"/>
        <v>1.2332985832092564</v>
      </c>
      <c r="K555">
        <f t="shared" si="143"/>
        <v>0.53281176887050952</v>
      </c>
      <c r="L555">
        <f t="shared" si="144"/>
        <v>1.2933921404166939</v>
      </c>
      <c r="M555">
        <f t="shared" si="145"/>
        <v>1.006382660121852</v>
      </c>
      <c r="N555">
        <f t="shared" si="146"/>
        <v>0.99902831781647805</v>
      </c>
      <c r="O555">
        <v>4.4940527218176041E-3</v>
      </c>
      <c r="P555">
        <v>5.984701345129597E-3</v>
      </c>
      <c r="Q555">
        <f t="shared" si="147"/>
        <v>3790.3324948264876</v>
      </c>
      <c r="R555">
        <f t="shared" si="148"/>
        <v>3.7903324948264876</v>
      </c>
    </row>
    <row r="556" spans="1:18" x14ac:dyDescent="0.3">
      <c r="A556">
        <v>1.1100000000000001</v>
      </c>
      <c r="B556" s="4"/>
      <c r="C556">
        <v>-42.741643312254403</v>
      </c>
      <c r="D556">
        <v>1.95</v>
      </c>
      <c r="E556">
        <f t="shared" si="150"/>
        <v>74.662506151922699</v>
      </c>
      <c r="F556">
        <f t="shared" si="138"/>
        <v>1.2645915119130146E-2</v>
      </c>
      <c r="G556">
        <f t="shared" si="139"/>
        <v>3.9111077688031383E-2</v>
      </c>
      <c r="H556">
        <f t="shared" si="140"/>
        <v>80.324880808671011</v>
      </c>
      <c r="I556">
        <f t="shared" si="141"/>
        <v>1.0589172074407021</v>
      </c>
      <c r="J556">
        <f t="shared" si="142"/>
        <v>1.2332985832092564</v>
      </c>
      <c r="K556">
        <f t="shared" si="143"/>
        <v>0.53281176887050952</v>
      </c>
      <c r="L556">
        <f t="shared" si="144"/>
        <v>1.2933921404166939</v>
      </c>
      <c r="M556">
        <f t="shared" si="145"/>
        <v>1.0052184944763023</v>
      </c>
      <c r="N556">
        <f t="shared" si="146"/>
        <v>0.99972890517054136</v>
      </c>
      <c r="O556">
        <v>4.7278725577846641E-3</v>
      </c>
      <c r="P556">
        <v>5.7924779574057257E-3</v>
      </c>
      <c r="Q556">
        <f t="shared" si="147"/>
        <v>3790.3324948264876</v>
      </c>
      <c r="R556">
        <f t="shared" si="148"/>
        <v>3.7903324948264876</v>
      </c>
    </row>
    <row r="557" spans="1:18" x14ac:dyDescent="0.3">
      <c r="A557">
        <v>1.1120000000000001</v>
      </c>
      <c r="B557" s="4"/>
      <c r="C557">
        <v>-42.741643312254403</v>
      </c>
      <c r="D557">
        <v>1.95</v>
      </c>
      <c r="E557">
        <f t="shared" si="150"/>
        <v>74.662506151922699</v>
      </c>
      <c r="F557">
        <f t="shared" si="138"/>
        <v>1.2645915119130146E-2</v>
      </c>
      <c r="G557">
        <f t="shared" si="139"/>
        <v>3.9111077688031383E-2</v>
      </c>
      <c r="H557">
        <f t="shared" si="140"/>
        <v>80.324880808671011</v>
      </c>
      <c r="I557">
        <f t="shared" si="141"/>
        <v>1.0589172074407021</v>
      </c>
      <c r="J557">
        <f t="shared" si="142"/>
        <v>1.2332985832092564</v>
      </c>
      <c r="K557">
        <f t="shared" si="143"/>
        <v>0.53281176887050952</v>
      </c>
      <c r="L557">
        <f t="shared" si="144"/>
        <v>1.2933921404166939</v>
      </c>
      <c r="M557">
        <f t="shared" si="145"/>
        <v>0.99921921215982068</v>
      </c>
      <c r="N557">
        <f t="shared" si="146"/>
        <v>1.0017538706428761</v>
      </c>
      <c r="O557">
        <v>4.9532644956509116E-3</v>
      </c>
      <c r="P557">
        <v>5.5851987538927247E-3</v>
      </c>
      <c r="Q557">
        <f t="shared" si="147"/>
        <v>3790.3324948264876</v>
      </c>
      <c r="R557">
        <f t="shared" si="148"/>
        <v>3.7903324948264876</v>
      </c>
    </row>
    <row r="558" spans="1:18" x14ac:dyDescent="0.3">
      <c r="A558">
        <v>1.1140000000000001</v>
      </c>
      <c r="B558" s="4"/>
      <c r="C558">
        <v>-42.741643312254403</v>
      </c>
      <c r="D558">
        <v>1.95</v>
      </c>
      <c r="E558">
        <f t="shared" si="150"/>
        <v>74.662506151922699</v>
      </c>
      <c r="F558">
        <f t="shared" si="138"/>
        <v>1.2645915119130146E-2</v>
      </c>
      <c r="G558">
        <f t="shared" si="139"/>
        <v>3.9111077688031383E-2</v>
      </c>
      <c r="H558">
        <f t="shared" si="140"/>
        <v>80.324880808671011</v>
      </c>
      <c r="I558">
        <f t="shared" si="141"/>
        <v>1.0589172074407021</v>
      </c>
      <c r="J558">
        <f t="shared" si="142"/>
        <v>1.2332985832092564</v>
      </c>
      <c r="K558">
        <f t="shared" si="143"/>
        <v>0.53281176887050952</v>
      </c>
      <c r="L558">
        <f t="shared" si="144"/>
        <v>1.2933921404166939</v>
      </c>
      <c r="M558">
        <f t="shared" si="145"/>
        <v>0.99762687489429636</v>
      </c>
      <c r="N558">
        <f t="shared" si="146"/>
        <v>0.99794134432922665</v>
      </c>
      <c r="O558">
        <v>5.1904017866820345E-3</v>
      </c>
      <c r="P558">
        <v>5.3484694930813256E-3</v>
      </c>
      <c r="Q558">
        <f t="shared" si="147"/>
        <v>3790.3324948264876</v>
      </c>
      <c r="R558">
        <f t="shared" si="148"/>
        <v>3.7903324948264876</v>
      </c>
    </row>
    <row r="559" spans="1:18" x14ac:dyDescent="0.3">
      <c r="A559">
        <v>1.1160000000000001</v>
      </c>
      <c r="B559" s="4"/>
      <c r="C559">
        <v>-42.741643312254403</v>
      </c>
      <c r="D559">
        <v>1.95</v>
      </c>
      <c r="E559">
        <f t="shared" si="150"/>
        <v>74.662506151922699</v>
      </c>
      <c r="F559">
        <f t="shared" si="138"/>
        <v>1.2645915119130146E-2</v>
      </c>
      <c r="G559">
        <f t="shared" si="139"/>
        <v>3.9111077688031383E-2</v>
      </c>
      <c r="H559">
        <f t="shared" si="140"/>
        <v>80.324880808671011</v>
      </c>
      <c r="I559">
        <f t="shared" si="141"/>
        <v>1.0589172074407021</v>
      </c>
      <c r="J559">
        <f t="shared" si="142"/>
        <v>1.2332985832092564</v>
      </c>
      <c r="K559">
        <f t="shared" si="143"/>
        <v>0.53281176887050952</v>
      </c>
      <c r="L559">
        <f t="shared" si="144"/>
        <v>1.2933921404166939</v>
      </c>
      <c r="M559">
        <f t="shared" si="145"/>
        <v>1.0044243766549097</v>
      </c>
      <c r="N559">
        <f t="shared" si="146"/>
        <v>0.9993393018945117</v>
      </c>
      <c r="O559">
        <v>5.442429625540624E-3</v>
      </c>
      <c r="P559">
        <v>5.1148157511872686E-3</v>
      </c>
      <c r="Q559">
        <f t="shared" si="147"/>
        <v>3790.3324948264876</v>
      </c>
      <c r="R559">
        <f t="shared" si="148"/>
        <v>3.7903324948264876</v>
      </c>
    </row>
    <row r="560" spans="1:18" x14ac:dyDescent="0.3">
      <c r="A560">
        <v>1.1180000000000001</v>
      </c>
      <c r="B560" s="4"/>
      <c r="C560">
        <v>-42.741643312254403</v>
      </c>
      <c r="D560">
        <v>1.95</v>
      </c>
      <c r="E560">
        <f t="shared" si="150"/>
        <v>74.662506151922699</v>
      </c>
      <c r="F560">
        <f t="shared" si="138"/>
        <v>1.2645915119130146E-2</v>
      </c>
      <c r="G560">
        <f t="shared" si="139"/>
        <v>3.9111077688031383E-2</v>
      </c>
      <c r="H560">
        <f t="shared" si="140"/>
        <v>80.324880808671011</v>
      </c>
      <c r="I560">
        <f t="shared" si="141"/>
        <v>1.0589172074407021</v>
      </c>
      <c r="J560">
        <f t="shared" si="142"/>
        <v>1.2332985832092564</v>
      </c>
      <c r="K560">
        <f t="shared" si="143"/>
        <v>0.53281176887050952</v>
      </c>
      <c r="L560">
        <f t="shared" si="144"/>
        <v>1.2933921404166939</v>
      </c>
      <c r="M560">
        <f t="shared" si="145"/>
        <v>0.99949542134923963</v>
      </c>
      <c r="N560">
        <f t="shared" si="146"/>
        <v>1.0045222402346099</v>
      </c>
      <c r="O560">
        <v>5.6523629571181237E-3</v>
      </c>
      <c r="P560">
        <v>4.8869639363151272E-3</v>
      </c>
      <c r="Q560">
        <f t="shared" si="147"/>
        <v>3790.3324948264876</v>
      </c>
      <c r="R560">
        <f t="shared" si="148"/>
        <v>3.7903324948264876</v>
      </c>
    </row>
    <row r="561" spans="1:18" x14ac:dyDescent="0.3">
      <c r="A561">
        <v>1.1200000000000001</v>
      </c>
      <c r="B561" s="4"/>
      <c r="C561">
        <v>-42.741643312254403</v>
      </c>
      <c r="D561">
        <v>1.95</v>
      </c>
      <c r="E561">
        <f t="shared" si="150"/>
        <v>74.662506151922699</v>
      </c>
      <c r="F561">
        <f t="shared" si="138"/>
        <v>1.2645915119130146E-2</v>
      </c>
      <c r="G561">
        <f t="shared" si="139"/>
        <v>3.9111077688031383E-2</v>
      </c>
      <c r="H561">
        <f t="shared" si="140"/>
        <v>80.324880808671011</v>
      </c>
      <c r="I561">
        <f t="shared" si="141"/>
        <v>1.0589172074407021</v>
      </c>
      <c r="J561">
        <f t="shared" si="142"/>
        <v>1.2332985832092564</v>
      </c>
      <c r="K561">
        <f t="shared" si="143"/>
        <v>0.53281176887050952</v>
      </c>
      <c r="L561">
        <f t="shared" si="144"/>
        <v>1.2933921404166939</v>
      </c>
      <c r="M561">
        <f t="shared" si="145"/>
        <v>0.99845530094715884</v>
      </c>
      <c r="N561">
        <f t="shared" si="146"/>
        <v>1.0059980365270889</v>
      </c>
      <c r="O561">
        <v>5.8564609604198799E-3</v>
      </c>
      <c r="P561">
        <v>4.6499718656178154E-3</v>
      </c>
      <c r="Q561">
        <f t="shared" si="147"/>
        <v>3790.3324948264876</v>
      </c>
      <c r="R561">
        <f t="shared" si="148"/>
        <v>3.7903324948264876</v>
      </c>
    </row>
    <row r="562" spans="1:18" x14ac:dyDescent="0.3">
      <c r="A562">
        <v>1.1220000000000001</v>
      </c>
      <c r="B562" s="4"/>
      <c r="C562">
        <v>-42.741643312254403</v>
      </c>
      <c r="D562">
        <v>1.95</v>
      </c>
      <c r="E562">
        <f t="shared" si="150"/>
        <v>74.662506151922699</v>
      </c>
      <c r="F562">
        <f t="shared" si="138"/>
        <v>1.2645915119130146E-2</v>
      </c>
      <c r="G562">
        <f t="shared" si="139"/>
        <v>3.9111077688031383E-2</v>
      </c>
      <c r="H562">
        <f t="shared" si="140"/>
        <v>80.324880808671011</v>
      </c>
      <c r="I562">
        <f t="shared" si="141"/>
        <v>1.0589172074407021</v>
      </c>
      <c r="J562">
        <f t="shared" si="142"/>
        <v>1.2332985832092564</v>
      </c>
      <c r="K562">
        <f t="shared" si="143"/>
        <v>0.53281176887050952</v>
      </c>
      <c r="L562">
        <f t="shared" si="144"/>
        <v>1.2933921404166939</v>
      </c>
      <c r="M562">
        <f t="shared" si="145"/>
        <v>0.99681953092672049</v>
      </c>
      <c r="N562">
        <f t="shared" si="146"/>
        <v>1.0008808054145708</v>
      </c>
      <c r="O562">
        <v>6.0396548850692377E-3</v>
      </c>
      <c r="P562">
        <v>4.3998668121082302E-3</v>
      </c>
      <c r="Q562">
        <f t="shared" si="147"/>
        <v>3790.3324948264876</v>
      </c>
      <c r="R562">
        <f t="shared" si="148"/>
        <v>3.7903324948264876</v>
      </c>
    </row>
    <row r="563" spans="1:18" x14ac:dyDescent="0.3">
      <c r="A563">
        <v>1.1240000000000001</v>
      </c>
      <c r="B563" s="4"/>
      <c r="C563">
        <v>-42.741643312254403</v>
      </c>
      <c r="D563">
        <v>1.95</v>
      </c>
      <c r="E563">
        <f t="shared" si="150"/>
        <v>74.662506151922699</v>
      </c>
      <c r="F563">
        <f t="shared" si="138"/>
        <v>1.2645915119130146E-2</v>
      </c>
      <c r="G563">
        <f t="shared" si="139"/>
        <v>3.9111077688031383E-2</v>
      </c>
      <c r="H563">
        <f t="shared" si="140"/>
        <v>80.324880808671011</v>
      </c>
      <c r="I563">
        <f t="shared" si="141"/>
        <v>1.0589172074407021</v>
      </c>
      <c r="J563">
        <f t="shared" si="142"/>
        <v>1.2332985832092564</v>
      </c>
      <c r="K563">
        <f t="shared" si="143"/>
        <v>0.53281176887050952</v>
      </c>
      <c r="L563">
        <f t="shared" si="144"/>
        <v>1.2933921404166939</v>
      </c>
      <c r="M563">
        <f t="shared" si="145"/>
        <v>0.99471047821416114</v>
      </c>
      <c r="N563">
        <f t="shared" si="146"/>
        <v>1.0010257445926392</v>
      </c>
      <c r="O563">
        <v>6.1991272942511473E-3</v>
      </c>
      <c r="P563">
        <v>4.1796129716643315E-3</v>
      </c>
      <c r="Q563">
        <f t="shared" si="147"/>
        <v>3790.3324948264876</v>
      </c>
      <c r="R563">
        <f t="shared" si="148"/>
        <v>3.7903324948264876</v>
      </c>
    </row>
    <row r="564" spans="1:18" x14ac:dyDescent="0.3">
      <c r="A564">
        <v>1.1259999999999999</v>
      </c>
      <c r="B564" s="4">
        <v>54</v>
      </c>
      <c r="C564">
        <v>-42.236080171505201</v>
      </c>
      <c r="D564">
        <v>1.95</v>
      </c>
      <c r="E564">
        <f>$E$563+$R$563</f>
        <v>78.452838646749186</v>
      </c>
      <c r="F564">
        <f t="shared" si="138"/>
        <v>1.2962934057832028E-2</v>
      </c>
      <c r="G564">
        <f t="shared" si="139"/>
        <v>4.0091548632470192E-2</v>
      </c>
      <c r="H564">
        <f t="shared" si="140"/>
        <v>78.360471489629944</v>
      </c>
      <c r="I564">
        <f t="shared" si="141"/>
        <v>1.0560314585403556</v>
      </c>
      <c r="J564">
        <f t="shared" si="142"/>
        <v>1.221439285370038</v>
      </c>
      <c r="K564">
        <f t="shared" si="143"/>
        <v>0.53513473079740714</v>
      </c>
      <c r="L564">
        <f t="shared" si="144"/>
        <v>1.2892641376346903</v>
      </c>
      <c r="M564">
        <f t="shared" si="145"/>
        <v>1.0052195865042708</v>
      </c>
      <c r="N564">
        <f t="shared" si="146"/>
        <v>0.99238447545203567</v>
      </c>
      <c r="O564">
        <v>3.6561719129796608E-3</v>
      </c>
      <c r="P564">
        <v>6.563741655966366E-3</v>
      </c>
      <c r="Q564">
        <f t="shared" si="147"/>
        <v>3800.8474190161483</v>
      </c>
      <c r="R564">
        <f t="shared" si="148"/>
        <v>3.8008474190161481</v>
      </c>
    </row>
    <row r="565" spans="1:18" x14ac:dyDescent="0.3">
      <c r="A565">
        <v>1.1279999999999999</v>
      </c>
      <c r="B565" s="4"/>
      <c r="C565">
        <v>-42.236080171505201</v>
      </c>
      <c r="D565">
        <v>1.95</v>
      </c>
      <c r="E565">
        <f t="shared" ref="E565:E583" si="151">$E$563+$R$563</f>
        <v>78.452838646749186</v>
      </c>
      <c r="F565">
        <f t="shared" si="138"/>
        <v>1.2962934057832028E-2</v>
      </c>
      <c r="G565">
        <f t="shared" si="139"/>
        <v>4.0091548632470192E-2</v>
      </c>
      <c r="H565">
        <f t="shared" si="140"/>
        <v>78.360471489629944</v>
      </c>
      <c r="I565">
        <f t="shared" si="141"/>
        <v>1.0560314585403556</v>
      </c>
      <c r="J565">
        <f t="shared" si="142"/>
        <v>1.221439285370038</v>
      </c>
      <c r="K565">
        <f t="shared" si="143"/>
        <v>0.53513473079740714</v>
      </c>
      <c r="L565">
        <f t="shared" si="144"/>
        <v>1.2892641376346903</v>
      </c>
      <c r="M565">
        <f t="shared" si="145"/>
        <v>1.0028391872378593</v>
      </c>
      <c r="N565">
        <f t="shared" si="146"/>
        <v>0.9935619074024109</v>
      </c>
      <c r="O565">
        <v>3.7548834774950883E-3</v>
      </c>
      <c r="P565">
        <v>6.4997637561102183E-3</v>
      </c>
      <c r="Q565">
        <f t="shared" si="147"/>
        <v>3800.8474190161483</v>
      </c>
      <c r="R565">
        <f t="shared" si="148"/>
        <v>3.8008474190161481</v>
      </c>
    </row>
    <row r="566" spans="1:18" x14ac:dyDescent="0.3">
      <c r="A566">
        <v>1.1299999999999999</v>
      </c>
      <c r="B566" s="4"/>
      <c r="C566">
        <v>-42.236080171505201</v>
      </c>
      <c r="D566">
        <v>1.95</v>
      </c>
      <c r="E566">
        <f t="shared" si="151"/>
        <v>78.452838646749186</v>
      </c>
      <c r="F566">
        <f t="shared" si="138"/>
        <v>1.2962934057832028E-2</v>
      </c>
      <c r="G566">
        <f t="shared" si="139"/>
        <v>4.0091548632470192E-2</v>
      </c>
      <c r="H566">
        <f t="shared" si="140"/>
        <v>78.360471489629944</v>
      </c>
      <c r="I566">
        <f t="shared" si="141"/>
        <v>1.0560314585403556</v>
      </c>
      <c r="J566">
        <f t="shared" si="142"/>
        <v>1.221439285370038</v>
      </c>
      <c r="K566">
        <f t="shared" si="143"/>
        <v>0.53513473079740714</v>
      </c>
      <c r="L566">
        <f t="shared" si="144"/>
        <v>1.2892641376346903</v>
      </c>
      <c r="M566">
        <f t="shared" si="145"/>
        <v>1.0006893834645036</v>
      </c>
      <c r="N566">
        <f t="shared" si="146"/>
        <v>0.99503250372485386</v>
      </c>
      <c r="O566">
        <v>3.8953132333925523E-3</v>
      </c>
      <c r="P566">
        <v>6.4077646247593959E-3</v>
      </c>
      <c r="Q566">
        <f t="shared" si="147"/>
        <v>3800.8474190161483</v>
      </c>
      <c r="R566">
        <f t="shared" si="148"/>
        <v>3.8008474190161481</v>
      </c>
    </row>
    <row r="567" spans="1:18" x14ac:dyDescent="0.3">
      <c r="A567">
        <v>1.1319999999999999</v>
      </c>
      <c r="B567" s="4"/>
      <c r="C567">
        <v>-42.236080171505201</v>
      </c>
      <c r="D567">
        <v>1.95</v>
      </c>
      <c r="E567">
        <f t="shared" si="151"/>
        <v>78.452838646749186</v>
      </c>
      <c r="F567">
        <f t="shared" si="138"/>
        <v>1.2962934057832028E-2</v>
      </c>
      <c r="G567">
        <f t="shared" si="139"/>
        <v>4.0091548632470192E-2</v>
      </c>
      <c r="H567">
        <f t="shared" si="140"/>
        <v>78.360471489629944</v>
      </c>
      <c r="I567">
        <f t="shared" si="141"/>
        <v>1.0560314585403556</v>
      </c>
      <c r="J567">
        <f t="shared" si="142"/>
        <v>1.221439285370038</v>
      </c>
      <c r="K567">
        <f t="shared" si="143"/>
        <v>0.53513473079740714</v>
      </c>
      <c r="L567">
        <f t="shared" si="144"/>
        <v>1.2892641376346903</v>
      </c>
      <c r="M567">
        <f t="shared" si="145"/>
        <v>0.99413055476796575</v>
      </c>
      <c r="N567">
        <f t="shared" si="146"/>
        <v>0.99658036667121563</v>
      </c>
      <c r="O567">
        <v>4.0544585954635625E-3</v>
      </c>
      <c r="P567">
        <v>6.2887136421229031E-3</v>
      </c>
      <c r="Q567">
        <f t="shared" si="147"/>
        <v>3800.8474190161483</v>
      </c>
      <c r="R567">
        <f t="shared" si="148"/>
        <v>3.8008474190161481</v>
      </c>
    </row>
    <row r="568" spans="1:18" x14ac:dyDescent="0.3">
      <c r="A568">
        <v>1.1339999999999999</v>
      </c>
      <c r="B568" s="4"/>
      <c r="C568">
        <v>-42.236080171505201</v>
      </c>
      <c r="D568">
        <v>1.95</v>
      </c>
      <c r="E568">
        <f t="shared" si="151"/>
        <v>78.452838646749186</v>
      </c>
      <c r="F568">
        <f t="shared" si="138"/>
        <v>1.2962934057832028E-2</v>
      </c>
      <c r="G568">
        <f t="shared" si="139"/>
        <v>4.0091548632470192E-2</v>
      </c>
      <c r="H568">
        <f t="shared" si="140"/>
        <v>78.360471489629944</v>
      </c>
      <c r="I568">
        <f t="shared" si="141"/>
        <v>1.0560314585403556</v>
      </c>
      <c r="J568">
        <f t="shared" si="142"/>
        <v>1.221439285370038</v>
      </c>
      <c r="K568">
        <f t="shared" si="143"/>
        <v>0.53513473079740714</v>
      </c>
      <c r="L568">
        <f t="shared" si="144"/>
        <v>1.2892641376346903</v>
      </c>
      <c r="M568">
        <f t="shared" si="145"/>
        <v>1.0016071634321413</v>
      </c>
      <c r="N568">
        <f t="shared" si="146"/>
        <v>0.9979880149207101</v>
      </c>
      <c r="O568">
        <v>4.2859863523682937E-3</v>
      </c>
      <c r="P568">
        <v>6.1439802535193889E-3</v>
      </c>
      <c r="Q568">
        <f t="shared" si="147"/>
        <v>3800.8474190161483</v>
      </c>
      <c r="R568">
        <f t="shared" si="148"/>
        <v>3.8008474190161481</v>
      </c>
    </row>
    <row r="569" spans="1:18" x14ac:dyDescent="0.3">
      <c r="A569">
        <v>1.1359999999999999</v>
      </c>
      <c r="B569" s="4"/>
      <c r="C569">
        <v>-42.236080171505201</v>
      </c>
      <c r="D569">
        <v>1.95</v>
      </c>
      <c r="E569">
        <f t="shared" si="151"/>
        <v>78.452838646749186</v>
      </c>
      <c r="F569">
        <f t="shared" si="138"/>
        <v>1.2962934057832028E-2</v>
      </c>
      <c r="G569">
        <f t="shared" si="139"/>
        <v>4.0091548632470192E-2</v>
      </c>
      <c r="H569">
        <f t="shared" si="140"/>
        <v>78.360471489629944</v>
      </c>
      <c r="I569">
        <f t="shared" si="141"/>
        <v>1.0560314585403556</v>
      </c>
      <c r="J569">
        <f t="shared" si="142"/>
        <v>1.221439285370038</v>
      </c>
      <c r="K569">
        <f t="shared" si="143"/>
        <v>0.53513473079740714</v>
      </c>
      <c r="L569">
        <f t="shared" si="144"/>
        <v>1.2892641376346903</v>
      </c>
      <c r="M569">
        <f t="shared" si="145"/>
        <v>0.99857656272653761</v>
      </c>
      <c r="N569">
        <f t="shared" si="146"/>
        <v>0.99907720473961337</v>
      </c>
      <c r="O569">
        <v>4.5004490409645539E-3</v>
      </c>
      <c r="P569">
        <v>5.9754088406191192E-3</v>
      </c>
      <c r="Q569">
        <f t="shared" si="147"/>
        <v>3800.8474190161483</v>
      </c>
      <c r="R569">
        <f t="shared" si="148"/>
        <v>3.8008474190161481</v>
      </c>
    </row>
    <row r="570" spans="1:18" x14ac:dyDescent="0.3">
      <c r="A570">
        <v>1.1379999999999999</v>
      </c>
      <c r="B570" s="4"/>
      <c r="C570">
        <v>-42.236080171505201</v>
      </c>
      <c r="D570">
        <v>1.95</v>
      </c>
      <c r="E570">
        <f t="shared" si="151"/>
        <v>78.452838646749186</v>
      </c>
      <c r="F570">
        <f t="shared" si="138"/>
        <v>1.2962934057832028E-2</v>
      </c>
      <c r="G570">
        <f t="shared" si="139"/>
        <v>4.0091548632470192E-2</v>
      </c>
      <c r="H570">
        <f t="shared" si="140"/>
        <v>78.360471489629944</v>
      </c>
      <c r="I570">
        <f t="shared" si="141"/>
        <v>1.0560314585403556</v>
      </c>
      <c r="J570">
        <f t="shared" si="142"/>
        <v>1.221439285370038</v>
      </c>
      <c r="K570">
        <f t="shared" si="143"/>
        <v>0.53513473079740714</v>
      </c>
      <c r="L570">
        <f t="shared" si="144"/>
        <v>1.2892641376346903</v>
      </c>
      <c r="M570">
        <f t="shared" si="145"/>
        <v>1.0061332350351262</v>
      </c>
      <c r="N570">
        <f t="shared" si="146"/>
        <v>0.99974578689859905</v>
      </c>
      <c r="O570">
        <v>4.7569803427458621E-3</v>
      </c>
      <c r="P570">
        <v>5.785403661393052E-3</v>
      </c>
      <c r="Q570">
        <f t="shared" si="147"/>
        <v>3800.8474190161483</v>
      </c>
      <c r="R570">
        <f t="shared" si="148"/>
        <v>3.8008474190161481</v>
      </c>
    </row>
    <row r="571" spans="1:18" x14ac:dyDescent="0.3">
      <c r="A571">
        <v>1.1399999999999999</v>
      </c>
      <c r="B571" s="4"/>
      <c r="C571">
        <v>-42.236080171505201</v>
      </c>
      <c r="D571">
        <v>1.95</v>
      </c>
      <c r="E571">
        <f t="shared" si="151"/>
        <v>78.452838646749186</v>
      </c>
      <c r="F571">
        <f t="shared" si="138"/>
        <v>1.2962934057832028E-2</v>
      </c>
      <c r="G571">
        <f t="shared" si="139"/>
        <v>4.0091548632470192E-2</v>
      </c>
      <c r="H571">
        <f t="shared" si="140"/>
        <v>78.360471489629944</v>
      </c>
      <c r="I571">
        <f t="shared" si="141"/>
        <v>1.0560314585403556</v>
      </c>
      <c r="J571">
        <f t="shared" si="142"/>
        <v>1.221439285370038</v>
      </c>
      <c r="K571">
        <f t="shared" si="143"/>
        <v>0.53513473079740714</v>
      </c>
      <c r="L571">
        <f t="shared" si="144"/>
        <v>1.2892641376346903</v>
      </c>
      <c r="M571">
        <f t="shared" si="145"/>
        <v>0.99912277007361738</v>
      </c>
      <c r="N571">
        <f t="shared" si="146"/>
        <v>1.0016097839618114</v>
      </c>
      <c r="O571">
        <v>4.974761260408805E-3</v>
      </c>
      <c r="P571">
        <v>5.5810811011925152E-3</v>
      </c>
      <c r="Q571">
        <f t="shared" si="147"/>
        <v>3800.8474190161483</v>
      </c>
      <c r="R571">
        <f t="shared" si="148"/>
        <v>3.8008474190161481</v>
      </c>
    </row>
    <row r="572" spans="1:18" x14ac:dyDescent="0.3">
      <c r="A572">
        <v>1.1419999999999999</v>
      </c>
      <c r="B572" s="4"/>
      <c r="C572">
        <v>-42.236080171505201</v>
      </c>
      <c r="D572">
        <v>1.95</v>
      </c>
      <c r="E572">
        <f t="shared" si="151"/>
        <v>78.452838646749186</v>
      </c>
      <c r="F572">
        <f t="shared" si="138"/>
        <v>1.2962934057832028E-2</v>
      </c>
      <c r="G572">
        <f t="shared" si="139"/>
        <v>4.0091548632470192E-2</v>
      </c>
      <c r="H572">
        <f t="shared" si="140"/>
        <v>78.360471489629944</v>
      </c>
      <c r="I572">
        <f t="shared" si="141"/>
        <v>1.0560314585403556</v>
      </c>
      <c r="J572">
        <f t="shared" si="142"/>
        <v>1.221439285370038</v>
      </c>
      <c r="K572">
        <f t="shared" si="143"/>
        <v>0.53513473079740714</v>
      </c>
      <c r="L572">
        <f t="shared" si="144"/>
        <v>1.2892641376346903</v>
      </c>
      <c r="M572">
        <f t="shared" si="145"/>
        <v>0.99747994391032058</v>
      </c>
      <c r="N572">
        <f t="shared" si="146"/>
        <v>0.9979443589255047</v>
      </c>
      <c r="O572">
        <v>5.2066869274278102E-3</v>
      </c>
      <c r="P572">
        <v>5.3488439964574658E-3</v>
      </c>
      <c r="Q572">
        <f t="shared" si="147"/>
        <v>3800.8474190161483</v>
      </c>
      <c r="R572">
        <f t="shared" si="148"/>
        <v>3.8008474190161481</v>
      </c>
    </row>
    <row r="573" spans="1:18" x14ac:dyDescent="0.3">
      <c r="A573">
        <v>1.1439999999999999</v>
      </c>
      <c r="B573" s="4"/>
      <c r="C573">
        <v>-42.236080171505201</v>
      </c>
      <c r="D573">
        <v>1.95</v>
      </c>
      <c r="E573">
        <f t="shared" si="151"/>
        <v>78.452838646749186</v>
      </c>
      <c r="F573">
        <f t="shared" si="138"/>
        <v>1.2962934057832028E-2</v>
      </c>
      <c r="G573">
        <f t="shared" si="139"/>
        <v>4.0091548632470192E-2</v>
      </c>
      <c r="H573">
        <f t="shared" si="140"/>
        <v>78.360471489629944</v>
      </c>
      <c r="I573">
        <f t="shared" si="141"/>
        <v>1.0560314585403556</v>
      </c>
      <c r="J573">
        <f t="shared" si="142"/>
        <v>1.221439285370038</v>
      </c>
      <c r="K573">
        <f t="shared" si="143"/>
        <v>0.53513473079740714</v>
      </c>
      <c r="L573">
        <f t="shared" si="144"/>
        <v>1.2892641376346903</v>
      </c>
      <c r="M573">
        <f t="shared" si="145"/>
        <v>1.004910414023567</v>
      </c>
      <c r="N573">
        <f t="shared" si="146"/>
        <v>0.99932163353416925</v>
      </c>
      <c r="O573">
        <v>5.4553155954770874E-3</v>
      </c>
      <c r="P573">
        <v>5.1198199675291899E-3</v>
      </c>
      <c r="Q573">
        <f t="shared" si="147"/>
        <v>3800.8474190161483</v>
      </c>
      <c r="R573">
        <f t="shared" si="148"/>
        <v>3.8008474190161481</v>
      </c>
    </row>
    <row r="574" spans="1:18" x14ac:dyDescent="0.3">
      <c r="A574">
        <v>1.1459999999999999</v>
      </c>
      <c r="B574" s="4"/>
      <c r="C574">
        <v>-42.236080171505201</v>
      </c>
      <c r="D574">
        <v>1.95</v>
      </c>
      <c r="E574">
        <f t="shared" si="151"/>
        <v>78.452838646749186</v>
      </c>
      <c r="F574">
        <f t="shared" si="138"/>
        <v>1.2962934057832028E-2</v>
      </c>
      <c r="G574">
        <f t="shared" si="139"/>
        <v>4.0091548632470192E-2</v>
      </c>
      <c r="H574">
        <f t="shared" si="140"/>
        <v>78.360471489629944</v>
      </c>
      <c r="I574">
        <f t="shared" si="141"/>
        <v>1.0560314585403556</v>
      </c>
      <c r="J574">
        <f t="shared" si="142"/>
        <v>1.221439285370038</v>
      </c>
      <c r="K574">
        <f t="shared" si="143"/>
        <v>0.53513473079740714</v>
      </c>
      <c r="L574">
        <f t="shared" si="144"/>
        <v>1.2892641376346903</v>
      </c>
      <c r="M574">
        <f t="shared" si="145"/>
        <v>0.9994727384611648</v>
      </c>
      <c r="N574">
        <f t="shared" si="146"/>
        <v>1.0048313122536385</v>
      </c>
      <c r="O574">
        <v>5.6592664799574675E-3</v>
      </c>
      <c r="P574">
        <v>4.8977715302066438E-3</v>
      </c>
      <c r="Q574">
        <f t="shared" si="147"/>
        <v>3800.8474190161483</v>
      </c>
      <c r="R574">
        <f t="shared" si="148"/>
        <v>3.8008474190161481</v>
      </c>
    </row>
    <row r="575" spans="1:18" x14ac:dyDescent="0.3">
      <c r="A575">
        <v>1.1479999999999999</v>
      </c>
      <c r="B575" s="4"/>
      <c r="C575">
        <v>-42.236080171505201</v>
      </c>
      <c r="D575">
        <v>1.95</v>
      </c>
      <c r="E575">
        <f t="shared" si="151"/>
        <v>78.452838646749186</v>
      </c>
      <c r="F575">
        <f t="shared" si="138"/>
        <v>1.2962934057832028E-2</v>
      </c>
      <c r="G575">
        <f t="shared" si="139"/>
        <v>4.0091548632470192E-2</v>
      </c>
      <c r="H575">
        <f t="shared" si="140"/>
        <v>78.360471489629944</v>
      </c>
      <c r="I575">
        <f t="shared" si="141"/>
        <v>1.0560314585403556</v>
      </c>
      <c r="J575">
        <f t="shared" si="142"/>
        <v>1.221439285370038</v>
      </c>
      <c r="K575">
        <f t="shared" si="143"/>
        <v>0.53513473079740714</v>
      </c>
      <c r="L575">
        <f t="shared" si="144"/>
        <v>1.2892641376346903</v>
      </c>
      <c r="M575">
        <f t="shared" si="145"/>
        <v>0.9984386672673855</v>
      </c>
      <c r="N575">
        <f t="shared" si="146"/>
        <v>1.0064532830668449</v>
      </c>
      <c r="O575">
        <v>5.8593999421495653E-3</v>
      </c>
      <c r="P575">
        <v>4.6658907990734105E-3</v>
      </c>
      <c r="Q575">
        <f t="shared" si="147"/>
        <v>3800.8474190161483</v>
      </c>
      <c r="R575">
        <f t="shared" si="148"/>
        <v>3.8008474190161481</v>
      </c>
    </row>
    <row r="576" spans="1:18" x14ac:dyDescent="0.3">
      <c r="A576">
        <v>1.1499999999999999</v>
      </c>
      <c r="B576" s="4"/>
      <c r="C576">
        <v>-42.236080171505201</v>
      </c>
      <c r="D576">
        <v>1.95</v>
      </c>
      <c r="E576">
        <f t="shared" si="151"/>
        <v>78.452838646749186</v>
      </c>
      <c r="F576">
        <f t="shared" si="138"/>
        <v>1.2962934057832028E-2</v>
      </c>
      <c r="G576">
        <f t="shared" si="139"/>
        <v>4.0091548632470192E-2</v>
      </c>
      <c r="H576">
        <f t="shared" si="140"/>
        <v>78.360471489629944</v>
      </c>
      <c r="I576">
        <f t="shared" si="141"/>
        <v>1.0560314585403556</v>
      </c>
      <c r="J576">
        <f t="shared" si="142"/>
        <v>1.221439285370038</v>
      </c>
      <c r="K576">
        <f t="shared" si="143"/>
        <v>0.53513473079740714</v>
      </c>
      <c r="L576">
        <f t="shared" si="144"/>
        <v>1.2892641376346903</v>
      </c>
      <c r="M576">
        <f t="shared" si="145"/>
        <v>0.99682714757322133</v>
      </c>
      <c r="N576">
        <f t="shared" si="146"/>
        <v>1.0011100157380657</v>
      </c>
      <c r="O576">
        <v>6.0396154126493911E-3</v>
      </c>
      <c r="P576">
        <v>4.4191218025689243E-3</v>
      </c>
      <c r="Q576">
        <f t="shared" si="147"/>
        <v>3800.8474190161483</v>
      </c>
      <c r="R576">
        <f t="shared" si="148"/>
        <v>3.8008474190161481</v>
      </c>
    </row>
    <row r="577" spans="1:18" x14ac:dyDescent="0.3">
      <c r="A577">
        <v>1.1519999999999999</v>
      </c>
      <c r="B577" s="4"/>
      <c r="C577">
        <v>-42.236080171505201</v>
      </c>
      <c r="D577">
        <v>1.95</v>
      </c>
      <c r="E577">
        <f t="shared" si="151"/>
        <v>78.452838646749186</v>
      </c>
      <c r="F577">
        <f t="shared" si="138"/>
        <v>1.2962934057832028E-2</v>
      </c>
      <c r="G577">
        <f t="shared" si="139"/>
        <v>4.0091548632470192E-2</v>
      </c>
      <c r="H577">
        <f t="shared" si="140"/>
        <v>78.360471489629944</v>
      </c>
      <c r="I577">
        <f t="shared" si="141"/>
        <v>1.0560314585403556</v>
      </c>
      <c r="J577">
        <f t="shared" si="142"/>
        <v>1.221439285370038</v>
      </c>
      <c r="K577">
        <f t="shared" si="143"/>
        <v>0.53513473079740714</v>
      </c>
      <c r="L577">
        <f t="shared" si="144"/>
        <v>1.2892641376346903</v>
      </c>
      <c r="M577">
        <f t="shared" si="145"/>
        <v>0.99474987168859186</v>
      </c>
      <c r="N577">
        <f t="shared" si="146"/>
        <v>1.0074202863624571</v>
      </c>
      <c r="O577">
        <v>6.1972851522999143E-3</v>
      </c>
      <c r="P577">
        <v>4.2218312845094261E-3</v>
      </c>
      <c r="Q577">
        <f t="shared" si="147"/>
        <v>3800.8474190161483</v>
      </c>
      <c r="R577">
        <f t="shared" si="148"/>
        <v>3.8008474190161481</v>
      </c>
    </row>
    <row r="578" spans="1:18" x14ac:dyDescent="0.3">
      <c r="A578">
        <v>1.1539999999999999</v>
      </c>
      <c r="B578" s="4"/>
      <c r="C578">
        <v>-42.236080171505201</v>
      </c>
      <c r="D578">
        <v>1.95</v>
      </c>
      <c r="E578">
        <f t="shared" si="151"/>
        <v>78.452838646749186</v>
      </c>
      <c r="F578">
        <f t="shared" si="138"/>
        <v>1.2962934057832028E-2</v>
      </c>
      <c r="G578">
        <f t="shared" si="139"/>
        <v>4.0091548632470192E-2</v>
      </c>
      <c r="H578">
        <f t="shared" si="140"/>
        <v>78.360471489629944</v>
      </c>
      <c r="I578">
        <f t="shared" si="141"/>
        <v>1.0560314585403556</v>
      </c>
      <c r="J578">
        <f t="shared" si="142"/>
        <v>1.221439285370038</v>
      </c>
      <c r="K578">
        <f t="shared" si="143"/>
        <v>0.53513473079740714</v>
      </c>
      <c r="L578">
        <f t="shared" si="144"/>
        <v>1.2892641376346903</v>
      </c>
      <c r="M578">
        <f t="shared" si="145"/>
        <v>0.99241799612603865</v>
      </c>
      <c r="N578">
        <f t="shared" si="146"/>
        <v>1.0013854384434278</v>
      </c>
      <c r="O578">
        <v>6.3303896814114E-3</v>
      </c>
      <c r="P578">
        <v>4.0046972575443485E-3</v>
      </c>
      <c r="Q578">
        <f t="shared" si="147"/>
        <v>3800.8474190161483</v>
      </c>
      <c r="R578">
        <f t="shared" si="148"/>
        <v>3.8008474190161481</v>
      </c>
    </row>
    <row r="579" spans="1:18" x14ac:dyDescent="0.3">
      <c r="A579">
        <v>1.1559999999999999</v>
      </c>
      <c r="B579" s="4"/>
      <c r="C579">
        <v>-42.236080171505201</v>
      </c>
      <c r="D579">
        <v>1.95</v>
      </c>
      <c r="E579">
        <f t="shared" si="151"/>
        <v>78.452838646749186</v>
      </c>
      <c r="F579">
        <f t="shared" ref="F579:F642" si="152">0.0462806*SQRT(E579/1000)</f>
        <v>1.2962934057832028E-2</v>
      </c>
      <c r="G579">
        <f t="shared" ref="G579:G642" si="153">$U$3*F579/2</f>
        <v>4.0091548632470192E-2</v>
      </c>
      <c r="H579">
        <f t="shared" ref="H579:H642" si="154">PI()/G579</f>
        <v>78.360471489629944</v>
      </c>
      <c r="I579">
        <f t="shared" ref="I579:I642" si="155">BESSELI(H579*$Y$5,0)</f>
        <v>1.0560314585403556</v>
      </c>
      <c r="J579">
        <f t="shared" ref="J579:J642" si="156">BESSELI(H579*D579*$Y$5,0)</f>
        <v>1.221439285370038</v>
      </c>
      <c r="K579">
        <f t="shared" ref="K579:K642" si="157">(D579^2-1)/(D579^2*I579+J579)</f>
        <v>0.53513473079740714</v>
      </c>
      <c r="L579">
        <f t="shared" ref="L579:L642" si="158">I579+J579/(D579^2*I579+J579)</f>
        <v>1.2892641376346903</v>
      </c>
      <c r="M579">
        <f t="shared" ref="M579:M642" si="159">((L579*O579^2)/$Y$5^2)+(K579*BESSELI(O579*H579,0)*COS(H579*A579))</f>
        <v>0.99010382905233918</v>
      </c>
      <c r="N579">
        <f t="shared" ref="N579:N642" si="160">((L579*P579^2)/$Y$5^2)-(K579*BESSELI(P579*H579,0)*COS(H579*A579))</f>
        <v>1.0045621897022741</v>
      </c>
      <c r="O579">
        <v>6.4374201622070196E-3</v>
      </c>
      <c r="P579">
        <v>3.8468057723968514E-3</v>
      </c>
      <c r="Q579">
        <f t="shared" ref="Q579:Q642" si="161">PI()*K579*$U$4*J579*COS(C579*$Y$7)/(4*$Y$6)</f>
        <v>3800.8474190161483</v>
      </c>
      <c r="R579">
        <f t="shared" ref="R579:R642" si="162">Q579/1000</f>
        <v>3.8008474190161481</v>
      </c>
    </row>
    <row r="580" spans="1:18" x14ac:dyDescent="0.3">
      <c r="A580">
        <v>1.1579999999999999</v>
      </c>
      <c r="B580" s="4"/>
      <c r="C580">
        <v>-42.236080171505201</v>
      </c>
      <c r="D580">
        <v>1.95</v>
      </c>
      <c r="E580">
        <f t="shared" si="151"/>
        <v>78.452838646749186</v>
      </c>
      <c r="F580">
        <f t="shared" si="152"/>
        <v>1.2962934057832028E-2</v>
      </c>
      <c r="G580">
        <f t="shared" si="153"/>
        <v>4.0091548632470192E-2</v>
      </c>
      <c r="H580">
        <f t="shared" si="154"/>
        <v>78.360471489629944</v>
      </c>
      <c r="I580">
        <f t="shared" si="155"/>
        <v>1.0560314585403556</v>
      </c>
      <c r="J580">
        <f t="shared" si="156"/>
        <v>1.221439285370038</v>
      </c>
      <c r="K580">
        <f t="shared" si="157"/>
        <v>0.53513473079740714</v>
      </c>
      <c r="L580">
        <f t="shared" si="158"/>
        <v>1.2892641376346903</v>
      </c>
      <c r="M580">
        <f t="shared" si="159"/>
        <v>0.99977084444957565</v>
      </c>
      <c r="N580">
        <f t="shared" si="160"/>
        <v>1.0009920477361087</v>
      </c>
      <c r="O580">
        <v>6.5428177192083069E-3</v>
      </c>
      <c r="P580">
        <v>3.7008284645045283E-3</v>
      </c>
      <c r="Q580">
        <f t="shared" si="161"/>
        <v>3800.8474190161483</v>
      </c>
      <c r="R580">
        <f t="shared" si="162"/>
        <v>3.8008474190161481</v>
      </c>
    </row>
    <row r="581" spans="1:18" x14ac:dyDescent="0.3">
      <c r="A581">
        <v>1.1599999999999999</v>
      </c>
      <c r="B581" s="4"/>
      <c r="C581">
        <v>-42.236080171505201</v>
      </c>
      <c r="D581">
        <v>1.95</v>
      </c>
      <c r="E581">
        <f t="shared" si="151"/>
        <v>78.452838646749186</v>
      </c>
      <c r="F581">
        <f t="shared" si="152"/>
        <v>1.2962934057832028E-2</v>
      </c>
      <c r="G581">
        <f t="shared" si="153"/>
        <v>4.0091548632470192E-2</v>
      </c>
      <c r="H581">
        <f t="shared" si="154"/>
        <v>78.360471489629944</v>
      </c>
      <c r="I581">
        <f t="shared" si="155"/>
        <v>1.0560314585403556</v>
      </c>
      <c r="J581">
        <f t="shared" si="156"/>
        <v>1.221439285370038</v>
      </c>
      <c r="K581">
        <f t="shared" si="157"/>
        <v>0.53513473079740714</v>
      </c>
      <c r="L581">
        <f t="shared" si="158"/>
        <v>1.2892641376346903</v>
      </c>
      <c r="M581">
        <f t="shared" si="159"/>
        <v>0.99972690301343448</v>
      </c>
      <c r="N581">
        <f t="shared" si="160"/>
        <v>1.0028773022533499</v>
      </c>
      <c r="O581">
        <v>6.5976498972198528E-3</v>
      </c>
      <c r="P581">
        <v>3.6176946862183472E-3</v>
      </c>
      <c r="Q581">
        <f t="shared" si="161"/>
        <v>3800.8474190161483</v>
      </c>
      <c r="R581">
        <f t="shared" si="162"/>
        <v>3.8008474190161481</v>
      </c>
    </row>
    <row r="582" spans="1:18" x14ac:dyDescent="0.3">
      <c r="A582">
        <v>1.1619999999999999</v>
      </c>
      <c r="B582" s="4"/>
      <c r="C582">
        <v>-42.236080171505201</v>
      </c>
      <c r="D582">
        <v>1.95</v>
      </c>
      <c r="E582">
        <f t="shared" si="151"/>
        <v>78.452838646749186</v>
      </c>
      <c r="F582">
        <f t="shared" si="152"/>
        <v>1.2962934057832028E-2</v>
      </c>
      <c r="G582">
        <f t="shared" si="153"/>
        <v>4.0091548632470192E-2</v>
      </c>
      <c r="H582">
        <f t="shared" si="154"/>
        <v>78.360471489629944</v>
      </c>
      <c r="I582">
        <f t="shared" si="155"/>
        <v>1.0560314585403556</v>
      </c>
      <c r="J582">
        <f t="shared" si="156"/>
        <v>1.221439285370038</v>
      </c>
      <c r="K582">
        <f t="shared" si="157"/>
        <v>0.53513473079740714</v>
      </c>
      <c r="L582">
        <f t="shared" si="158"/>
        <v>1.2892641376346903</v>
      </c>
      <c r="M582">
        <f t="shared" si="159"/>
        <v>0.99970485904373985</v>
      </c>
      <c r="N582">
        <f t="shared" si="160"/>
        <v>1.0039090512865441</v>
      </c>
      <c r="O582">
        <v>6.6226332027630053E-3</v>
      </c>
      <c r="P582">
        <v>3.5796954380557266E-3</v>
      </c>
      <c r="Q582">
        <f t="shared" si="161"/>
        <v>3800.8474190161483</v>
      </c>
      <c r="R582">
        <f t="shared" si="162"/>
        <v>3.8008474190161481</v>
      </c>
    </row>
    <row r="583" spans="1:18" x14ac:dyDescent="0.3">
      <c r="A583">
        <v>1.1639999999999999</v>
      </c>
      <c r="B583" s="4"/>
      <c r="C583">
        <v>-42.236080171505201</v>
      </c>
      <c r="D583">
        <v>1.95</v>
      </c>
      <c r="E583">
        <f t="shared" si="151"/>
        <v>78.452838646749186</v>
      </c>
      <c r="F583">
        <f t="shared" si="152"/>
        <v>1.2962934057832028E-2</v>
      </c>
      <c r="G583">
        <f t="shared" si="153"/>
        <v>4.0091548632470192E-2</v>
      </c>
      <c r="H583">
        <f t="shared" si="154"/>
        <v>78.360471489629944</v>
      </c>
      <c r="I583">
        <f t="shared" si="155"/>
        <v>1.0560314585403556</v>
      </c>
      <c r="J583">
        <f t="shared" si="156"/>
        <v>1.221439285370038</v>
      </c>
      <c r="K583">
        <f t="shared" si="157"/>
        <v>0.53513473079740714</v>
      </c>
      <c r="L583">
        <f t="shared" si="158"/>
        <v>1.2892641376346903</v>
      </c>
      <c r="M583">
        <f t="shared" si="159"/>
        <v>0.9997095718695983</v>
      </c>
      <c r="N583">
        <f t="shared" si="160"/>
        <v>1.0036845765735127</v>
      </c>
      <c r="O583">
        <v>6.6174155544756292E-3</v>
      </c>
      <c r="P583">
        <v>3.5876376162598095E-3</v>
      </c>
      <c r="Q583">
        <f t="shared" si="161"/>
        <v>3800.8474190161483</v>
      </c>
      <c r="R583">
        <f t="shared" si="162"/>
        <v>3.8008474190161481</v>
      </c>
    </row>
    <row r="584" spans="1:18" x14ac:dyDescent="0.3">
      <c r="A584">
        <v>1.1659999999999999</v>
      </c>
      <c r="B584" s="4">
        <v>55</v>
      </c>
      <c r="C584">
        <v>-41.753497173517196</v>
      </c>
      <c r="D584">
        <v>1.95</v>
      </c>
      <c r="E584">
        <f>$E$583+$R$583</f>
        <v>82.253686065765336</v>
      </c>
      <c r="F584">
        <f t="shared" si="152"/>
        <v>1.3273231386046193E-2</v>
      </c>
      <c r="G584">
        <f t="shared" si="153"/>
        <v>4.1051231090864518E-2</v>
      </c>
      <c r="H584">
        <f t="shared" si="154"/>
        <v>76.528585625996456</v>
      </c>
      <c r="I584">
        <f t="shared" si="155"/>
        <v>1.053408253247833</v>
      </c>
      <c r="J584">
        <f t="shared" si="156"/>
        <v>1.2106976497433743</v>
      </c>
      <c r="K584">
        <f t="shared" si="157"/>
        <v>0.53726000890898595</v>
      </c>
      <c r="L584">
        <f t="shared" si="158"/>
        <v>1.2855079606830564</v>
      </c>
      <c r="M584">
        <f t="shared" si="159"/>
        <v>1.0099591924894828</v>
      </c>
      <c r="N584">
        <f t="shared" si="160"/>
        <v>1.007760532862088</v>
      </c>
      <c r="O584">
        <v>4.8617264379912034E-3</v>
      </c>
      <c r="P584">
        <v>5.7385728705935026E-3</v>
      </c>
      <c r="Q584">
        <f t="shared" si="161"/>
        <v>3811.1729966204562</v>
      </c>
      <c r="R584">
        <f t="shared" si="162"/>
        <v>3.8111729966204559</v>
      </c>
    </row>
    <row r="585" spans="1:18" x14ac:dyDescent="0.3">
      <c r="A585">
        <v>1.1679999999999999</v>
      </c>
      <c r="B585" s="4"/>
      <c r="C585">
        <v>-41.753497173517196</v>
      </c>
      <c r="D585">
        <v>1.95</v>
      </c>
      <c r="E585">
        <f t="shared" ref="E585:E603" si="163">$E$583+$R$583</f>
        <v>82.253686065765336</v>
      </c>
      <c r="F585">
        <f t="shared" si="152"/>
        <v>1.3273231386046193E-2</v>
      </c>
      <c r="G585">
        <f t="shared" si="153"/>
        <v>4.1051231090864518E-2</v>
      </c>
      <c r="H585">
        <f t="shared" si="154"/>
        <v>76.528585625996456</v>
      </c>
      <c r="I585">
        <f t="shared" si="155"/>
        <v>1.053408253247833</v>
      </c>
      <c r="J585">
        <f t="shared" si="156"/>
        <v>1.2106976497433743</v>
      </c>
      <c r="K585">
        <f t="shared" si="157"/>
        <v>0.53726000890898595</v>
      </c>
      <c r="L585">
        <f t="shared" si="158"/>
        <v>1.2855079606830564</v>
      </c>
      <c r="M585">
        <f t="shared" si="159"/>
        <v>0.99863422342968367</v>
      </c>
      <c r="N585">
        <f t="shared" si="160"/>
        <v>1.0083116120518076</v>
      </c>
      <c r="O585">
        <v>5.0628675061337993E-3</v>
      </c>
      <c r="P585">
        <v>5.5305989827073481E-3</v>
      </c>
      <c r="Q585">
        <f t="shared" si="161"/>
        <v>3811.1729966204562</v>
      </c>
      <c r="R585">
        <f t="shared" si="162"/>
        <v>3.8111729966204559</v>
      </c>
    </row>
    <row r="586" spans="1:18" x14ac:dyDescent="0.3">
      <c r="A586">
        <v>1.17</v>
      </c>
      <c r="B586" s="4"/>
      <c r="C586">
        <v>-41.753497173517196</v>
      </c>
      <c r="D586">
        <v>1.95</v>
      </c>
      <c r="E586">
        <f t="shared" si="163"/>
        <v>82.253686065765336</v>
      </c>
      <c r="F586">
        <f t="shared" si="152"/>
        <v>1.3273231386046193E-2</v>
      </c>
      <c r="G586">
        <f t="shared" si="153"/>
        <v>4.1051231090864518E-2</v>
      </c>
      <c r="H586">
        <f t="shared" si="154"/>
        <v>76.528585625996456</v>
      </c>
      <c r="I586">
        <f t="shared" si="155"/>
        <v>1.053408253247833</v>
      </c>
      <c r="J586">
        <f t="shared" si="156"/>
        <v>1.2106976497433743</v>
      </c>
      <c r="K586">
        <f t="shared" si="157"/>
        <v>0.53726000890898595</v>
      </c>
      <c r="L586">
        <f t="shared" si="158"/>
        <v>1.2855079606830564</v>
      </c>
      <c r="M586">
        <f t="shared" si="159"/>
        <v>1.0056409112921063</v>
      </c>
      <c r="N586">
        <f t="shared" si="160"/>
        <v>0.99844669702127875</v>
      </c>
      <c r="O586">
        <v>5.3113407600572675E-3</v>
      </c>
      <c r="P586">
        <v>5.283288671748031E-3</v>
      </c>
      <c r="Q586">
        <f t="shared" si="161"/>
        <v>3811.1729966204562</v>
      </c>
      <c r="R586">
        <f t="shared" si="162"/>
        <v>3.8111729966204559</v>
      </c>
    </row>
    <row r="587" spans="1:18" x14ac:dyDescent="0.3">
      <c r="A587">
        <v>1.1719999999999999</v>
      </c>
      <c r="B587" s="4"/>
      <c r="C587">
        <v>-41.753497173517196</v>
      </c>
      <c r="D587">
        <v>1.95</v>
      </c>
      <c r="E587">
        <f t="shared" si="163"/>
        <v>82.253686065765336</v>
      </c>
      <c r="F587">
        <f t="shared" si="152"/>
        <v>1.3273231386046193E-2</v>
      </c>
      <c r="G587">
        <f t="shared" si="153"/>
        <v>4.1051231090864518E-2</v>
      </c>
      <c r="H587">
        <f t="shared" si="154"/>
        <v>76.528585625996456</v>
      </c>
      <c r="I587">
        <f t="shared" si="155"/>
        <v>1.053408253247833</v>
      </c>
      <c r="J587">
        <f t="shared" si="156"/>
        <v>1.2106976497433743</v>
      </c>
      <c r="K587">
        <f t="shared" si="157"/>
        <v>0.53726000890898595</v>
      </c>
      <c r="L587">
        <f t="shared" si="158"/>
        <v>1.2855079606830564</v>
      </c>
      <c r="M587">
        <f t="shared" si="159"/>
        <v>1.0084356908043235</v>
      </c>
      <c r="N587">
        <f t="shared" si="160"/>
        <v>0.99954738498573115</v>
      </c>
      <c r="O587">
        <v>5.539521734799345E-3</v>
      </c>
      <c r="P587">
        <v>5.0561009104017817E-3</v>
      </c>
      <c r="Q587">
        <f t="shared" si="161"/>
        <v>3811.1729966204562</v>
      </c>
      <c r="R587">
        <f t="shared" si="162"/>
        <v>3.8111729966204559</v>
      </c>
    </row>
    <row r="588" spans="1:18" x14ac:dyDescent="0.3">
      <c r="A588">
        <v>1.1739999999999999</v>
      </c>
      <c r="B588" s="4"/>
      <c r="C588">
        <v>-41.753497173517196</v>
      </c>
      <c r="D588">
        <v>1.95</v>
      </c>
      <c r="E588">
        <f t="shared" si="163"/>
        <v>82.253686065765336</v>
      </c>
      <c r="F588">
        <f t="shared" si="152"/>
        <v>1.3273231386046193E-2</v>
      </c>
      <c r="G588">
        <f t="shared" si="153"/>
        <v>4.1051231090864518E-2</v>
      </c>
      <c r="H588">
        <f t="shared" si="154"/>
        <v>76.528585625996456</v>
      </c>
      <c r="I588">
        <f t="shared" si="155"/>
        <v>1.053408253247833</v>
      </c>
      <c r="J588">
        <f t="shared" si="156"/>
        <v>1.2106976497433743</v>
      </c>
      <c r="K588">
        <f t="shared" si="157"/>
        <v>0.53726000890898595</v>
      </c>
      <c r="L588">
        <f t="shared" si="158"/>
        <v>1.2855079606830564</v>
      </c>
      <c r="M588">
        <f t="shared" si="159"/>
        <v>0.99920703118672949</v>
      </c>
      <c r="N588">
        <f t="shared" si="160"/>
        <v>1.0029880888305884</v>
      </c>
      <c r="O588">
        <v>5.7256075099480679E-3</v>
      </c>
      <c r="P588">
        <v>4.8324316937223138E-3</v>
      </c>
      <c r="Q588">
        <f t="shared" si="161"/>
        <v>3811.1729966204562</v>
      </c>
      <c r="R588">
        <f t="shared" si="162"/>
        <v>3.8111729966204559</v>
      </c>
    </row>
    <row r="589" spans="1:18" x14ac:dyDescent="0.3">
      <c r="A589">
        <v>1.1759999999999999</v>
      </c>
      <c r="B589" s="4"/>
      <c r="C589">
        <v>-41.753497173517196</v>
      </c>
      <c r="D589">
        <v>1.95</v>
      </c>
      <c r="E589">
        <f t="shared" si="163"/>
        <v>82.253686065765336</v>
      </c>
      <c r="F589">
        <f t="shared" si="152"/>
        <v>1.3273231386046193E-2</v>
      </c>
      <c r="G589">
        <f t="shared" si="153"/>
        <v>4.1051231090864518E-2</v>
      </c>
      <c r="H589">
        <f t="shared" si="154"/>
        <v>76.528585625996456</v>
      </c>
      <c r="I589">
        <f t="shared" si="155"/>
        <v>1.053408253247833</v>
      </c>
      <c r="J589">
        <f t="shared" si="156"/>
        <v>1.2106976497433743</v>
      </c>
      <c r="K589">
        <f t="shared" si="157"/>
        <v>0.53726000890898595</v>
      </c>
      <c r="L589">
        <f t="shared" si="158"/>
        <v>1.2855079606830564</v>
      </c>
      <c r="M589">
        <f t="shared" si="159"/>
        <v>0.99800966402753988</v>
      </c>
      <c r="N589">
        <f t="shared" si="160"/>
        <v>1.0047463683409554</v>
      </c>
      <c r="O589">
        <v>5.9166363697250035E-3</v>
      </c>
      <c r="P589">
        <v>4.6062835261817666E-3</v>
      </c>
      <c r="Q589">
        <f t="shared" si="161"/>
        <v>3811.1729966204562</v>
      </c>
      <c r="R589">
        <f t="shared" si="162"/>
        <v>3.8111729966204559</v>
      </c>
    </row>
    <row r="590" spans="1:18" x14ac:dyDescent="0.3">
      <c r="A590">
        <v>1.1779999999999999</v>
      </c>
      <c r="B590" s="4"/>
      <c r="C590">
        <v>-41.753497173517196</v>
      </c>
      <c r="D590">
        <v>1.95</v>
      </c>
      <c r="E590">
        <f t="shared" si="163"/>
        <v>82.253686065765336</v>
      </c>
      <c r="F590">
        <f t="shared" si="152"/>
        <v>1.3273231386046193E-2</v>
      </c>
      <c r="G590">
        <f t="shared" si="153"/>
        <v>4.1051231090864518E-2</v>
      </c>
      <c r="H590">
        <f t="shared" si="154"/>
        <v>76.528585625996456</v>
      </c>
      <c r="I590">
        <f t="shared" si="155"/>
        <v>1.053408253247833</v>
      </c>
      <c r="J590">
        <f t="shared" si="156"/>
        <v>1.2106976497433743</v>
      </c>
      <c r="K590">
        <f t="shared" si="157"/>
        <v>0.53726000890898595</v>
      </c>
      <c r="L590">
        <f t="shared" si="158"/>
        <v>1.2855079606830564</v>
      </c>
      <c r="M590">
        <f t="shared" si="159"/>
        <v>0.9962713642705826</v>
      </c>
      <c r="N590">
        <f t="shared" si="160"/>
        <v>1.0005623948076332</v>
      </c>
      <c r="O590">
        <v>6.087854643895556E-3</v>
      </c>
      <c r="P590">
        <v>4.3693900607622224E-3</v>
      </c>
      <c r="Q590">
        <f t="shared" si="161"/>
        <v>3811.1729966204562</v>
      </c>
      <c r="R590">
        <f t="shared" si="162"/>
        <v>3.8111729966204559</v>
      </c>
    </row>
    <row r="591" spans="1:18" x14ac:dyDescent="0.3">
      <c r="A591">
        <v>1.18</v>
      </c>
      <c r="B591" s="4"/>
      <c r="C591">
        <v>-41.753497173517196</v>
      </c>
      <c r="D591">
        <v>1.95</v>
      </c>
      <c r="E591">
        <f t="shared" si="163"/>
        <v>82.253686065765336</v>
      </c>
      <c r="F591">
        <f t="shared" si="152"/>
        <v>1.3273231386046193E-2</v>
      </c>
      <c r="G591">
        <f t="shared" si="153"/>
        <v>4.1051231090864518E-2</v>
      </c>
      <c r="H591">
        <f t="shared" si="154"/>
        <v>76.528585625996456</v>
      </c>
      <c r="I591">
        <f t="shared" si="155"/>
        <v>1.053408253247833</v>
      </c>
      <c r="J591">
        <f t="shared" si="156"/>
        <v>1.2106976497433743</v>
      </c>
      <c r="K591">
        <f t="shared" si="157"/>
        <v>0.53726000890898595</v>
      </c>
      <c r="L591">
        <f t="shared" si="158"/>
        <v>1.2855079606830564</v>
      </c>
      <c r="M591">
        <f t="shared" si="159"/>
        <v>0.99412472584268308</v>
      </c>
      <c r="N591">
        <f t="shared" si="160"/>
        <v>1.0067746223973608</v>
      </c>
      <c r="O591">
        <v>6.236979422550192E-3</v>
      </c>
      <c r="P591">
        <v>4.1796129716643315E-3</v>
      </c>
      <c r="Q591">
        <f t="shared" si="161"/>
        <v>3811.1729966204562</v>
      </c>
      <c r="R591">
        <f t="shared" si="162"/>
        <v>3.8111729966204559</v>
      </c>
    </row>
    <row r="592" spans="1:18" x14ac:dyDescent="0.3">
      <c r="A592">
        <v>1.1819999999999999</v>
      </c>
      <c r="B592" s="4"/>
      <c r="C592">
        <v>-41.753497173517196</v>
      </c>
      <c r="D592">
        <v>1.95</v>
      </c>
      <c r="E592">
        <f t="shared" si="163"/>
        <v>82.253686065765336</v>
      </c>
      <c r="F592">
        <f t="shared" si="152"/>
        <v>1.3273231386046193E-2</v>
      </c>
      <c r="G592">
        <f t="shared" si="153"/>
        <v>4.1051231090864518E-2</v>
      </c>
      <c r="H592">
        <f t="shared" si="154"/>
        <v>76.528585625996456</v>
      </c>
      <c r="I592">
        <f t="shared" si="155"/>
        <v>1.053408253247833</v>
      </c>
      <c r="J592">
        <f t="shared" si="156"/>
        <v>1.2106976497433743</v>
      </c>
      <c r="K592">
        <f t="shared" si="157"/>
        <v>0.53726000890898595</v>
      </c>
      <c r="L592">
        <f t="shared" si="158"/>
        <v>1.2855079606830564</v>
      </c>
      <c r="M592">
        <f t="shared" si="159"/>
        <v>0.99178618733345292</v>
      </c>
      <c r="N592">
        <f t="shared" si="160"/>
        <v>1.0018490657924788</v>
      </c>
      <c r="O592">
        <v>6.362261174588108E-3</v>
      </c>
      <c r="P592">
        <v>3.9742229400394477E-3</v>
      </c>
      <c r="Q592">
        <f t="shared" si="161"/>
        <v>3811.1729966204562</v>
      </c>
      <c r="R592">
        <f t="shared" si="162"/>
        <v>3.8111729966204559</v>
      </c>
    </row>
    <row r="593" spans="1:18" x14ac:dyDescent="0.3">
      <c r="A593">
        <v>1.1839999999999999</v>
      </c>
      <c r="B593" s="4"/>
      <c r="C593">
        <v>-41.753497173517196</v>
      </c>
      <c r="D593">
        <v>1.95</v>
      </c>
      <c r="E593">
        <f t="shared" si="163"/>
        <v>82.253686065765336</v>
      </c>
      <c r="F593">
        <f t="shared" si="152"/>
        <v>1.3273231386046193E-2</v>
      </c>
      <c r="G593">
        <f t="shared" si="153"/>
        <v>4.1051231090864518E-2</v>
      </c>
      <c r="H593">
        <f t="shared" si="154"/>
        <v>76.528585625996456</v>
      </c>
      <c r="I593">
        <f t="shared" si="155"/>
        <v>1.053408253247833</v>
      </c>
      <c r="J593">
        <f t="shared" si="156"/>
        <v>1.2106976497433743</v>
      </c>
      <c r="K593">
        <f t="shared" si="157"/>
        <v>0.53726000890898595</v>
      </c>
      <c r="L593">
        <f t="shared" si="158"/>
        <v>1.2855079606830564</v>
      </c>
      <c r="M593">
        <f t="shared" si="159"/>
        <v>0.99981126213165883</v>
      </c>
      <c r="N593">
        <f t="shared" si="160"/>
        <v>1.0051183854568093</v>
      </c>
      <c r="O593">
        <v>6.485110255685286E-3</v>
      </c>
      <c r="P593">
        <v>3.8252738058707774E-3</v>
      </c>
      <c r="Q593">
        <f t="shared" si="161"/>
        <v>3811.1729966204562</v>
      </c>
      <c r="R593">
        <f t="shared" si="162"/>
        <v>3.8111729966204559</v>
      </c>
    </row>
    <row r="594" spans="1:18" x14ac:dyDescent="0.3">
      <c r="A594">
        <v>1.1859999999999999</v>
      </c>
      <c r="B594" s="4"/>
      <c r="C594">
        <v>-41.753497173517196</v>
      </c>
      <c r="D594">
        <v>1.95</v>
      </c>
      <c r="E594">
        <f t="shared" si="163"/>
        <v>82.253686065765336</v>
      </c>
      <c r="F594">
        <f t="shared" si="152"/>
        <v>1.3273231386046193E-2</v>
      </c>
      <c r="G594">
        <f t="shared" si="153"/>
        <v>4.1051231090864518E-2</v>
      </c>
      <c r="H594">
        <f t="shared" si="154"/>
        <v>76.528585625996456</v>
      </c>
      <c r="I594">
        <f t="shared" si="155"/>
        <v>1.053408253247833</v>
      </c>
      <c r="J594">
        <f t="shared" si="156"/>
        <v>1.2106976497433743</v>
      </c>
      <c r="K594">
        <f t="shared" si="157"/>
        <v>0.53726000890898595</v>
      </c>
      <c r="L594">
        <f t="shared" si="158"/>
        <v>1.2855079606830564</v>
      </c>
      <c r="M594">
        <f t="shared" si="159"/>
        <v>0.99975565584027803</v>
      </c>
      <c r="N594">
        <f t="shared" si="160"/>
        <v>1.0012788398422319</v>
      </c>
      <c r="O594">
        <v>6.563016652175538E-3</v>
      </c>
      <c r="P594">
        <v>3.686348682719289E-3</v>
      </c>
      <c r="Q594">
        <f t="shared" si="161"/>
        <v>3811.1729966204562</v>
      </c>
      <c r="R594">
        <f t="shared" si="162"/>
        <v>3.8111729966204559</v>
      </c>
    </row>
    <row r="595" spans="1:18" x14ac:dyDescent="0.3">
      <c r="A595">
        <v>1.1879999999999999</v>
      </c>
      <c r="B595" s="4"/>
      <c r="C595">
        <v>-41.753497173517196</v>
      </c>
      <c r="D595">
        <v>1.95</v>
      </c>
      <c r="E595">
        <f t="shared" si="163"/>
        <v>82.253686065765336</v>
      </c>
      <c r="F595">
        <f t="shared" si="152"/>
        <v>1.3273231386046193E-2</v>
      </c>
      <c r="G595">
        <f t="shared" si="153"/>
        <v>4.1051231090864518E-2</v>
      </c>
      <c r="H595">
        <f t="shared" si="154"/>
        <v>76.528585625996456</v>
      </c>
      <c r="I595">
        <f t="shared" si="155"/>
        <v>1.053408253247833</v>
      </c>
      <c r="J595">
        <f t="shared" si="156"/>
        <v>1.2106976497433743</v>
      </c>
      <c r="K595">
        <f t="shared" si="157"/>
        <v>0.53726000890898595</v>
      </c>
      <c r="L595">
        <f t="shared" si="158"/>
        <v>1.2855079606830564</v>
      </c>
      <c r="M595">
        <f t="shared" si="159"/>
        <v>0.9997138429845821</v>
      </c>
      <c r="N595">
        <f t="shared" si="160"/>
        <v>1.0030634592286793</v>
      </c>
      <c r="O595">
        <v>6.6130194800815001E-3</v>
      </c>
      <c r="P595">
        <v>3.6100865648845651E-3</v>
      </c>
      <c r="Q595">
        <f t="shared" si="161"/>
        <v>3811.1729966204562</v>
      </c>
      <c r="R595">
        <f t="shared" si="162"/>
        <v>3.8111729966204559</v>
      </c>
    </row>
    <row r="596" spans="1:18" x14ac:dyDescent="0.3">
      <c r="A596">
        <v>1.19</v>
      </c>
      <c r="B596" s="4"/>
      <c r="C596">
        <v>-41.753497173517196</v>
      </c>
      <c r="D596">
        <v>1.95</v>
      </c>
      <c r="E596">
        <f t="shared" si="163"/>
        <v>82.253686065765336</v>
      </c>
      <c r="F596">
        <f t="shared" si="152"/>
        <v>1.3273231386046193E-2</v>
      </c>
      <c r="G596">
        <f t="shared" si="153"/>
        <v>4.1051231090864518E-2</v>
      </c>
      <c r="H596">
        <f t="shared" si="154"/>
        <v>76.528585625996456</v>
      </c>
      <c r="I596">
        <f t="shared" si="155"/>
        <v>1.053408253247833</v>
      </c>
      <c r="J596">
        <f t="shared" si="156"/>
        <v>1.2106976497433743</v>
      </c>
      <c r="K596">
        <f t="shared" si="157"/>
        <v>0.53726000890898595</v>
      </c>
      <c r="L596">
        <f t="shared" si="158"/>
        <v>1.2855079606830564</v>
      </c>
      <c r="M596">
        <f t="shared" si="159"/>
        <v>0.99969432784364021</v>
      </c>
      <c r="N596">
        <f t="shared" si="160"/>
        <v>1.003962108194778</v>
      </c>
      <c r="O596">
        <v>6.6344500447330298E-3</v>
      </c>
      <c r="P596">
        <v>3.5773049112567826E-3</v>
      </c>
      <c r="Q596">
        <f t="shared" si="161"/>
        <v>3811.1729966204562</v>
      </c>
      <c r="R596">
        <f t="shared" si="162"/>
        <v>3.8111729966204559</v>
      </c>
    </row>
    <row r="597" spans="1:18" x14ac:dyDescent="0.3">
      <c r="A597">
        <v>1.1919999999999999</v>
      </c>
      <c r="B597" s="4"/>
      <c r="C597">
        <v>-41.753497173517196</v>
      </c>
      <c r="D597">
        <v>1.95</v>
      </c>
      <c r="E597">
        <f t="shared" si="163"/>
        <v>82.253686065765336</v>
      </c>
      <c r="F597">
        <f t="shared" si="152"/>
        <v>1.3273231386046193E-2</v>
      </c>
      <c r="G597">
        <f t="shared" si="153"/>
        <v>4.1051231090864518E-2</v>
      </c>
      <c r="H597">
        <f t="shared" si="154"/>
        <v>76.528585625996456</v>
      </c>
      <c r="I597">
        <f t="shared" si="155"/>
        <v>1.053408253247833</v>
      </c>
      <c r="J597">
        <f t="shared" si="156"/>
        <v>1.2106976497433743</v>
      </c>
      <c r="K597">
        <f t="shared" si="157"/>
        <v>0.53726000890898595</v>
      </c>
      <c r="L597">
        <f t="shared" si="158"/>
        <v>1.2855079606830564</v>
      </c>
      <c r="M597">
        <f t="shared" si="159"/>
        <v>0.9997012027977954</v>
      </c>
      <c r="N597">
        <f t="shared" si="160"/>
        <v>1.0036415471485078</v>
      </c>
      <c r="O597">
        <v>6.6270235481661931E-3</v>
      </c>
      <c r="P597">
        <v>3.5886715244200624E-3</v>
      </c>
      <c r="Q597">
        <f t="shared" si="161"/>
        <v>3811.1729966204562</v>
      </c>
      <c r="R597">
        <f t="shared" si="162"/>
        <v>3.8111729966204559</v>
      </c>
    </row>
    <row r="598" spans="1:18" x14ac:dyDescent="0.3">
      <c r="A598">
        <v>1.194</v>
      </c>
      <c r="B598" s="4"/>
      <c r="C598">
        <v>-41.753497173517196</v>
      </c>
      <c r="D598">
        <v>1.95</v>
      </c>
      <c r="E598">
        <f t="shared" si="163"/>
        <v>82.253686065765336</v>
      </c>
      <c r="F598">
        <f t="shared" si="152"/>
        <v>1.3273231386046193E-2</v>
      </c>
      <c r="G598">
        <f t="shared" si="153"/>
        <v>4.1051231090864518E-2</v>
      </c>
      <c r="H598">
        <f t="shared" si="154"/>
        <v>76.528585625996456</v>
      </c>
      <c r="I598">
        <f t="shared" si="155"/>
        <v>1.053408253247833</v>
      </c>
      <c r="J598">
        <f t="shared" si="156"/>
        <v>1.2106976497433743</v>
      </c>
      <c r="K598">
        <f t="shared" si="157"/>
        <v>0.53726000890898595</v>
      </c>
      <c r="L598">
        <f t="shared" si="158"/>
        <v>1.2855079606830564</v>
      </c>
      <c r="M598">
        <f t="shared" si="159"/>
        <v>0.99973301815184579</v>
      </c>
      <c r="N598">
        <f t="shared" si="160"/>
        <v>1.0022181121739608</v>
      </c>
      <c r="O598">
        <v>6.5908385628859548E-3</v>
      </c>
      <c r="P598">
        <v>3.6439550355938646E-3</v>
      </c>
      <c r="Q598">
        <f t="shared" si="161"/>
        <v>3811.1729966204562</v>
      </c>
      <c r="R598">
        <f t="shared" si="162"/>
        <v>3.8111729966204559</v>
      </c>
    </row>
    <row r="599" spans="1:18" x14ac:dyDescent="0.3">
      <c r="A599">
        <v>1.196</v>
      </c>
      <c r="B599" s="4"/>
      <c r="C599">
        <v>-41.753497173517196</v>
      </c>
      <c r="D599">
        <v>1.95</v>
      </c>
      <c r="E599">
        <f t="shared" si="163"/>
        <v>82.253686065765336</v>
      </c>
      <c r="F599">
        <f t="shared" si="152"/>
        <v>1.3273231386046193E-2</v>
      </c>
      <c r="G599">
        <f t="shared" si="153"/>
        <v>4.1051231090864518E-2</v>
      </c>
      <c r="H599">
        <f t="shared" si="154"/>
        <v>76.528585625996456</v>
      </c>
      <c r="I599">
        <f t="shared" si="155"/>
        <v>1.053408253247833</v>
      </c>
      <c r="J599">
        <f t="shared" si="156"/>
        <v>1.2106976497433743</v>
      </c>
      <c r="K599">
        <f t="shared" si="157"/>
        <v>0.53726000890898595</v>
      </c>
      <c r="L599">
        <f t="shared" si="158"/>
        <v>1.2855079606830564</v>
      </c>
      <c r="M599">
        <f t="shared" si="159"/>
        <v>0.99978318289003476</v>
      </c>
      <c r="N599">
        <f t="shared" si="160"/>
        <v>1.0068654514417978</v>
      </c>
      <c r="O599">
        <v>6.5263772134592701E-3</v>
      </c>
      <c r="P599">
        <v>3.7662266517697338E-3</v>
      </c>
      <c r="Q599">
        <f t="shared" si="161"/>
        <v>3811.1729966204562</v>
      </c>
      <c r="R599">
        <f t="shared" si="162"/>
        <v>3.8111729966204559</v>
      </c>
    </row>
    <row r="600" spans="1:18" x14ac:dyDescent="0.3">
      <c r="A600">
        <v>1.198</v>
      </c>
      <c r="B600" s="4"/>
      <c r="C600">
        <v>-41.753497173517196</v>
      </c>
      <c r="D600">
        <v>1.95</v>
      </c>
      <c r="E600">
        <f t="shared" si="163"/>
        <v>82.253686065765336</v>
      </c>
      <c r="F600">
        <f t="shared" si="152"/>
        <v>1.3273231386046193E-2</v>
      </c>
      <c r="G600">
        <f t="shared" si="153"/>
        <v>4.1051231090864518E-2</v>
      </c>
      <c r="H600">
        <f t="shared" si="154"/>
        <v>76.528585625996456</v>
      </c>
      <c r="I600">
        <f t="shared" si="155"/>
        <v>1.053408253247833</v>
      </c>
      <c r="J600">
        <f t="shared" si="156"/>
        <v>1.2106976497433743</v>
      </c>
      <c r="K600">
        <f t="shared" si="157"/>
        <v>0.53726000890898595</v>
      </c>
      <c r="L600">
        <f t="shared" si="158"/>
        <v>1.2855079606830564</v>
      </c>
      <c r="M600">
        <f t="shared" si="159"/>
        <v>0.99065924279195061</v>
      </c>
      <c r="N600">
        <f t="shared" si="160"/>
        <v>1.0033322012149728</v>
      </c>
      <c r="O600">
        <v>6.4141033778809774E-3</v>
      </c>
      <c r="P600">
        <v>3.8973961056798477E-3</v>
      </c>
      <c r="Q600">
        <f t="shared" si="161"/>
        <v>3811.1729966204562</v>
      </c>
      <c r="R600">
        <f t="shared" si="162"/>
        <v>3.8111729966204559</v>
      </c>
    </row>
    <row r="601" spans="1:18" x14ac:dyDescent="0.3">
      <c r="A601">
        <v>1.2</v>
      </c>
      <c r="B601" s="4"/>
      <c r="C601">
        <v>-41.753497173517196</v>
      </c>
      <c r="D601">
        <v>1.95</v>
      </c>
      <c r="E601">
        <f t="shared" si="163"/>
        <v>82.253686065765336</v>
      </c>
      <c r="F601">
        <f t="shared" si="152"/>
        <v>1.3273231386046193E-2</v>
      </c>
      <c r="G601">
        <f t="shared" si="153"/>
        <v>4.1051231090864518E-2</v>
      </c>
      <c r="H601">
        <f t="shared" si="154"/>
        <v>76.528585625996456</v>
      </c>
      <c r="I601">
        <f t="shared" si="155"/>
        <v>1.053408253247833</v>
      </c>
      <c r="J601">
        <f t="shared" si="156"/>
        <v>1.2106976497433743</v>
      </c>
      <c r="K601">
        <f t="shared" si="157"/>
        <v>0.53726000890898595</v>
      </c>
      <c r="L601">
        <f t="shared" si="158"/>
        <v>1.2855079606830564</v>
      </c>
      <c r="M601">
        <f t="shared" si="159"/>
        <v>0.99299718200522258</v>
      </c>
      <c r="N601">
        <f t="shared" si="160"/>
        <v>1.0006590172067211</v>
      </c>
      <c r="O601">
        <v>6.3008970233335466E-3</v>
      </c>
      <c r="P601">
        <v>4.0643723187583011E-3</v>
      </c>
      <c r="Q601">
        <f t="shared" si="161"/>
        <v>3811.1729966204562</v>
      </c>
      <c r="R601">
        <f t="shared" si="162"/>
        <v>3.8111729966204559</v>
      </c>
    </row>
    <row r="602" spans="1:18" x14ac:dyDescent="0.3">
      <c r="A602">
        <v>1.202</v>
      </c>
      <c r="B602" s="4"/>
      <c r="C602">
        <v>-41.753497173517196</v>
      </c>
      <c r="D602">
        <v>1.95</v>
      </c>
      <c r="E602">
        <f t="shared" si="163"/>
        <v>82.253686065765336</v>
      </c>
      <c r="F602">
        <f t="shared" si="152"/>
        <v>1.3273231386046193E-2</v>
      </c>
      <c r="G602">
        <f t="shared" si="153"/>
        <v>4.1051231090864518E-2</v>
      </c>
      <c r="H602">
        <f t="shared" si="154"/>
        <v>76.528585625996456</v>
      </c>
      <c r="I602">
        <f t="shared" si="155"/>
        <v>1.053408253247833</v>
      </c>
      <c r="J602">
        <f t="shared" si="156"/>
        <v>1.2106976497433743</v>
      </c>
      <c r="K602">
        <f t="shared" si="157"/>
        <v>0.53726000890898595</v>
      </c>
      <c r="L602">
        <f t="shared" si="158"/>
        <v>1.2855079606830564</v>
      </c>
      <c r="M602">
        <f t="shared" si="159"/>
        <v>0.99526792965744093</v>
      </c>
      <c r="N602">
        <f t="shared" si="160"/>
        <v>1.000247817656382</v>
      </c>
      <c r="O602">
        <v>6.1631638759223287E-3</v>
      </c>
      <c r="P602">
        <v>4.2640495973545207E-3</v>
      </c>
      <c r="Q602">
        <f t="shared" si="161"/>
        <v>3811.1729966204562</v>
      </c>
      <c r="R602">
        <f t="shared" si="162"/>
        <v>3.8111729966204559</v>
      </c>
    </row>
    <row r="603" spans="1:18" x14ac:dyDescent="0.3">
      <c r="A603">
        <v>1.204</v>
      </c>
      <c r="B603" s="4"/>
      <c r="C603">
        <v>-41.753497173517196</v>
      </c>
      <c r="D603">
        <v>1.95</v>
      </c>
      <c r="E603">
        <f t="shared" si="163"/>
        <v>82.253686065765336</v>
      </c>
      <c r="F603">
        <f t="shared" si="152"/>
        <v>1.3273231386046193E-2</v>
      </c>
      <c r="G603">
        <f t="shared" si="153"/>
        <v>4.1051231090864518E-2</v>
      </c>
      <c r="H603">
        <f t="shared" si="154"/>
        <v>76.528585625996456</v>
      </c>
      <c r="I603">
        <f t="shared" si="155"/>
        <v>1.053408253247833</v>
      </c>
      <c r="J603">
        <f t="shared" si="156"/>
        <v>1.2106976497433743</v>
      </c>
      <c r="K603">
        <f t="shared" si="157"/>
        <v>0.53726000890898595</v>
      </c>
      <c r="L603">
        <f t="shared" si="158"/>
        <v>1.2855079606830564</v>
      </c>
      <c r="M603">
        <f t="shared" si="159"/>
        <v>0.99722705872660722</v>
      </c>
      <c r="N603">
        <f t="shared" si="160"/>
        <v>1.002159656519342</v>
      </c>
      <c r="O603">
        <v>6.0024264264906648E-3</v>
      </c>
      <c r="P603">
        <v>4.4883475305426638E-3</v>
      </c>
      <c r="Q603">
        <f t="shared" si="161"/>
        <v>3811.1729966204562</v>
      </c>
      <c r="R603">
        <f t="shared" si="162"/>
        <v>3.8111729966204559</v>
      </c>
    </row>
    <row r="604" spans="1:18" x14ac:dyDescent="0.3">
      <c r="A604">
        <v>1.206</v>
      </c>
      <c r="B604" s="4">
        <v>56</v>
      </c>
      <c r="C604">
        <v>-41.224953890006702</v>
      </c>
      <c r="D604">
        <v>1.95</v>
      </c>
      <c r="E604">
        <f>$E$603+$R$603</f>
        <v>86.064859062385793</v>
      </c>
      <c r="F604">
        <f t="shared" si="152"/>
        <v>1.3577253027008155E-2</v>
      </c>
      <c r="G604">
        <f t="shared" si="153"/>
        <v>4.1991504207241716E-2</v>
      </c>
      <c r="H604">
        <f t="shared" si="154"/>
        <v>74.814958713672482</v>
      </c>
      <c r="I604">
        <f t="shared" si="155"/>
        <v>1.0510134644241769</v>
      </c>
      <c r="J604">
        <f t="shared" si="156"/>
        <v>1.2009235281298323</v>
      </c>
      <c r="K604">
        <f t="shared" si="157"/>
        <v>0.53921168264704977</v>
      </c>
      <c r="L604">
        <f t="shared" si="158"/>
        <v>1.2820757289498927</v>
      </c>
      <c r="M604">
        <f t="shared" si="159"/>
        <v>0.99511838476460279</v>
      </c>
      <c r="N604">
        <f t="shared" si="160"/>
        <v>1.0001582024488722</v>
      </c>
      <c r="O604">
        <v>6.1740475242559201E-3</v>
      </c>
      <c r="P604">
        <v>4.2640495973545207E-3</v>
      </c>
      <c r="Q604">
        <f t="shared" si="161"/>
        <v>3825.2186252185606</v>
      </c>
      <c r="R604">
        <f t="shared" si="162"/>
        <v>3.8252186252185605</v>
      </c>
    </row>
    <row r="605" spans="1:18" x14ac:dyDescent="0.3">
      <c r="A605">
        <v>1.208</v>
      </c>
      <c r="B605" s="4"/>
      <c r="C605">
        <v>-41.224953890006702</v>
      </c>
      <c r="D605">
        <v>1.95</v>
      </c>
      <c r="E605">
        <f t="shared" ref="E605:E624" si="164">$E$603+$R$603</f>
        <v>86.064859062385793</v>
      </c>
      <c r="F605">
        <f t="shared" si="152"/>
        <v>1.3577253027008155E-2</v>
      </c>
      <c r="G605">
        <f t="shared" si="153"/>
        <v>4.1991504207241716E-2</v>
      </c>
      <c r="H605">
        <f t="shared" si="154"/>
        <v>74.814958713672482</v>
      </c>
      <c r="I605">
        <f t="shared" si="155"/>
        <v>1.0510134644241769</v>
      </c>
      <c r="J605">
        <f t="shared" si="156"/>
        <v>1.2009235281298323</v>
      </c>
      <c r="K605">
        <f t="shared" si="157"/>
        <v>0.53921168264704977</v>
      </c>
      <c r="L605">
        <f t="shared" si="158"/>
        <v>1.2820757289498927</v>
      </c>
      <c r="M605">
        <f t="shared" si="159"/>
        <v>0.99285921180037873</v>
      </c>
      <c r="N605">
        <f t="shared" si="160"/>
        <v>1.0006213998627731</v>
      </c>
      <c r="O605">
        <v>6.3088572528749443E-3</v>
      </c>
      <c r="P605">
        <v>4.0680075230840138E-3</v>
      </c>
      <c r="Q605">
        <f t="shared" si="161"/>
        <v>3825.2186252185606</v>
      </c>
      <c r="R605">
        <f t="shared" si="162"/>
        <v>3.8252186252185605</v>
      </c>
    </row>
    <row r="606" spans="1:18" x14ac:dyDescent="0.3">
      <c r="A606">
        <v>1.21</v>
      </c>
      <c r="B606" s="4"/>
      <c r="C606">
        <v>-41.224953890006702</v>
      </c>
      <c r="D606">
        <v>1.95</v>
      </c>
      <c r="E606">
        <f t="shared" si="164"/>
        <v>86.064859062385793</v>
      </c>
      <c r="F606">
        <f t="shared" si="152"/>
        <v>1.3577253027008155E-2</v>
      </c>
      <c r="G606">
        <f t="shared" si="153"/>
        <v>4.1991504207241716E-2</v>
      </c>
      <c r="H606">
        <f t="shared" si="154"/>
        <v>74.814958713672482</v>
      </c>
      <c r="I606">
        <f t="shared" si="155"/>
        <v>1.0510134644241769</v>
      </c>
      <c r="J606">
        <f t="shared" si="156"/>
        <v>1.2009235281298323</v>
      </c>
      <c r="K606">
        <f t="shared" si="157"/>
        <v>0.53921168264704977</v>
      </c>
      <c r="L606">
        <f t="shared" si="158"/>
        <v>1.2820757289498927</v>
      </c>
      <c r="M606">
        <f t="shared" si="159"/>
        <v>0.99053528047552786</v>
      </c>
      <c r="N606">
        <f t="shared" si="160"/>
        <v>1.0031971994780444</v>
      </c>
      <c r="O606">
        <v>6.4201796290575038E-3</v>
      </c>
      <c r="P606">
        <v>3.9030587867422539E-3</v>
      </c>
      <c r="Q606">
        <f t="shared" si="161"/>
        <v>3825.2186252185606</v>
      </c>
      <c r="R606">
        <f t="shared" si="162"/>
        <v>3.8252186252185605</v>
      </c>
    </row>
    <row r="607" spans="1:18" x14ac:dyDescent="0.3">
      <c r="A607">
        <v>1.212</v>
      </c>
      <c r="B607" s="4"/>
      <c r="C607">
        <v>-41.224953890006702</v>
      </c>
      <c r="D607">
        <v>1.95</v>
      </c>
      <c r="E607">
        <f t="shared" si="164"/>
        <v>86.064859062385793</v>
      </c>
      <c r="F607">
        <f t="shared" si="152"/>
        <v>1.3577253027008155E-2</v>
      </c>
      <c r="G607">
        <f t="shared" si="153"/>
        <v>4.1991504207241716E-2</v>
      </c>
      <c r="H607">
        <f t="shared" si="154"/>
        <v>74.814958713672482</v>
      </c>
      <c r="I607">
        <f t="shared" si="155"/>
        <v>1.0510134644241769</v>
      </c>
      <c r="J607">
        <f t="shared" si="156"/>
        <v>1.2009235281298323</v>
      </c>
      <c r="K607">
        <f t="shared" si="157"/>
        <v>0.53921168264704977</v>
      </c>
      <c r="L607">
        <f t="shared" si="158"/>
        <v>1.2820757289498927</v>
      </c>
      <c r="M607">
        <f t="shared" si="159"/>
        <v>0.99977941549898641</v>
      </c>
      <c r="N607">
        <f t="shared" si="160"/>
        <v>1.0066468883361412</v>
      </c>
      <c r="O607">
        <v>6.5319736146600155E-3</v>
      </c>
      <c r="P607">
        <v>3.7724224316487216E-3</v>
      </c>
      <c r="Q607">
        <f t="shared" si="161"/>
        <v>3825.2186252185606</v>
      </c>
      <c r="R607">
        <f t="shared" si="162"/>
        <v>3.8252186252185605</v>
      </c>
    </row>
    <row r="608" spans="1:18" x14ac:dyDescent="0.3">
      <c r="A608">
        <v>1.214</v>
      </c>
      <c r="B608" s="4"/>
      <c r="C608">
        <v>-41.224953890006702</v>
      </c>
      <c r="D608">
        <v>1.95</v>
      </c>
      <c r="E608">
        <f t="shared" si="164"/>
        <v>86.064859062385793</v>
      </c>
      <c r="F608">
        <f t="shared" si="152"/>
        <v>1.3577253027008155E-2</v>
      </c>
      <c r="G608">
        <f t="shared" si="153"/>
        <v>4.1991504207241716E-2</v>
      </c>
      <c r="H608">
        <f t="shared" si="154"/>
        <v>74.814958713672482</v>
      </c>
      <c r="I608">
        <f t="shared" si="155"/>
        <v>1.0510134644241769</v>
      </c>
      <c r="J608">
        <f t="shared" si="156"/>
        <v>1.2009235281298323</v>
      </c>
      <c r="K608">
        <f t="shared" si="157"/>
        <v>0.53921168264704977</v>
      </c>
      <c r="L608">
        <f t="shared" si="158"/>
        <v>1.2820757289498927</v>
      </c>
      <c r="M608">
        <f t="shared" si="159"/>
        <v>0.99972820249530403</v>
      </c>
      <c r="N608">
        <f t="shared" si="160"/>
        <v>1.0020833284223845</v>
      </c>
      <c r="O608">
        <v>6.5968915469737906E-3</v>
      </c>
      <c r="P608">
        <v>3.6493736735847319E-3</v>
      </c>
      <c r="Q608">
        <f t="shared" si="161"/>
        <v>3825.2186252185606</v>
      </c>
      <c r="R608">
        <f t="shared" si="162"/>
        <v>3.8252186252185605</v>
      </c>
    </row>
    <row r="609" spans="1:18" x14ac:dyDescent="0.3">
      <c r="A609">
        <v>1.216</v>
      </c>
      <c r="B609" s="4"/>
      <c r="C609">
        <v>-41.224953890006702</v>
      </c>
      <c r="D609">
        <v>1.95</v>
      </c>
      <c r="E609">
        <f t="shared" si="164"/>
        <v>86.064859062385793</v>
      </c>
      <c r="F609">
        <f t="shared" si="152"/>
        <v>1.3577253027008155E-2</v>
      </c>
      <c r="G609">
        <f t="shared" si="153"/>
        <v>4.1991504207241716E-2</v>
      </c>
      <c r="H609">
        <f t="shared" si="154"/>
        <v>74.814958713672482</v>
      </c>
      <c r="I609">
        <f t="shared" si="155"/>
        <v>1.0510134644241769</v>
      </c>
      <c r="J609">
        <f t="shared" si="156"/>
        <v>1.2009235281298323</v>
      </c>
      <c r="K609">
        <f t="shared" si="157"/>
        <v>0.53921168264704977</v>
      </c>
      <c r="L609">
        <f t="shared" si="158"/>
        <v>1.2820757289498927</v>
      </c>
      <c r="M609">
        <f t="shared" si="159"/>
        <v>0.99969434536479718</v>
      </c>
      <c r="N609">
        <f t="shared" si="160"/>
        <v>1.0035591619162247</v>
      </c>
      <c r="O609">
        <v>6.6347955249459779E-3</v>
      </c>
      <c r="P609">
        <v>3.5911884001685306E-3</v>
      </c>
      <c r="Q609">
        <f t="shared" si="161"/>
        <v>3825.2186252185606</v>
      </c>
      <c r="R609">
        <f t="shared" si="162"/>
        <v>3.8252186252185605</v>
      </c>
    </row>
    <row r="610" spans="1:18" x14ac:dyDescent="0.3">
      <c r="A610">
        <v>1.218</v>
      </c>
      <c r="B610" s="4"/>
      <c r="C610">
        <v>-41.224953890006702</v>
      </c>
      <c r="D610">
        <v>1.95</v>
      </c>
      <c r="E610">
        <f t="shared" si="164"/>
        <v>86.064859062385793</v>
      </c>
      <c r="F610">
        <f t="shared" si="152"/>
        <v>1.3577253027008155E-2</v>
      </c>
      <c r="G610">
        <f t="shared" si="153"/>
        <v>4.1991504207241716E-2</v>
      </c>
      <c r="H610">
        <f t="shared" si="154"/>
        <v>74.814958713672482</v>
      </c>
      <c r="I610">
        <f t="shared" si="155"/>
        <v>1.0510134644241769</v>
      </c>
      <c r="J610">
        <f t="shared" si="156"/>
        <v>1.2009235281298323</v>
      </c>
      <c r="K610">
        <f t="shared" si="157"/>
        <v>0.53921168264704977</v>
      </c>
      <c r="L610">
        <f t="shared" si="158"/>
        <v>1.2820757289498927</v>
      </c>
      <c r="M610">
        <f t="shared" si="159"/>
        <v>0.99969349787911577</v>
      </c>
      <c r="N610">
        <f t="shared" si="160"/>
        <v>1.0040089799243259</v>
      </c>
      <c r="O610">
        <v>6.6452268794455066E-3</v>
      </c>
      <c r="P610">
        <v>3.5751724339940674E-3</v>
      </c>
      <c r="Q610">
        <f t="shared" si="161"/>
        <v>3825.2186252185606</v>
      </c>
      <c r="R610">
        <f t="shared" si="162"/>
        <v>3.8252186252185605</v>
      </c>
    </row>
    <row r="611" spans="1:18" x14ac:dyDescent="0.3">
      <c r="A611">
        <v>1.22</v>
      </c>
      <c r="B611" s="4"/>
      <c r="C611">
        <v>-41.224953890006702</v>
      </c>
      <c r="D611">
        <v>1.95</v>
      </c>
      <c r="E611">
        <f t="shared" si="164"/>
        <v>86.064859062385793</v>
      </c>
      <c r="F611">
        <f t="shared" si="152"/>
        <v>1.3577253027008155E-2</v>
      </c>
      <c r="G611">
        <f t="shared" si="153"/>
        <v>4.1991504207241716E-2</v>
      </c>
      <c r="H611">
        <f t="shared" si="154"/>
        <v>74.814958713672482</v>
      </c>
      <c r="I611">
        <f t="shared" si="155"/>
        <v>1.0510134644241769</v>
      </c>
      <c r="J611">
        <f t="shared" si="156"/>
        <v>1.2009235281298323</v>
      </c>
      <c r="K611">
        <f t="shared" si="157"/>
        <v>0.53921168264704977</v>
      </c>
      <c r="L611">
        <f t="shared" si="158"/>
        <v>1.2820757289498927</v>
      </c>
      <c r="M611">
        <f t="shared" si="159"/>
        <v>0.99970064479348575</v>
      </c>
      <c r="N611">
        <f t="shared" si="160"/>
        <v>1.0032757956326095</v>
      </c>
      <c r="O611">
        <v>6.6279965638499317E-3</v>
      </c>
      <c r="P611">
        <v>3.6016391447913081E-3</v>
      </c>
      <c r="Q611">
        <f t="shared" si="161"/>
        <v>3825.2186252185606</v>
      </c>
      <c r="R611">
        <f t="shared" si="162"/>
        <v>3.8252186252185605</v>
      </c>
    </row>
    <row r="612" spans="1:18" x14ac:dyDescent="0.3">
      <c r="A612">
        <v>1.222</v>
      </c>
      <c r="B612" s="4"/>
      <c r="C612">
        <v>-41.224953890006702</v>
      </c>
      <c r="D612">
        <v>1.95</v>
      </c>
      <c r="E612">
        <f t="shared" si="164"/>
        <v>86.064859062385793</v>
      </c>
      <c r="F612">
        <f t="shared" si="152"/>
        <v>1.3577253027008155E-2</v>
      </c>
      <c r="G612">
        <f t="shared" si="153"/>
        <v>4.1991504207241716E-2</v>
      </c>
      <c r="H612">
        <f t="shared" si="154"/>
        <v>74.814958713672482</v>
      </c>
      <c r="I612">
        <f t="shared" si="155"/>
        <v>1.0510134644241769</v>
      </c>
      <c r="J612">
        <f t="shared" si="156"/>
        <v>1.2009235281298323</v>
      </c>
      <c r="K612">
        <f t="shared" si="157"/>
        <v>0.53921168264704977</v>
      </c>
      <c r="L612">
        <f t="shared" si="158"/>
        <v>1.2820757289498927</v>
      </c>
      <c r="M612">
        <f t="shared" si="159"/>
        <v>0.99973954673654108</v>
      </c>
      <c r="N612">
        <f t="shared" si="160"/>
        <v>1.00161817680211</v>
      </c>
      <c r="O612">
        <v>6.5833791392494786E-3</v>
      </c>
      <c r="P612">
        <v>3.6700704920348123E-3</v>
      </c>
      <c r="Q612">
        <f t="shared" si="161"/>
        <v>3825.2186252185606</v>
      </c>
      <c r="R612">
        <f t="shared" si="162"/>
        <v>3.8252186252185605</v>
      </c>
    </row>
    <row r="613" spans="1:18" x14ac:dyDescent="0.3">
      <c r="A613">
        <v>1.224</v>
      </c>
      <c r="B613" s="4"/>
      <c r="C613">
        <v>-41.224953890006702</v>
      </c>
      <c r="D613">
        <v>1.95</v>
      </c>
      <c r="E613">
        <f t="shared" si="164"/>
        <v>86.064859062385793</v>
      </c>
      <c r="F613">
        <f t="shared" si="152"/>
        <v>1.3577253027008155E-2</v>
      </c>
      <c r="G613">
        <f t="shared" si="153"/>
        <v>4.1991504207241716E-2</v>
      </c>
      <c r="H613">
        <f t="shared" si="154"/>
        <v>74.814958713672482</v>
      </c>
      <c r="I613">
        <f t="shared" si="155"/>
        <v>1.0510134644241769</v>
      </c>
      <c r="J613">
        <f t="shared" si="156"/>
        <v>1.2009235281298323</v>
      </c>
      <c r="K613">
        <f t="shared" si="157"/>
        <v>0.53921168264704977</v>
      </c>
      <c r="L613">
        <f t="shared" si="158"/>
        <v>1.2820757289498927</v>
      </c>
      <c r="M613">
        <f t="shared" si="159"/>
        <v>0.99979362488318224</v>
      </c>
      <c r="N613">
        <f t="shared" si="160"/>
        <v>1.0057775975167513</v>
      </c>
      <c r="O613">
        <v>6.5119190062076964E-3</v>
      </c>
      <c r="P613">
        <v>3.8012694040442342E-3</v>
      </c>
      <c r="Q613">
        <f t="shared" si="161"/>
        <v>3825.2186252185606</v>
      </c>
      <c r="R613">
        <f t="shared" si="162"/>
        <v>3.8252186252185605</v>
      </c>
    </row>
    <row r="614" spans="1:18" x14ac:dyDescent="0.3">
      <c r="A614">
        <v>1.226</v>
      </c>
      <c r="B614" s="4"/>
      <c r="C614">
        <v>-41.224953890006702</v>
      </c>
      <c r="D614">
        <v>1.95</v>
      </c>
      <c r="E614">
        <f t="shared" si="164"/>
        <v>86.064859062385793</v>
      </c>
      <c r="F614">
        <f t="shared" si="152"/>
        <v>1.3577253027008155E-2</v>
      </c>
      <c r="G614">
        <f t="shared" si="153"/>
        <v>4.1991504207241716E-2</v>
      </c>
      <c r="H614">
        <f t="shared" si="154"/>
        <v>74.814958713672482</v>
      </c>
      <c r="I614">
        <f t="shared" si="155"/>
        <v>1.0510134644241769</v>
      </c>
      <c r="J614">
        <f t="shared" si="156"/>
        <v>1.2009235281298323</v>
      </c>
      <c r="K614">
        <f t="shared" si="157"/>
        <v>0.53921168264704977</v>
      </c>
      <c r="L614">
        <f t="shared" si="158"/>
        <v>1.2820757289498927</v>
      </c>
      <c r="M614">
        <f t="shared" si="159"/>
        <v>0.99109998944404176</v>
      </c>
      <c r="N614">
        <f t="shared" si="160"/>
        <v>1.0024361454881272</v>
      </c>
      <c r="O614">
        <v>6.3949945318084863E-3</v>
      </c>
      <c r="P614">
        <v>3.940629079380034E-3</v>
      </c>
      <c r="Q614">
        <f t="shared" si="161"/>
        <v>3825.2186252185606</v>
      </c>
      <c r="R614">
        <f t="shared" si="162"/>
        <v>3.8252186252185605</v>
      </c>
    </row>
    <row r="615" spans="1:18" x14ac:dyDescent="0.3">
      <c r="A615">
        <v>1.228</v>
      </c>
      <c r="B615" s="4"/>
      <c r="C615">
        <v>-41.224953890006702</v>
      </c>
      <c r="D615">
        <v>1.95</v>
      </c>
      <c r="E615">
        <f t="shared" si="164"/>
        <v>86.064859062385793</v>
      </c>
      <c r="F615">
        <f t="shared" si="152"/>
        <v>1.3577253027008155E-2</v>
      </c>
      <c r="G615">
        <f t="shared" si="153"/>
        <v>4.1991504207241716E-2</v>
      </c>
      <c r="H615">
        <f t="shared" si="154"/>
        <v>74.814958713672482</v>
      </c>
      <c r="I615">
        <f t="shared" si="155"/>
        <v>1.0510134644241769</v>
      </c>
      <c r="J615">
        <f t="shared" si="156"/>
        <v>1.2009235281298323</v>
      </c>
      <c r="K615">
        <f t="shared" si="157"/>
        <v>0.53921168264704977</v>
      </c>
      <c r="L615">
        <f t="shared" si="158"/>
        <v>1.2820757289498927</v>
      </c>
      <c r="M615">
        <f t="shared" si="159"/>
        <v>0.99343148499127731</v>
      </c>
      <c r="N615">
        <f t="shared" si="160"/>
        <v>1.0002587898873505</v>
      </c>
      <c r="O615">
        <v>6.2777762306021742E-3</v>
      </c>
      <c r="P615">
        <v>4.1135493288118764E-3</v>
      </c>
      <c r="Q615">
        <f t="shared" si="161"/>
        <v>3825.2186252185606</v>
      </c>
      <c r="R615">
        <f t="shared" si="162"/>
        <v>3.8252186252185605</v>
      </c>
    </row>
    <row r="616" spans="1:18" x14ac:dyDescent="0.3">
      <c r="A616">
        <v>1.23</v>
      </c>
      <c r="B616" s="4"/>
      <c r="C616">
        <v>-41.224953890006702</v>
      </c>
      <c r="D616">
        <v>1.95</v>
      </c>
      <c r="E616">
        <f t="shared" si="164"/>
        <v>86.064859062385793</v>
      </c>
      <c r="F616">
        <f t="shared" si="152"/>
        <v>1.3577253027008155E-2</v>
      </c>
      <c r="G616">
        <f t="shared" si="153"/>
        <v>4.1991504207241716E-2</v>
      </c>
      <c r="H616">
        <f t="shared" si="154"/>
        <v>74.814958713672482</v>
      </c>
      <c r="I616">
        <f t="shared" si="155"/>
        <v>1.0510134644241769</v>
      </c>
      <c r="J616">
        <f t="shared" si="156"/>
        <v>1.2009235281298323</v>
      </c>
      <c r="K616">
        <f t="shared" si="157"/>
        <v>0.53921168264704977</v>
      </c>
      <c r="L616">
        <f t="shared" si="158"/>
        <v>1.2820757289498927</v>
      </c>
      <c r="M616">
        <f t="shared" si="159"/>
        <v>0.99563733816651379</v>
      </c>
      <c r="N616">
        <f t="shared" si="160"/>
        <v>1.0001744557242933</v>
      </c>
      <c r="O616">
        <v>6.1373796223996597E-3</v>
      </c>
      <c r="P616">
        <v>4.3156003818508992E-3</v>
      </c>
      <c r="Q616">
        <f t="shared" si="161"/>
        <v>3825.2186252185606</v>
      </c>
      <c r="R616">
        <f t="shared" si="162"/>
        <v>3.8252186252185605</v>
      </c>
    </row>
    <row r="617" spans="1:18" x14ac:dyDescent="0.3">
      <c r="A617">
        <v>1.232</v>
      </c>
      <c r="B617" s="4"/>
      <c r="C617">
        <v>-41.224953890006702</v>
      </c>
      <c r="D617">
        <v>1.95</v>
      </c>
      <c r="E617">
        <f t="shared" si="164"/>
        <v>86.064859062385793</v>
      </c>
      <c r="F617">
        <f t="shared" si="152"/>
        <v>1.3577253027008155E-2</v>
      </c>
      <c r="G617">
        <f t="shared" si="153"/>
        <v>4.1991504207241716E-2</v>
      </c>
      <c r="H617">
        <f t="shared" si="154"/>
        <v>74.814958713672482</v>
      </c>
      <c r="I617">
        <f t="shared" si="155"/>
        <v>1.0510134644241769</v>
      </c>
      <c r="J617">
        <f t="shared" si="156"/>
        <v>1.2009235281298323</v>
      </c>
      <c r="K617">
        <f t="shared" si="157"/>
        <v>0.53921168264704977</v>
      </c>
      <c r="L617">
        <f t="shared" si="158"/>
        <v>1.2820757289498927</v>
      </c>
      <c r="M617">
        <f t="shared" si="159"/>
        <v>0.99749767794043454</v>
      </c>
      <c r="N617">
        <f t="shared" si="160"/>
        <v>1.0032081920423499</v>
      </c>
      <c r="O617">
        <v>5.9753125344417218E-3</v>
      </c>
      <c r="P617">
        <v>4.5422394418101206E-3</v>
      </c>
      <c r="Q617">
        <f t="shared" si="161"/>
        <v>3825.2186252185606</v>
      </c>
      <c r="R617">
        <f t="shared" si="162"/>
        <v>3.8252186252185605</v>
      </c>
    </row>
    <row r="618" spans="1:18" x14ac:dyDescent="0.3">
      <c r="A618">
        <v>1.234</v>
      </c>
      <c r="B618" s="4"/>
      <c r="C618">
        <v>-41.224953890006702</v>
      </c>
      <c r="D618">
        <v>1.95</v>
      </c>
      <c r="E618">
        <f t="shared" si="164"/>
        <v>86.064859062385793</v>
      </c>
      <c r="F618">
        <f t="shared" si="152"/>
        <v>1.3577253027008155E-2</v>
      </c>
      <c r="G618">
        <f t="shared" si="153"/>
        <v>4.1991504207241716E-2</v>
      </c>
      <c r="H618">
        <f t="shared" si="154"/>
        <v>74.814958713672482</v>
      </c>
      <c r="I618">
        <f t="shared" si="155"/>
        <v>1.0510134644241769</v>
      </c>
      <c r="J618">
        <f t="shared" si="156"/>
        <v>1.2009235281298323</v>
      </c>
      <c r="K618">
        <f t="shared" si="157"/>
        <v>0.53921168264704977</v>
      </c>
      <c r="L618">
        <f t="shared" si="158"/>
        <v>1.2820757289498927</v>
      </c>
      <c r="M618">
        <f t="shared" si="159"/>
        <v>0.99886164097678054</v>
      </c>
      <c r="N618">
        <f t="shared" si="160"/>
        <v>1.0013653381564811</v>
      </c>
      <c r="O618">
        <v>5.7935491423652449E-3</v>
      </c>
      <c r="P618">
        <v>4.7625516445157206E-3</v>
      </c>
      <c r="Q618">
        <f t="shared" si="161"/>
        <v>3825.2186252185606</v>
      </c>
      <c r="R618">
        <f t="shared" si="162"/>
        <v>3.8252186252185605</v>
      </c>
    </row>
    <row r="619" spans="1:18" x14ac:dyDescent="0.3">
      <c r="A619">
        <v>1.236</v>
      </c>
      <c r="B619" s="4"/>
      <c r="C619">
        <v>-41.224953890006702</v>
      </c>
      <c r="D619">
        <v>1.95</v>
      </c>
      <c r="E619">
        <f t="shared" si="164"/>
        <v>86.064859062385793</v>
      </c>
      <c r="F619">
        <f t="shared" si="152"/>
        <v>1.3577253027008155E-2</v>
      </c>
      <c r="G619">
        <f t="shared" si="153"/>
        <v>4.1991504207241716E-2</v>
      </c>
      <c r="H619">
        <f t="shared" si="154"/>
        <v>74.814958713672482</v>
      </c>
      <c r="I619">
        <f t="shared" si="155"/>
        <v>1.0510134644241769</v>
      </c>
      <c r="J619">
        <f t="shared" si="156"/>
        <v>1.2009235281298323</v>
      </c>
      <c r="K619">
        <f t="shared" si="157"/>
        <v>0.53921168264704977</v>
      </c>
      <c r="L619">
        <f t="shared" si="158"/>
        <v>1.2820757289498927</v>
      </c>
      <c r="M619">
        <f t="shared" si="159"/>
        <v>0.99967341837046075</v>
      </c>
      <c r="N619">
        <f t="shared" si="160"/>
        <v>1.0087250983652083</v>
      </c>
      <c r="O619">
        <v>5.5946121338840095E-3</v>
      </c>
      <c r="P619">
        <v>5.012218334920362E-3</v>
      </c>
      <c r="Q619">
        <f t="shared" si="161"/>
        <v>3825.2186252185606</v>
      </c>
      <c r="R619">
        <f t="shared" si="162"/>
        <v>3.8252186252185605</v>
      </c>
    </row>
    <row r="620" spans="1:18" x14ac:dyDescent="0.3">
      <c r="A620">
        <v>1.238</v>
      </c>
      <c r="B620" s="4"/>
      <c r="C620">
        <v>-41.224953890006702</v>
      </c>
      <c r="D620">
        <v>1.95</v>
      </c>
      <c r="E620">
        <f t="shared" si="164"/>
        <v>86.064859062385793</v>
      </c>
      <c r="F620">
        <f t="shared" si="152"/>
        <v>1.3577253027008155E-2</v>
      </c>
      <c r="G620">
        <f t="shared" si="153"/>
        <v>4.1991504207241716E-2</v>
      </c>
      <c r="H620">
        <f t="shared" si="154"/>
        <v>74.814958713672482</v>
      </c>
      <c r="I620">
        <f t="shared" si="155"/>
        <v>1.0510134644241769</v>
      </c>
      <c r="J620">
        <f t="shared" si="156"/>
        <v>1.2009235281298323</v>
      </c>
      <c r="K620">
        <f t="shared" si="157"/>
        <v>0.53921168264704977</v>
      </c>
      <c r="L620">
        <f t="shared" si="158"/>
        <v>1.2820757289498927</v>
      </c>
      <c r="M620">
        <f t="shared" si="159"/>
        <v>1.0024204202472626</v>
      </c>
      <c r="N620">
        <f t="shared" si="160"/>
        <v>0.99888957033440295</v>
      </c>
      <c r="O620">
        <v>5.3880106975045805E-3</v>
      </c>
      <c r="P620">
        <v>5.2122269362348782E-3</v>
      </c>
      <c r="Q620">
        <f t="shared" si="161"/>
        <v>3825.2186252185606</v>
      </c>
      <c r="R620">
        <f t="shared" si="162"/>
        <v>3.8252186252185605</v>
      </c>
    </row>
    <row r="621" spans="1:18" x14ac:dyDescent="0.3">
      <c r="A621">
        <v>1.24</v>
      </c>
      <c r="B621" s="4"/>
      <c r="C621">
        <v>-41.224953890006702</v>
      </c>
      <c r="D621">
        <v>1.95</v>
      </c>
      <c r="E621">
        <f t="shared" si="164"/>
        <v>86.064859062385793</v>
      </c>
      <c r="F621">
        <f t="shared" si="152"/>
        <v>1.3577253027008155E-2</v>
      </c>
      <c r="G621">
        <f t="shared" si="153"/>
        <v>4.1991504207241716E-2</v>
      </c>
      <c r="H621">
        <f t="shared" si="154"/>
        <v>74.814958713672482</v>
      </c>
      <c r="I621">
        <f t="shared" si="155"/>
        <v>1.0510134644241769</v>
      </c>
      <c r="J621">
        <f t="shared" si="156"/>
        <v>1.2009235281298323</v>
      </c>
      <c r="K621">
        <f t="shared" si="157"/>
        <v>0.53921168264704977</v>
      </c>
      <c r="L621">
        <f t="shared" si="158"/>
        <v>1.2820757289498927</v>
      </c>
      <c r="M621">
        <f t="shared" si="159"/>
        <v>0.99797443424762067</v>
      </c>
      <c r="N621">
        <f t="shared" si="160"/>
        <v>0.99732626480204545</v>
      </c>
      <c r="O621">
        <v>5.1531489897656954E-3</v>
      </c>
      <c r="P621">
        <v>5.4293582364414875E-3</v>
      </c>
      <c r="Q621">
        <f t="shared" si="161"/>
        <v>3825.2186252185606</v>
      </c>
      <c r="R621">
        <f t="shared" si="162"/>
        <v>3.8252186252185605</v>
      </c>
    </row>
    <row r="622" spans="1:18" x14ac:dyDescent="0.3">
      <c r="A622">
        <v>1.242</v>
      </c>
      <c r="B622" s="4"/>
      <c r="C622">
        <v>-41.224953890006702</v>
      </c>
      <c r="D622">
        <v>1.95</v>
      </c>
      <c r="E622">
        <f t="shared" si="164"/>
        <v>86.064859062385793</v>
      </c>
      <c r="F622">
        <f t="shared" si="152"/>
        <v>1.3577253027008155E-2</v>
      </c>
      <c r="G622">
        <f t="shared" si="153"/>
        <v>4.1991504207241716E-2</v>
      </c>
      <c r="H622">
        <f t="shared" si="154"/>
        <v>74.814958713672482</v>
      </c>
      <c r="I622">
        <f t="shared" si="155"/>
        <v>1.0510134644241769</v>
      </c>
      <c r="J622">
        <f t="shared" si="156"/>
        <v>1.2009235281298323</v>
      </c>
      <c r="K622">
        <f t="shared" si="157"/>
        <v>0.53921168264704977</v>
      </c>
      <c r="L622">
        <f t="shared" si="158"/>
        <v>1.2820757289498927</v>
      </c>
      <c r="M622">
        <f t="shared" si="159"/>
        <v>0.99933057229978561</v>
      </c>
      <c r="N622">
        <f t="shared" si="160"/>
        <v>1.0043882125629815</v>
      </c>
      <c r="O622">
        <v>4.9284590604484089E-3</v>
      </c>
      <c r="P622">
        <v>5.6580766030311039E-3</v>
      </c>
      <c r="Q622">
        <f t="shared" si="161"/>
        <v>3825.2186252185606</v>
      </c>
      <c r="R622">
        <f t="shared" si="162"/>
        <v>3.8252186252185605</v>
      </c>
    </row>
    <row r="623" spans="1:18" x14ac:dyDescent="0.3">
      <c r="A623">
        <v>1.244</v>
      </c>
      <c r="B623" s="4"/>
      <c r="C623">
        <v>-41.224953890006702</v>
      </c>
      <c r="D623">
        <v>1.95</v>
      </c>
      <c r="E623">
        <f t="shared" si="164"/>
        <v>86.064859062385793</v>
      </c>
      <c r="F623">
        <f t="shared" si="152"/>
        <v>1.3577253027008155E-2</v>
      </c>
      <c r="G623">
        <f t="shared" si="153"/>
        <v>4.1991504207241716E-2</v>
      </c>
      <c r="H623">
        <f t="shared" si="154"/>
        <v>74.814958713672482</v>
      </c>
      <c r="I623">
        <f t="shared" si="155"/>
        <v>1.0510134644241769</v>
      </c>
      <c r="J623">
        <f t="shared" si="156"/>
        <v>1.2009235281298323</v>
      </c>
      <c r="K623">
        <f t="shared" si="157"/>
        <v>0.53921168264704977</v>
      </c>
      <c r="L623">
        <f t="shared" si="158"/>
        <v>1.2820757289498927</v>
      </c>
      <c r="M623">
        <f t="shared" si="159"/>
        <v>1.0047938849112878</v>
      </c>
      <c r="N623">
        <f t="shared" si="160"/>
        <v>0.99959681635656572</v>
      </c>
      <c r="O623">
        <v>4.7155521642570034E-3</v>
      </c>
      <c r="P623">
        <v>5.8433106409939255E-3</v>
      </c>
      <c r="Q623">
        <f t="shared" si="161"/>
        <v>3825.2186252185606</v>
      </c>
      <c r="R623">
        <f t="shared" si="162"/>
        <v>3.8252186252185605</v>
      </c>
    </row>
    <row r="624" spans="1:18" x14ac:dyDescent="0.3">
      <c r="A624">
        <v>1.246</v>
      </c>
      <c r="B624" s="4"/>
      <c r="C624">
        <v>-41.224953890006702</v>
      </c>
      <c r="D624">
        <v>1.95</v>
      </c>
      <c r="E624">
        <f t="shared" si="164"/>
        <v>86.064859062385793</v>
      </c>
      <c r="F624">
        <f t="shared" si="152"/>
        <v>1.3577253027008155E-2</v>
      </c>
      <c r="G624">
        <f t="shared" si="153"/>
        <v>4.1991504207241716E-2</v>
      </c>
      <c r="H624">
        <f t="shared" si="154"/>
        <v>74.814958713672482</v>
      </c>
      <c r="I624">
        <f t="shared" si="155"/>
        <v>1.0510134644241769</v>
      </c>
      <c r="J624">
        <f t="shared" si="156"/>
        <v>1.2009235281298323</v>
      </c>
      <c r="K624">
        <f t="shared" si="157"/>
        <v>0.53921168264704977</v>
      </c>
      <c r="L624">
        <f t="shared" si="158"/>
        <v>1.2820757289498927</v>
      </c>
      <c r="M624">
        <f t="shared" si="159"/>
        <v>1.0063976726082373</v>
      </c>
      <c r="N624">
        <f t="shared" si="160"/>
        <v>0.99883322550735021</v>
      </c>
      <c r="O624">
        <v>4.4966768407112574E-3</v>
      </c>
      <c r="P624">
        <v>6.0220167403918804E-3</v>
      </c>
      <c r="Q624">
        <f t="shared" si="161"/>
        <v>3825.2186252185606</v>
      </c>
      <c r="R624">
        <f t="shared" si="162"/>
        <v>3.8252186252185605</v>
      </c>
    </row>
    <row r="625" spans="1:18" x14ac:dyDescent="0.3">
      <c r="A625">
        <v>1.248</v>
      </c>
      <c r="B625" s="4">
        <v>57</v>
      </c>
      <c r="C625">
        <v>-40.711730701670298</v>
      </c>
      <c r="D625">
        <v>1.95</v>
      </c>
      <c r="E625">
        <f>$E$624+$R$624</f>
        <v>89.890077687604347</v>
      </c>
      <c r="F625">
        <f t="shared" si="152"/>
        <v>1.387569862522277E-2</v>
      </c>
      <c r="G625">
        <f t="shared" si="153"/>
        <v>4.2914531830585891E-2</v>
      </c>
      <c r="H625">
        <f t="shared" si="154"/>
        <v>73.205800449877643</v>
      </c>
      <c r="I625">
        <f t="shared" si="155"/>
        <v>1.0488164834786158</v>
      </c>
      <c r="J625">
        <f t="shared" si="156"/>
        <v>1.1919837524814838</v>
      </c>
      <c r="K625">
        <f t="shared" si="157"/>
        <v>0.54101184123442436</v>
      </c>
      <c r="L625">
        <f t="shared" si="158"/>
        <v>1.2789243602499007</v>
      </c>
      <c r="M625">
        <f t="shared" si="159"/>
        <v>0.99971294146179568</v>
      </c>
      <c r="N625">
        <f t="shared" si="160"/>
        <v>1.0024056797351182</v>
      </c>
      <c r="O625">
        <v>6.6147491282743847E-3</v>
      </c>
      <c r="P625">
        <v>3.6354652006173357E-3</v>
      </c>
      <c r="Q625">
        <f t="shared" si="161"/>
        <v>3839.1639383043644</v>
      </c>
      <c r="R625">
        <f t="shared" si="162"/>
        <v>3.8391639383043645</v>
      </c>
    </row>
    <row r="626" spans="1:18" x14ac:dyDescent="0.3">
      <c r="A626">
        <v>1.25</v>
      </c>
      <c r="B626" s="4"/>
      <c r="C626">
        <v>-40.711730701670298</v>
      </c>
      <c r="D626">
        <v>1.95</v>
      </c>
      <c r="E626">
        <f t="shared" ref="E626:E645" si="165">$E$624+$R$624</f>
        <v>89.890077687604347</v>
      </c>
      <c r="F626">
        <f t="shared" si="152"/>
        <v>1.387569862522277E-2</v>
      </c>
      <c r="G626">
        <f t="shared" si="153"/>
        <v>4.2914531830585891E-2</v>
      </c>
      <c r="H626">
        <f t="shared" si="154"/>
        <v>73.205800449877643</v>
      </c>
      <c r="I626">
        <f t="shared" si="155"/>
        <v>1.0488164834786158</v>
      </c>
      <c r="J626">
        <f t="shared" si="156"/>
        <v>1.1919837524814838</v>
      </c>
      <c r="K626">
        <f t="shared" si="157"/>
        <v>0.54101184123442436</v>
      </c>
      <c r="L626">
        <f t="shared" si="158"/>
        <v>1.2789243602499007</v>
      </c>
      <c r="M626">
        <f t="shared" si="159"/>
        <v>0.99976167794125359</v>
      </c>
      <c r="N626">
        <f t="shared" si="160"/>
        <v>1.0091079303628057</v>
      </c>
      <c r="O626">
        <v>6.5560126212822721E-3</v>
      </c>
      <c r="P626">
        <v>3.7574298432133889E-3</v>
      </c>
      <c r="Q626">
        <f t="shared" si="161"/>
        <v>3839.1639383043644</v>
      </c>
      <c r="R626">
        <f t="shared" si="162"/>
        <v>3.8391639383043645</v>
      </c>
    </row>
    <row r="627" spans="1:18" x14ac:dyDescent="0.3">
      <c r="A627">
        <v>1.252</v>
      </c>
      <c r="B627" s="4"/>
      <c r="C627">
        <v>-40.711730701670298</v>
      </c>
      <c r="D627">
        <v>1.95</v>
      </c>
      <c r="E627">
        <f t="shared" si="165"/>
        <v>89.890077687604347</v>
      </c>
      <c r="F627">
        <f t="shared" si="152"/>
        <v>1.387569862522277E-2</v>
      </c>
      <c r="G627">
        <f t="shared" si="153"/>
        <v>4.2914531830585891E-2</v>
      </c>
      <c r="H627">
        <f t="shared" si="154"/>
        <v>73.205800449877643</v>
      </c>
      <c r="I627">
        <f t="shared" si="155"/>
        <v>1.0488164834786158</v>
      </c>
      <c r="J627">
        <f t="shared" si="156"/>
        <v>1.1919837524814838</v>
      </c>
      <c r="K627">
        <f t="shared" si="157"/>
        <v>0.54101184123442436</v>
      </c>
      <c r="L627">
        <f t="shared" si="158"/>
        <v>1.2789243602499007</v>
      </c>
      <c r="M627">
        <f t="shared" si="159"/>
        <v>0.99982004221422693</v>
      </c>
      <c r="N627">
        <f t="shared" si="160"/>
        <v>1.003890805527285</v>
      </c>
      <c r="O627">
        <v>6.471980987060256E-3</v>
      </c>
      <c r="P627">
        <v>3.8720446703113219E-3</v>
      </c>
      <c r="Q627">
        <f t="shared" si="161"/>
        <v>3839.1639383043644</v>
      </c>
      <c r="R627">
        <f t="shared" si="162"/>
        <v>3.8391639383043645</v>
      </c>
    </row>
    <row r="628" spans="1:18" x14ac:dyDescent="0.3">
      <c r="A628">
        <v>1.254</v>
      </c>
      <c r="B628" s="4"/>
      <c r="C628">
        <v>-40.711730701670298</v>
      </c>
      <c r="D628">
        <v>1.95</v>
      </c>
      <c r="E628">
        <f t="shared" si="165"/>
        <v>89.890077687604347</v>
      </c>
      <c r="F628">
        <f t="shared" si="152"/>
        <v>1.387569862522277E-2</v>
      </c>
      <c r="G628">
        <f t="shared" si="153"/>
        <v>4.2914531830585891E-2</v>
      </c>
      <c r="H628">
        <f t="shared" si="154"/>
        <v>73.205800449877643</v>
      </c>
      <c r="I628">
        <f t="shared" si="155"/>
        <v>1.0488164834786158</v>
      </c>
      <c r="J628">
        <f t="shared" si="156"/>
        <v>1.1919837524814838</v>
      </c>
      <c r="K628">
        <f t="shared" si="157"/>
        <v>0.54101184123442436</v>
      </c>
      <c r="L628">
        <f t="shared" si="158"/>
        <v>1.2789243602499007</v>
      </c>
      <c r="M628">
        <f t="shared" si="159"/>
        <v>0.99213912624135803</v>
      </c>
      <c r="N628">
        <f t="shared" si="160"/>
        <v>1.0010748620703349</v>
      </c>
      <c r="O628">
        <v>6.3462608201095986E-3</v>
      </c>
      <c r="P628">
        <v>4.0268879678215424E-3</v>
      </c>
      <c r="Q628">
        <f t="shared" si="161"/>
        <v>3839.1639383043644</v>
      </c>
      <c r="R628">
        <f t="shared" si="162"/>
        <v>3.8391639383043645</v>
      </c>
    </row>
    <row r="629" spans="1:18" x14ac:dyDescent="0.3">
      <c r="A629">
        <v>1.256</v>
      </c>
      <c r="B629" s="4"/>
      <c r="C629">
        <v>-40.711730701670298</v>
      </c>
      <c r="D629">
        <v>1.95</v>
      </c>
      <c r="E629">
        <f t="shared" si="165"/>
        <v>89.890077687604347</v>
      </c>
      <c r="F629">
        <f t="shared" si="152"/>
        <v>1.387569862522277E-2</v>
      </c>
      <c r="G629">
        <f t="shared" si="153"/>
        <v>4.2914531830585891E-2</v>
      </c>
      <c r="H629">
        <f t="shared" si="154"/>
        <v>73.205800449877643</v>
      </c>
      <c r="I629">
        <f t="shared" si="155"/>
        <v>1.0488164834786158</v>
      </c>
      <c r="J629">
        <f t="shared" si="156"/>
        <v>1.1919837524814838</v>
      </c>
      <c r="K629">
        <f t="shared" si="157"/>
        <v>0.54101184123442436</v>
      </c>
      <c r="L629">
        <f t="shared" si="158"/>
        <v>1.2789243602499007</v>
      </c>
      <c r="M629">
        <f t="shared" si="159"/>
        <v>0.99442371140803865</v>
      </c>
      <c r="N629">
        <f t="shared" si="160"/>
        <v>1.002861611179118</v>
      </c>
      <c r="O629">
        <v>6.2198444369138605E-3</v>
      </c>
      <c r="P629">
        <v>4.2218312845094261E-3</v>
      </c>
      <c r="Q629">
        <f t="shared" si="161"/>
        <v>3839.1639383043644</v>
      </c>
      <c r="R629">
        <f t="shared" si="162"/>
        <v>3.8391639383043645</v>
      </c>
    </row>
    <row r="630" spans="1:18" x14ac:dyDescent="0.3">
      <c r="A630">
        <v>1.258</v>
      </c>
      <c r="B630" s="4"/>
      <c r="C630">
        <v>-40.711730701670298</v>
      </c>
      <c r="D630">
        <v>1.95</v>
      </c>
      <c r="E630">
        <f t="shared" si="165"/>
        <v>89.890077687604347</v>
      </c>
      <c r="F630">
        <f t="shared" si="152"/>
        <v>1.387569862522277E-2</v>
      </c>
      <c r="G630">
        <f t="shared" si="153"/>
        <v>4.2914531830585891E-2</v>
      </c>
      <c r="H630">
        <f t="shared" si="154"/>
        <v>73.205800449877643</v>
      </c>
      <c r="I630">
        <f t="shared" si="155"/>
        <v>1.0488164834786158</v>
      </c>
      <c r="J630">
        <f t="shared" si="156"/>
        <v>1.1919837524814838</v>
      </c>
      <c r="K630">
        <f t="shared" si="157"/>
        <v>0.54101184123442436</v>
      </c>
      <c r="L630">
        <f t="shared" si="158"/>
        <v>1.2789243602499007</v>
      </c>
      <c r="M630">
        <f t="shared" si="159"/>
        <v>0.99647775860838639</v>
      </c>
      <c r="N630">
        <f t="shared" si="160"/>
        <v>1.0011474448204751</v>
      </c>
      <c r="O630">
        <v>6.0718330341918512E-3</v>
      </c>
      <c r="P630">
        <v>4.4228625381999495E-3</v>
      </c>
      <c r="Q630">
        <f t="shared" si="161"/>
        <v>3839.1639383043644</v>
      </c>
      <c r="R630">
        <f t="shared" si="162"/>
        <v>3.8391639383043645</v>
      </c>
    </row>
    <row r="631" spans="1:18" x14ac:dyDescent="0.3">
      <c r="A631">
        <v>1.26</v>
      </c>
      <c r="B631" s="4"/>
      <c r="C631">
        <v>-40.711730701670298</v>
      </c>
      <c r="D631">
        <v>1.95</v>
      </c>
      <c r="E631">
        <f t="shared" si="165"/>
        <v>89.890077687604347</v>
      </c>
      <c r="F631">
        <f t="shared" si="152"/>
        <v>1.387569862522277E-2</v>
      </c>
      <c r="G631">
        <f t="shared" si="153"/>
        <v>4.2914531830585891E-2</v>
      </c>
      <c r="H631">
        <f t="shared" si="154"/>
        <v>73.205800449877643</v>
      </c>
      <c r="I631">
        <f t="shared" si="155"/>
        <v>1.0488164834786158</v>
      </c>
      <c r="J631">
        <f t="shared" si="156"/>
        <v>1.1919837524814838</v>
      </c>
      <c r="K631">
        <f t="shared" si="157"/>
        <v>0.54101184123442436</v>
      </c>
      <c r="L631">
        <f t="shared" si="158"/>
        <v>1.2789243602499007</v>
      </c>
      <c r="M631">
        <f t="shared" si="159"/>
        <v>0.99811988662725482</v>
      </c>
      <c r="N631">
        <f t="shared" si="160"/>
        <v>1.0060953744915024</v>
      </c>
      <c r="O631">
        <v>5.9038251725433508E-3</v>
      </c>
      <c r="P631">
        <v>4.6558502870269669E-3</v>
      </c>
      <c r="Q631">
        <f t="shared" si="161"/>
        <v>3839.1639383043644</v>
      </c>
      <c r="R631">
        <f t="shared" si="162"/>
        <v>3.8391639383043645</v>
      </c>
    </row>
    <row r="632" spans="1:18" x14ac:dyDescent="0.3">
      <c r="A632">
        <v>1.262</v>
      </c>
      <c r="B632" s="4"/>
      <c r="C632">
        <v>-40.711730701670298</v>
      </c>
      <c r="D632">
        <v>1.95</v>
      </c>
      <c r="E632">
        <f t="shared" si="165"/>
        <v>89.890077687604347</v>
      </c>
      <c r="F632">
        <f t="shared" si="152"/>
        <v>1.387569862522277E-2</v>
      </c>
      <c r="G632">
        <f t="shared" si="153"/>
        <v>4.2914531830585891E-2</v>
      </c>
      <c r="H632">
        <f t="shared" si="154"/>
        <v>73.205800449877643</v>
      </c>
      <c r="I632">
        <f t="shared" si="155"/>
        <v>1.0488164834786158</v>
      </c>
      <c r="J632">
        <f t="shared" si="156"/>
        <v>1.1919837524814838</v>
      </c>
      <c r="K632">
        <f t="shared" si="157"/>
        <v>0.54101184123442436</v>
      </c>
      <c r="L632">
        <f t="shared" si="158"/>
        <v>1.2789243602499007</v>
      </c>
      <c r="M632">
        <f t="shared" si="159"/>
        <v>0.99924488890584739</v>
      </c>
      <c r="N632">
        <f t="shared" si="160"/>
        <v>1.0040764390571904</v>
      </c>
      <c r="O632">
        <v>5.7178831253222118E-3</v>
      </c>
      <c r="P632">
        <v>4.8733985500879415E-3</v>
      </c>
      <c r="Q632">
        <f t="shared" si="161"/>
        <v>3839.1639383043644</v>
      </c>
      <c r="R632">
        <f t="shared" si="162"/>
        <v>3.8391639383043645</v>
      </c>
    </row>
    <row r="633" spans="1:18" x14ac:dyDescent="0.3">
      <c r="A633">
        <v>1.264</v>
      </c>
      <c r="B633" s="4"/>
      <c r="C633">
        <v>-40.711730701670298</v>
      </c>
      <c r="D633">
        <v>1.95</v>
      </c>
      <c r="E633">
        <f t="shared" si="165"/>
        <v>89.890077687604347</v>
      </c>
      <c r="F633">
        <f t="shared" si="152"/>
        <v>1.387569862522277E-2</v>
      </c>
      <c r="G633">
        <f t="shared" si="153"/>
        <v>4.2914531830585891E-2</v>
      </c>
      <c r="H633">
        <f t="shared" si="154"/>
        <v>73.205800449877643</v>
      </c>
      <c r="I633">
        <f t="shared" si="155"/>
        <v>1.0488164834786158</v>
      </c>
      <c r="J633">
        <f t="shared" si="156"/>
        <v>1.1919837524814838</v>
      </c>
      <c r="K633">
        <f t="shared" si="157"/>
        <v>0.54101184123442436</v>
      </c>
      <c r="L633">
        <f t="shared" si="158"/>
        <v>1.2789243602499007</v>
      </c>
      <c r="M633">
        <f t="shared" si="159"/>
        <v>1.0083429153237546</v>
      </c>
      <c r="N633">
        <f t="shared" si="160"/>
        <v>0.99945558250344779</v>
      </c>
      <c r="O633">
        <v>5.5383179408247159E-3</v>
      </c>
      <c r="P633">
        <v>5.0851067313881834E-3</v>
      </c>
      <c r="Q633">
        <f t="shared" si="161"/>
        <v>3839.1639383043644</v>
      </c>
      <c r="R633">
        <f t="shared" si="162"/>
        <v>3.8391639383043645</v>
      </c>
    </row>
    <row r="634" spans="1:18" x14ac:dyDescent="0.3">
      <c r="A634">
        <v>1.266</v>
      </c>
      <c r="B634" s="4"/>
      <c r="C634">
        <v>-40.711730701670298</v>
      </c>
      <c r="D634">
        <v>1.95</v>
      </c>
      <c r="E634">
        <f t="shared" si="165"/>
        <v>89.890077687604347</v>
      </c>
      <c r="F634">
        <f t="shared" si="152"/>
        <v>1.387569862522277E-2</v>
      </c>
      <c r="G634">
        <f t="shared" si="153"/>
        <v>4.2914531830585891E-2</v>
      </c>
      <c r="H634">
        <f t="shared" si="154"/>
        <v>73.205800449877643</v>
      </c>
      <c r="I634">
        <f t="shared" si="155"/>
        <v>1.0488164834786158</v>
      </c>
      <c r="J634">
        <f t="shared" si="156"/>
        <v>1.1919837524814838</v>
      </c>
      <c r="K634">
        <f t="shared" si="157"/>
        <v>0.54101184123442436</v>
      </c>
      <c r="L634">
        <f t="shared" si="158"/>
        <v>1.2789243602499007</v>
      </c>
      <c r="M634">
        <f t="shared" si="159"/>
        <v>1.0030676705701547</v>
      </c>
      <c r="N634">
        <f t="shared" si="160"/>
        <v>0.99831249178306836</v>
      </c>
      <c r="O634">
        <v>5.3113407600572666E-3</v>
      </c>
      <c r="P634">
        <v>5.3033777333983808E-3</v>
      </c>
      <c r="Q634">
        <f t="shared" si="161"/>
        <v>3839.1639383043644</v>
      </c>
      <c r="R634">
        <f t="shared" si="162"/>
        <v>3.8391639383043645</v>
      </c>
    </row>
    <row r="635" spans="1:18" x14ac:dyDescent="0.3">
      <c r="A635">
        <v>1.268</v>
      </c>
      <c r="B635" s="4"/>
      <c r="C635">
        <v>-40.711730701670298</v>
      </c>
      <c r="D635">
        <v>1.95</v>
      </c>
      <c r="E635">
        <f t="shared" si="165"/>
        <v>89.890077687604347</v>
      </c>
      <c r="F635">
        <f t="shared" si="152"/>
        <v>1.387569862522277E-2</v>
      </c>
      <c r="G635">
        <f t="shared" si="153"/>
        <v>4.2914531830585891E-2</v>
      </c>
      <c r="H635">
        <f t="shared" si="154"/>
        <v>73.205800449877643</v>
      </c>
      <c r="I635">
        <f t="shared" si="155"/>
        <v>1.0488164834786158</v>
      </c>
      <c r="J635">
        <f t="shared" si="156"/>
        <v>1.1919837524814838</v>
      </c>
      <c r="K635">
        <f t="shared" si="157"/>
        <v>0.54101184123442436</v>
      </c>
      <c r="L635">
        <f t="shared" si="158"/>
        <v>1.2789243602499007</v>
      </c>
      <c r="M635">
        <f t="shared" si="159"/>
        <v>0.99854367924115772</v>
      </c>
      <c r="N635">
        <f t="shared" si="160"/>
        <v>1.0035775748065199</v>
      </c>
      <c r="O635">
        <v>5.0778162274729812E-3</v>
      </c>
      <c r="P635">
        <v>5.5305989827073481E-3</v>
      </c>
      <c r="Q635">
        <f t="shared" si="161"/>
        <v>3839.1639383043644</v>
      </c>
      <c r="R635">
        <f t="shared" si="162"/>
        <v>3.8391639383043645</v>
      </c>
    </row>
    <row r="636" spans="1:18" x14ac:dyDescent="0.3">
      <c r="A636">
        <v>1.27</v>
      </c>
      <c r="B636" s="4"/>
      <c r="C636">
        <v>-40.711730701670298</v>
      </c>
      <c r="D636">
        <v>1.95</v>
      </c>
      <c r="E636">
        <f t="shared" si="165"/>
        <v>89.890077687604347</v>
      </c>
      <c r="F636">
        <f t="shared" si="152"/>
        <v>1.387569862522277E-2</v>
      </c>
      <c r="G636">
        <f t="shared" si="153"/>
        <v>4.2914531830585891E-2</v>
      </c>
      <c r="H636">
        <f t="shared" si="154"/>
        <v>73.205800449877643</v>
      </c>
      <c r="I636">
        <f t="shared" si="155"/>
        <v>1.0488164834786158</v>
      </c>
      <c r="J636">
        <f t="shared" si="156"/>
        <v>1.1919837524814838</v>
      </c>
      <c r="K636">
        <f t="shared" si="157"/>
        <v>0.54101184123442436</v>
      </c>
      <c r="L636">
        <f t="shared" si="158"/>
        <v>1.2789243602499007</v>
      </c>
      <c r="M636">
        <f t="shared" si="159"/>
        <v>0.99958353220804508</v>
      </c>
      <c r="N636">
        <f t="shared" si="160"/>
        <v>1.0079492612672207</v>
      </c>
      <c r="O636">
        <v>4.8556799745265635E-3</v>
      </c>
      <c r="P636">
        <v>5.7435610143394883E-3</v>
      </c>
      <c r="Q636">
        <f t="shared" si="161"/>
        <v>3839.1639383043644</v>
      </c>
      <c r="R636">
        <f t="shared" si="162"/>
        <v>3.8391639383043645</v>
      </c>
    </row>
    <row r="637" spans="1:18" x14ac:dyDescent="0.3">
      <c r="A637">
        <v>1.272</v>
      </c>
      <c r="B637" s="4"/>
      <c r="C637">
        <v>-40.711730701670298</v>
      </c>
      <c r="D637">
        <v>1.95</v>
      </c>
      <c r="E637">
        <f t="shared" si="165"/>
        <v>89.890077687604347</v>
      </c>
      <c r="F637">
        <f t="shared" si="152"/>
        <v>1.387569862522277E-2</v>
      </c>
      <c r="G637">
        <f t="shared" si="153"/>
        <v>4.2914531830585891E-2</v>
      </c>
      <c r="H637">
        <f t="shared" si="154"/>
        <v>73.205800449877643</v>
      </c>
      <c r="I637">
        <f t="shared" si="155"/>
        <v>1.0488164834786158</v>
      </c>
      <c r="J637">
        <f t="shared" si="156"/>
        <v>1.1919837524814838</v>
      </c>
      <c r="K637">
        <f t="shared" si="157"/>
        <v>0.54101184123442436</v>
      </c>
      <c r="L637">
        <f t="shared" si="158"/>
        <v>1.2789243602499007</v>
      </c>
      <c r="M637">
        <f t="shared" si="159"/>
        <v>1.0027534038781298</v>
      </c>
      <c r="N637">
        <f t="shared" si="160"/>
        <v>0.99936739175535905</v>
      </c>
      <c r="O637">
        <v>4.6411008257361691E-3</v>
      </c>
      <c r="P637">
        <v>5.9106704982712513E-3</v>
      </c>
      <c r="Q637">
        <f t="shared" si="161"/>
        <v>3839.1639383043644</v>
      </c>
      <c r="R637">
        <f t="shared" si="162"/>
        <v>3.8391639383043645</v>
      </c>
    </row>
    <row r="638" spans="1:18" x14ac:dyDescent="0.3">
      <c r="A638">
        <v>1.274</v>
      </c>
      <c r="B638" s="4"/>
      <c r="C638">
        <v>-40.711730701670298</v>
      </c>
      <c r="D638">
        <v>1.95</v>
      </c>
      <c r="E638">
        <f t="shared" si="165"/>
        <v>89.890077687604347</v>
      </c>
      <c r="F638">
        <f t="shared" si="152"/>
        <v>1.387569862522277E-2</v>
      </c>
      <c r="G638">
        <f t="shared" si="153"/>
        <v>4.2914531830585891E-2</v>
      </c>
      <c r="H638">
        <f t="shared" si="154"/>
        <v>73.205800449877643</v>
      </c>
      <c r="I638">
        <f t="shared" si="155"/>
        <v>1.0488164834786158</v>
      </c>
      <c r="J638">
        <f t="shared" si="156"/>
        <v>1.1919837524814838</v>
      </c>
      <c r="K638">
        <f t="shared" si="157"/>
        <v>0.54101184123442436</v>
      </c>
      <c r="L638">
        <f t="shared" si="158"/>
        <v>1.2789243602499007</v>
      </c>
      <c r="M638">
        <f t="shared" si="159"/>
        <v>1.0044920170008909</v>
      </c>
      <c r="N638">
        <f t="shared" si="160"/>
        <v>0.99847373905948045</v>
      </c>
      <c r="O638">
        <v>4.4288384222739806E-3</v>
      </c>
      <c r="P638">
        <v>6.0799724261257999E-3</v>
      </c>
      <c r="Q638">
        <f t="shared" si="161"/>
        <v>3839.1639383043644</v>
      </c>
      <c r="R638">
        <f t="shared" si="162"/>
        <v>3.8391639383043645</v>
      </c>
    </row>
    <row r="639" spans="1:18" x14ac:dyDescent="0.3">
      <c r="A639">
        <v>1.276</v>
      </c>
      <c r="B639" s="4"/>
      <c r="C639">
        <v>-40.711730701670298</v>
      </c>
      <c r="D639">
        <v>1.95</v>
      </c>
      <c r="E639">
        <f t="shared" si="165"/>
        <v>89.890077687604347</v>
      </c>
      <c r="F639">
        <f t="shared" si="152"/>
        <v>1.387569862522277E-2</v>
      </c>
      <c r="G639">
        <f t="shared" si="153"/>
        <v>4.2914531830585891E-2</v>
      </c>
      <c r="H639">
        <f t="shared" si="154"/>
        <v>73.205800449877643</v>
      </c>
      <c r="I639">
        <f t="shared" si="155"/>
        <v>1.0488164834786158</v>
      </c>
      <c r="J639">
        <f t="shared" si="156"/>
        <v>1.1919837524814838</v>
      </c>
      <c r="K639">
        <f t="shared" si="157"/>
        <v>0.54101184123442436</v>
      </c>
      <c r="L639">
        <f t="shared" si="158"/>
        <v>1.2789243602499007</v>
      </c>
      <c r="M639">
        <f t="shared" si="159"/>
        <v>1.0006474131789822</v>
      </c>
      <c r="N639">
        <f t="shared" si="160"/>
        <v>0.99723132764575939</v>
      </c>
      <c r="O639">
        <v>4.2103069175712642E-3</v>
      </c>
      <c r="P639">
        <v>6.2293134799366557E-3</v>
      </c>
      <c r="Q639">
        <f t="shared" si="161"/>
        <v>3839.1639383043644</v>
      </c>
      <c r="R639">
        <f t="shared" si="162"/>
        <v>3.8391639383043645</v>
      </c>
    </row>
    <row r="640" spans="1:18" x14ac:dyDescent="0.3">
      <c r="A640">
        <v>1.278</v>
      </c>
      <c r="B640" s="4"/>
      <c r="C640">
        <v>-40.711730701670298</v>
      </c>
      <c r="D640">
        <v>1.95</v>
      </c>
      <c r="E640">
        <f t="shared" si="165"/>
        <v>89.890077687604347</v>
      </c>
      <c r="F640">
        <f t="shared" si="152"/>
        <v>1.387569862522277E-2</v>
      </c>
      <c r="G640">
        <f t="shared" si="153"/>
        <v>4.2914531830585891E-2</v>
      </c>
      <c r="H640">
        <f t="shared" si="154"/>
        <v>73.205800449877643</v>
      </c>
      <c r="I640">
        <f t="shared" si="155"/>
        <v>1.0488164834786158</v>
      </c>
      <c r="J640">
        <f t="shared" si="156"/>
        <v>1.1919837524814838</v>
      </c>
      <c r="K640">
        <f t="shared" si="157"/>
        <v>0.54101184123442436</v>
      </c>
      <c r="L640">
        <f t="shared" si="158"/>
        <v>1.2789243602499007</v>
      </c>
      <c r="M640">
        <f t="shared" si="159"/>
        <v>0.99841094417579512</v>
      </c>
      <c r="N640">
        <f t="shared" si="160"/>
        <v>0.99576006178345566</v>
      </c>
      <c r="O640">
        <v>4.013914009508927E-3</v>
      </c>
      <c r="P640">
        <v>6.3569756742226161E-3</v>
      </c>
      <c r="Q640">
        <f t="shared" si="161"/>
        <v>3839.1639383043644</v>
      </c>
      <c r="R640">
        <f t="shared" si="162"/>
        <v>3.8391639383043645</v>
      </c>
    </row>
    <row r="641" spans="1:18" x14ac:dyDescent="0.3">
      <c r="A641">
        <v>1.28</v>
      </c>
      <c r="B641" s="4"/>
      <c r="C641">
        <v>-40.711730701670298</v>
      </c>
      <c r="D641">
        <v>1.95</v>
      </c>
      <c r="E641">
        <f t="shared" si="165"/>
        <v>89.890077687604347</v>
      </c>
      <c r="F641">
        <f t="shared" si="152"/>
        <v>1.387569862522277E-2</v>
      </c>
      <c r="G641">
        <f t="shared" si="153"/>
        <v>4.2914531830585891E-2</v>
      </c>
      <c r="H641">
        <f t="shared" si="154"/>
        <v>73.205800449877643</v>
      </c>
      <c r="I641">
        <f t="shared" si="155"/>
        <v>1.0488164834786158</v>
      </c>
      <c r="J641">
        <f t="shared" si="156"/>
        <v>1.1919837524814838</v>
      </c>
      <c r="K641">
        <f t="shared" si="157"/>
        <v>0.54101184123442436</v>
      </c>
      <c r="L641">
        <f t="shared" si="158"/>
        <v>1.2789243602499007</v>
      </c>
      <c r="M641">
        <f t="shared" si="159"/>
        <v>1.0010969783223176</v>
      </c>
      <c r="N641">
        <f t="shared" si="160"/>
        <v>0.99422824491471218</v>
      </c>
      <c r="O641">
        <v>3.8588492176352841E-3</v>
      </c>
      <c r="P641">
        <v>6.4616414940551741E-3</v>
      </c>
      <c r="Q641">
        <f t="shared" si="161"/>
        <v>3839.1639383043644</v>
      </c>
      <c r="R641">
        <f t="shared" si="162"/>
        <v>3.8391639383043645</v>
      </c>
    </row>
    <row r="642" spans="1:18" x14ac:dyDescent="0.3">
      <c r="A642">
        <v>1.282</v>
      </c>
      <c r="B642" s="4"/>
      <c r="C642">
        <v>-40.711730701670298</v>
      </c>
      <c r="D642">
        <v>1.95</v>
      </c>
      <c r="E642">
        <f t="shared" si="165"/>
        <v>89.890077687604347</v>
      </c>
      <c r="F642">
        <f t="shared" si="152"/>
        <v>1.387569862522277E-2</v>
      </c>
      <c r="G642">
        <f t="shared" si="153"/>
        <v>4.2914531830585891E-2</v>
      </c>
      <c r="H642">
        <f t="shared" si="154"/>
        <v>73.205800449877643</v>
      </c>
      <c r="I642">
        <f t="shared" si="155"/>
        <v>1.0488164834786158</v>
      </c>
      <c r="J642">
        <f t="shared" si="156"/>
        <v>1.1919837524814838</v>
      </c>
      <c r="K642">
        <f t="shared" si="157"/>
        <v>0.54101184123442436</v>
      </c>
      <c r="L642">
        <f t="shared" si="158"/>
        <v>1.2789243602499007</v>
      </c>
      <c r="M642">
        <f t="shared" si="159"/>
        <v>1.0032615015629747</v>
      </c>
      <c r="N642">
        <f t="shared" si="160"/>
        <v>0.99282388424253898</v>
      </c>
      <c r="O642">
        <v>3.7334024504978637E-3</v>
      </c>
      <c r="P642">
        <v>6.5423318043758352E-3</v>
      </c>
      <c r="Q642">
        <f t="shared" si="161"/>
        <v>3839.1639383043644</v>
      </c>
      <c r="R642">
        <f t="shared" si="162"/>
        <v>3.8391639383043645</v>
      </c>
    </row>
    <row r="643" spans="1:18" x14ac:dyDescent="0.3">
      <c r="A643">
        <v>1.284</v>
      </c>
      <c r="B643" s="4"/>
      <c r="C643">
        <v>-40.711730701670298</v>
      </c>
      <c r="D643">
        <v>1.95</v>
      </c>
      <c r="E643">
        <f t="shared" si="165"/>
        <v>89.890077687604347</v>
      </c>
      <c r="F643">
        <f t="shared" ref="F643:F706" si="166">0.0462806*SQRT(E643/1000)</f>
        <v>1.387569862522277E-2</v>
      </c>
      <c r="G643">
        <f t="shared" ref="G643:G706" si="167">$U$3*F643/2</f>
        <v>4.2914531830585891E-2</v>
      </c>
      <c r="H643">
        <f t="shared" ref="H643:H706" si="168">PI()/G643</f>
        <v>73.205800449877643</v>
      </c>
      <c r="I643">
        <f t="shared" ref="I643:I706" si="169">BESSELI(H643*$Y$5,0)</f>
        <v>1.0488164834786158</v>
      </c>
      <c r="J643">
        <f t="shared" ref="J643:J706" si="170">BESSELI(H643*D643*$Y$5,0)</f>
        <v>1.1919837524814838</v>
      </c>
      <c r="K643">
        <f t="shared" ref="K643:K706" si="171">(D643^2-1)/(D643^2*I643+J643)</f>
        <v>0.54101184123442436</v>
      </c>
      <c r="L643">
        <f t="shared" ref="L643:L706" si="172">I643+J643/(D643^2*I643+J643)</f>
        <v>1.2789243602499007</v>
      </c>
      <c r="M643">
        <f t="shared" ref="M643:M706" si="173">((L643*O643^2)/$Y$5^2)+(K643*BESSELI(O643*H643,0)*COS(H643*A643))</f>
        <v>1.0054636381310187</v>
      </c>
      <c r="N643">
        <f t="shared" ref="N643:N706" si="174">((L643*P643^2)/$Y$5^2)-(K643*BESSELI(P643*H643,0)*COS(H643*A643))</f>
        <v>0.99172502571215249</v>
      </c>
      <c r="O643">
        <v>3.6454257801264373E-3</v>
      </c>
      <c r="P643">
        <v>6.598352454379397E-3</v>
      </c>
      <c r="Q643">
        <f t="shared" ref="Q643:Q706" si="175">PI()*K643*$U$4*J643*COS(C643*$Y$7)/(4*$Y$6)</f>
        <v>3839.1639383043644</v>
      </c>
      <c r="R643">
        <f t="shared" ref="R643:R706" si="176">Q643/1000</f>
        <v>3.8391639383043645</v>
      </c>
    </row>
    <row r="644" spans="1:18" x14ac:dyDescent="0.3">
      <c r="A644">
        <v>1.286</v>
      </c>
      <c r="B644" s="4"/>
      <c r="C644">
        <v>-40.711730701670298</v>
      </c>
      <c r="D644">
        <v>1.95</v>
      </c>
      <c r="E644">
        <f t="shared" si="165"/>
        <v>89.890077687604347</v>
      </c>
      <c r="F644">
        <f t="shared" si="166"/>
        <v>1.387569862522277E-2</v>
      </c>
      <c r="G644">
        <f t="shared" si="167"/>
        <v>4.2914531830585891E-2</v>
      </c>
      <c r="H644">
        <f t="shared" si="168"/>
        <v>73.205800449877643</v>
      </c>
      <c r="I644">
        <f t="shared" si="169"/>
        <v>1.0488164834786158</v>
      </c>
      <c r="J644">
        <f t="shared" si="170"/>
        <v>1.1919837524814838</v>
      </c>
      <c r="K644">
        <f t="shared" si="171"/>
        <v>0.54101184123442436</v>
      </c>
      <c r="L644">
        <f t="shared" si="172"/>
        <v>1.2789243602499007</v>
      </c>
      <c r="M644">
        <f t="shared" si="173"/>
        <v>1.000581719393705</v>
      </c>
      <c r="N644">
        <f t="shared" si="174"/>
        <v>0.99107313428205757</v>
      </c>
      <c r="O644">
        <v>3.5721584780539313E-3</v>
      </c>
      <c r="P644">
        <v>6.6292520151589405E-3</v>
      </c>
      <c r="Q644">
        <f t="shared" si="175"/>
        <v>3839.1639383043644</v>
      </c>
      <c r="R644">
        <f t="shared" si="176"/>
        <v>3.8391639383043645</v>
      </c>
    </row>
    <row r="645" spans="1:18" x14ac:dyDescent="0.3">
      <c r="A645">
        <v>1.288</v>
      </c>
      <c r="B645" s="4"/>
      <c r="C645">
        <v>-40.711730701670298</v>
      </c>
      <c r="D645">
        <v>1.95</v>
      </c>
      <c r="E645">
        <f t="shared" si="165"/>
        <v>89.890077687604347</v>
      </c>
      <c r="F645">
        <f t="shared" si="166"/>
        <v>1.387569862522277E-2</v>
      </c>
      <c r="G645">
        <f t="shared" si="167"/>
        <v>4.2914531830585891E-2</v>
      </c>
      <c r="H645">
        <f t="shared" si="168"/>
        <v>73.205800449877643</v>
      </c>
      <c r="I645">
        <f t="shared" si="169"/>
        <v>1.0488164834786158</v>
      </c>
      <c r="J645">
        <f t="shared" si="170"/>
        <v>1.1919837524814838</v>
      </c>
      <c r="K645">
        <f t="shared" si="171"/>
        <v>0.54101184123442436</v>
      </c>
      <c r="L645">
        <f t="shared" si="172"/>
        <v>1.2789243602499007</v>
      </c>
      <c r="M645">
        <f t="shared" si="173"/>
        <v>1.0007460637589745</v>
      </c>
      <c r="N645">
        <f t="shared" si="174"/>
        <v>0.99095271497019843</v>
      </c>
      <c r="O645">
        <v>3.562864342364567E-3</v>
      </c>
      <c r="P645">
        <v>6.6347920415460743E-3</v>
      </c>
      <c r="Q645">
        <f t="shared" si="175"/>
        <v>3839.1639383043644</v>
      </c>
      <c r="R645">
        <f t="shared" si="176"/>
        <v>3.8391639383043645</v>
      </c>
    </row>
    <row r="646" spans="1:18" x14ac:dyDescent="0.3">
      <c r="A646">
        <v>1.29</v>
      </c>
      <c r="B646" s="4">
        <v>58</v>
      </c>
      <c r="C646">
        <v>-40.190847465746799</v>
      </c>
      <c r="D646">
        <v>1.95</v>
      </c>
      <c r="E646">
        <f>$E$645+$R$645</f>
        <v>93.729241625908713</v>
      </c>
      <c r="F646">
        <f t="shared" si="166"/>
        <v>1.4168912954004452E-2</v>
      </c>
      <c r="G646">
        <f t="shared" si="167"/>
        <v>4.3821380270116866E-2</v>
      </c>
      <c r="H646">
        <f t="shared" si="168"/>
        <v>71.690864920841861</v>
      </c>
      <c r="I646">
        <f t="shared" si="169"/>
        <v>1.0467938660325729</v>
      </c>
      <c r="J646">
        <f t="shared" si="170"/>
        <v>1.1837763289880083</v>
      </c>
      <c r="K646">
        <f t="shared" si="171"/>
        <v>0.54267738870344895</v>
      </c>
      <c r="L646">
        <f t="shared" si="172"/>
        <v>1.2760208587262989</v>
      </c>
      <c r="M646">
        <f t="shared" si="173"/>
        <v>0.99967406695264271</v>
      </c>
      <c r="N646">
        <f t="shared" si="174"/>
        <v>1.0098158692829295</v>
      </c>
      <c r="O646">
        <v>5.5948792174654819E-3</v>
      </c>
      <c r="P646">
        <v>5.041172712103385E-3</v>
      </c>
      <c r="Q646">
        <f t="shared" si="175"/>
        <v>3854.2268476035447</v>
      </c>
      <c r="R646">
        <f t="shared" si="176"/>
        <v>3.8542268476035448</v>
      </c>
    </row>
    <row r="647" spans="1:18" x14ac:dyDescent="0.3">
      <c r="A647">
        <v>1.292</v>
      </c>
      <c r="B647" s="4"/>
      <c r="C647">
        <v>-40.190847465746799</v>
      </c>
      <c r="D647">
        <v>1.95</v>
      </c>
      <c r="E647">
        <f t="shared" ref="E647:E667" si="177">$E$645+$R$645</f>
        <v>93.729241625908713</v>
      </c>
      <c r="F647">
        <f t="shared" si="166"/>
        <v>1.4168912954004452E-2</v>
      </c>
      <c r="G647">
        <f t="shared" si="167"/>
        <v>4.3821380270116866E-2</v>
      </c>
      <c r="H647">
        <f t="shared" si="168"/>
        <v>71.690864920841861</v>
      </c>
      <c r="I647">
        <f t="shared" si="169"/>
        <v>1.0467938660325729</v>
      </c>
      <c r="J647">
        <f t="shared" si="170"/>
        <v>1.1837763289880083</v>
      </c>
      <c r="K647">
        <f t="shared" si="171"/>
        <v>0.54267738870344895</v>
      </c>
      <c r="L647">
        <f t="shared" si="172"/>
        <v>1.2760208587262989</v>
      </c>
      <c r="M647">
        <f t="shared" si="173"/>
        <v>1.0026970923056409</v>
      </c>
      <c r="N647">
        <f t="shared" si="174"/>
        <v>0.99879675787280409</v>
      </c>
      <c r="O647">
        <v>5.3963650920818926E-3</v>
      </c>
      <c r="P647">
        <v>5.2295944353342224E-3</v>
      </c>
      <c r="Q647">
        <f t="shared" si="175"/>
        <v>3854.2268476035447</v>
      </c>
      <c r="R647">
        <f t="shared" si="176"/>
        <v>3.8542268476035448</v>
      </c>
    </row>
    <row r="648" spans="1:18" x14ac:dyDescent="0.3">
      <c r="A648">
        <v>1.294</v>
      </c>
      <c r="B648" s="4"/>
      <c r="C648">
        <v>-40.190847465746799</v>
      </c>
      <c r="D648">
        <v>1.95</v>
      </c>
      <c r="E648">
        <f t="shared" si="177"/>
        <v>93.729241625908713</v>
      </c>
      <c r="F648">
        <f t="shared" si="166"/>
        <v>1.4168912954004452E-2</v>
      </c>
      <c r="G648">
        <f t="shared" si="167"/>
        <v>4.3821380270116866E-2</v>
      </c>
      <c r="H648">
        <f t="shared" si="168"/>
        <v>71.690864920841861</v>
      </c>
      <c r="I648">
        <f t="shared" si="169"/>
        <v>1.0467938660325729</v>
      </c>
      <c r="J648">
        <f t="shared" si="170"/>
        <v>1.1837763289880083</v>
      </c>
      <c r="K648">
        <f t="shared" si="171"/>
        <v>0.54267738870344895</v>
      </c>
      <c r="L648">
        <f t="shared" si="172"/>
        <v>1.2760208587262989</v>
      </c>
      <c r="M648">
        <f t="shared" si="173"/>
        <v>0.99785428647111329</v>
      </c>
      <c r="N648">
        <f t="shared" si="174"/>
        <v>0.99757390862068351</v>
      </c>
      <c r="O648">
        <v>5.1684371897844231E-3</v>
      </c>
      <c r="P648">
        <v>5.439569744894816E-3</v>
      </c>
      <c r="Q648">
        <f t="shared" si="175"/>
        <v>3854.2268476035447</v>
      </c>
      <c r="R648">
        <f t="shared" si="176"/>
        <v>3.8542268476035448</v>
      </c>
    </row>
    <row r="649" spans="1:18" x14ac:dyDescent="0.3">
      <c r="A649">
        <v>1.296</v>
      </c>
      <c r="B649" s="4"/>
      <c r="C649">
        <v>-40.190847465746799</v>
      </c>
      <c r="D649">
        <v>1.95</v>
      </c>
      <c r="E649">
        <f t="shared" si="177"/>
        <v>93.729241625908713</v>
      </c>
      <c r="F649">
        <f t="shared" si="166"/>
        <v>1.4168912954004452E-2</v>
      </c>
      <c r="G649">
        <f t="shared" si="167"/>
        <v>4.3821380270116866E-2</v>
      </c>
      <c r="H649">
        <f t="shared" si="168"/>
        <v>71.690864920841861</v>
      </c>
      <c r="I649">
        <f t="shared" si="169"/>
        <v>1.0467938660325729</v>
      </c>
      <c r="J649">
        <f t="shared" si="170"/>
        <v>1.1837763289880083</v>
      </c>
      <c r="K649">
        <f t="shared" si="171"/>
        <v>0.54267738870344895</v>
      </c>
      <c r="L649">
        <f t="shared" si="172"/>
        <v>1.2760208587262989</v>
      </c>
      <c r="M649">
        <f t="shared" si="173"/>
        <v>0.99923562087510387</v>
      </c>
      <c r="N649">
        <f t="shared" si="174"/>
        <v>1.0044678609860127</v>
      </c>
      <c r="O649">
        <v>4.9520266552452938E-3</v>
      </c>
      <c r="P649">
        <v>5.6605927399713029E-3</v>
      </c>
      <c r="Q649">
        <f t="shared" si="175"/>
        <v>3854.2268476035447</v>
      </c>
      <c r="R649">
        <f t="shared" si="176"/>
        <v>3.8542268476035448</v>
      </c>
    </row>
    <row r="650" spans="1:18" x14ac:dyDescent="0.3">
      <c r="A650">
        <v>1.298</v>
      </c>
      <c r="B650" s="4"/>
      <c r="C650">
        <v>-40.190847465746799</v>
      </c>
      <c r="D650">
        <v>1.95</v>
      </c>
      <c r="E650">
        <f t="shared" si="177"/>
        <v>93.729241625908713</v>
      </c>
      <c r="F650">
        <f t="shared" si="166"/>
        <v>1.4168912954004452E-2</v>
      </c>
      <c r="G650">
        <f t="shared" si="167"/>
        <v>4.3821380270116866E-2</v>
      </c>
      <c r="H650">
        <f t="shared" si="168"/>
        <v>71.690864920841861</v>
      </c>
      <c r="I650">
        <f t="shared" si="169"/>
        <v>1.0467938660325729</v>
      </c>
      <c r="J650">
        <f t="shared" si="170"/>
        <v>1.1837763289880083</v>
      </c>
      <c r="K650">
        <f t="shared" si="171"/>
        <v>0.54267738870344895</v>
      </c>
      <c r="L650">
        <f t="shared" si="172"/>
        <v>1.2760208587262989</v>
      </c>
      <c r="M650">
        <f t="shared" si="173"/>
        <v>1.0058482311987753</v>
      </c>
      <c r="N650">
        <f t="shared" si="174"/>
        <v>0.99960969163330249</v>
      </c>
      <c r="O650">
        <v>4.7503375267456674E-3</v>
      </c>
      <c r="P650">
        <v>5.8394265318433653E-3</v>
      </c>
      <c r="Q650">
        <f t="shared" si="175"/>
        <v>3854.2268476035447</v>
      </c>
      <c r="R650">
        <f t="shared" si="176"/>
        <v>3.8542268476035448</v>
      </c>
    </row>
    <row r="651" spans="1:18" x14ac:dyDescent="0.3">
      <c r="A651">
        <v>1.3</v>
      </c>
      <c r="B651" s="4"/>
      <c r="C651">
        <v>-40.190847465746799</v>
      </c>
      <c r="D651">
        <v>1.95</v>
      </c>
      <c r="E651">
        <f t="shared" si="177"/>
        <v>93.729241625908713</v>
      </c>
      <c r="F651">
        <f t="shared" si="166"/>
        <v>1.4168912954004452E-2</v>
      </c>
      <c r="G651">
        <f t="shared" si="167"/>
        <v>4.3821380270116866E-2</v>
      </c>
      <c r="H651">
        <f t="shared" si="168"/>
        <v>71.690864920841861</v>
      </c>
      <c r="I651">
        <f t="shared" si="169"/>
        <v>1.0467938660325729</v>
      </c>
      <c r="J651">
        <f t="shared" si="170"/>
        <v>1.1837763289880083</v>
      </c>
      <c r="K651">
        <f t="shared" si="171"/>
        <v>0.54267738870344895</v>
      </c>
      <c r="L651">
        <f t="shared" si="172"/>
        <v>1.2760208587262989</v>
      </c>
      <c r="M651">
        <f t="shared" si="173"/>
        <v>0.99516502979285182</v>
      </c>
      <c r="N651">
        <f t="shared" si="174"/>
        <v>0.99888521804313901</v>
      </c>
      <c r="O651">
        <v>4.5004490409645539E-3</v>
      </c>
      <c r="P651">
        <v>6.0134980266767085E-3</v>
      </c>
      <c r="Q651">
        <f t="shared" si="175"/>
        <v>3854.2268476035447</v>
      </c>
      <c r="R651">
        <f t="shared" si="176"/>
        <v>3.8542268476035448</v>
      </c>
    </row>
    <row r="652" spans="1:18" x14ac:dyDescent="0.3">
      <c r="A652">
        <v>1.302</v>
      </c>
      <c r="B652" s="4"/>
      <c r="C652">
        <v>-40.190847465746799</v>
      </c>
      <c r="D652">
        <v>1.95</v>
      </c>
      <c r="E652">
        <f t="shared" si="177"/>
        <v>93.729241625908713</v>
      </c>
      <c r="F652">
        <f t="shared" si="166"/>
        <v>1.4168912954004452E-2</v>
      </c>
      <c r="G652">
        <f t="shared" si="167"/>
        <v>4.3821380270116866E-2</v>
      </c>
      <c r="H652">
        <f t="shared" si="168"/>
        <v>71.690864920841861</v>
      </c>
      <c r="I652">
        <f t="shared" si="169"/>
        <v>1.0467938660325729</v>
      </c>
      <c r="J652">
        <f t="shared" si="170"/>
        <v>1.1837763289880083</v>
      </c>
      <c r="K652">
        <f t="shared" si="171"/>
        <v>0.54267738870344895</v>
      </c>
      <c r="L652">
        <f t="shared" si="172"/>
        <v>1.2760208587262989</v>
      </c>
      <c r="M652">
        <f t="shared" si="173"/>
        <v>1.0020209272758696</v>
      </c>
      <c r="N652">
        <f t="shared" si="174"/>
        <v>0.99779195372609997</v>
      </c>
      <c r="O652">
        <v>4.3128921782011227E-3</v>
      </c>
      <c r="P652">
        <v>6.1692362987119734E-3</v>
      </c>
      <c r="Q652">
        <f t="shared" si="175"/>
        <v>3854.2268476035447</v>
      </c>
      <c r="R652">
        <f t="shared" si="176"/>
        <v>3.8542268476035448</v>
      </c>
    </row>
    <row r="653" spans="1:18" x14ac:dyDescent="0.3">
      <c r="A653">
        <v>1.304</v>
      </c>
      <c r="B653" s="4"/>
      <c r="C653">
        <v>-40.190847465746799</v>
      </c>
      <c r="D653">
        <v>1.95</v>
      </c>
      <c r="E653">
        <f t="shared" si="177"/>
        <v>93.729241625908713</v>
      </c>
      <c r="F653">
        <f t="shared" si="166"/>
        <v>1.4168912954004452E-2</v>
      </c>
      <c r="G653">
        <f t="shared" si="167"/>
        <v>4.3821380270116866E-2</v>
      </c>
      <c r="H653">
        <f t="shared" si="168"/>
        <v>71.690864920841861</v>
      </c>
      <c r="I653">
        <f t="shared" si="169"/>
        <v>1.0467938660325729</v>
      </c>
      <c r="J653">
        <f t="shared" si="170"/>
        <v>1.1837763289880083</v>
      </c>
      <c r="K653">
        <f t="shared" si="171"/>
        <v>0.54267738870344895</v>
      </c>
      <c r="L653">
        <f t="shared" si="172"/>
        <v>1.2760208587262989</v>
      </c>
      <c r="M653">
        <f t="shared" si="173"/>
        <v>0.99514642146822374</v>
      </c>
      <c r="N653">
        <f t="shared" si="174"/>
        <v>0.99641575679586736</v>
      </c>
      <c r="O653">
        <v>4.095003181418198E-3</v>
      </c>
      <c r="P653">
        <v>6.304845640033402E-3</v>
      </c>
      <c r="Q653">
        <f t="shared" si="175"/>
        <v>3854.2268476035447</v>
      </c>
      <c r="R653">
        <f t="shared" si="176"/>
        <v>3.8542268476035448</v>
      </c>
    </row>
    <row r="654" spans="1:18" x14ac:dyDescent="0.3">
      <c r="A654">
        <v>1.306</v>
      </c>
      <c r="B654" s="4"/>
      <c r="C654">
        <v>-40.190847465746799</v>
      </c>
      <c r="D654">
        <v>1.95</v>
      </c>
      <c r="E654">
        <f t="shared" si="177"/>
        <v>93.729241625908713</v>
      </c>
      <c r="F654">
        <f t="shared" si="166"/>
        <v>1.4168912954004452E-2</v>
      </c>
      <c r="G654">
        <f t="shared" si="167"/>
        <v>4.3821380270116866E-2</v>
      </c>
      <c r="H654">
        <f t="shared" si="168"/>
        <v>71.690864920841861</v>
      </c>
      <c r="I654">
        <f t="shared" si="169"/>
        <v>1.0467938660325729</v>
      </c>
      <c r="J654">
        <f t="shared" si="170"/>
        <v>1.1837763289880083</v>
      </c>
      <c r="K654">
        <f t="shared" si="171"/>
        <v>0.54267738870344895</v>
      </c>
      <c r="L654">
        <f t="shared" si="172"/>
        <v>1.2760208587262989</v>
      </c>
      <c r="M654">
        <f t="shared" si="173"/>
        <v>1.0003193268280335</v>
      </c>
      <c r="N654">
        <f t="shared" si="174"/>
        <v>0.99489814712439451</v>
      </c>
      <c r="O654">
        <v>3.9378863374285589E-3</v>
      </c>
      <c r="P654">
        <v>6.4189276107714972E-3</v>
      </c>
      <c r="Q654">
        <f t="shared" si="175"/>
        <v>3854.2268476035447</v>
      </c>
      <c r="R654">
        <f t="shared" si="176"/>
        <v>3.8542268476035448</v>
      </c>
    </row>
    <row r="655" spans="1:18" x14ac:dyDescent="0.3">
      <c r="A655">
        <v>1.3080000000000001</v>
      </c>
      <c r="B655" s="4"/>
      <c r="C655">
        <v>-40.190847465746799</v>
      </c>
      <c r="D655">
        <v>1.95</v>
      </c>
      <c r="E655">
        <f t="shared" si="177"/>
        <v>93.729241625908713</v>
      </c>
      <c r="F655">
        <f t="shared" si="166"/>
        <v>1.4168912954004452E-2</v>
      </c>
      <c r="G655">
        <f t="shared" si="167"/>
        <v>4.3821380270116866E-2</v>
      </c>
      <c r="H655">
        <f t="shared" si="168"/>
        <v>71.690864920841861</v>
      </c>
      <c r="I655">
        <f t="shared" si="169"/>
        <v>1.0467938660325729</v>
      </c>
      <c r="J655">
        <f t="shared" si="170"/>
        <v>1.1837763289880083</v>
      </c>
      <c r="K655">
        <f t="shared" si="171"/>
        <v>0.54267738870344895</v>
      </c>
      <c r="L655">
        <f t="shared" si="172"/>
        <v>1.2760208587262989</v>
      </c>
      <c r="M655">
        <f t="shared" si="173"/>
        <v>1.0020327065507586</v>
      </c>
      <c r="N655">
        <f t="shared" si="174"/>
        <v>0.99341207561605782</v>
      </c>
      <c r="O655">
        <v>3.7959756638448567E-3</v>
      </c>
      <c r="P655">
        <v>6.5104214688231354E-3</v>
      </c>
      <c r="Q655">
        <f t="shared" si="175"/>
        <v>3854.2268476035447</v>
      </c>
      <c r="R655">
        <f t="shared" si="176"/>
        <v>3.8542268476035448</v>
      </c>
    </row>
    <row r="656" spans="1:18" x14ac:dyDescent="0.3">
      <c r="A656">
        <v>1.31</v>
      </c>
      <c r="B656" s="4"/>
      <c r="C656">
        <v>-40.190847465746799</v>
      </c>
      <c r="D656">
        <v>1.95</v>
      </c>
      <c r="E656">
        <f t="shared" si="177"/>
        <v>93.729241625908713</v>
      </c>
      <c r="F656">
        <f t="shared" si="166"/>
        <v>1.4168912954004452E-2</v>
      </c>
      <c r="G656">
        <f t="shared" si="167"/>
        <v>4.3821380270116866E-2</v>
      </c>
      <c r="H656">
        <f t="shared" si="168"/>
        <v>71.690864920841861</v>
      </c>
      <c r="I656">
        <f t="shared" si="169"/>
        <v>1.0467938660325729</v>
      </c>
      <c r="J656">
        <f t="shared" si="170"/>
        <v>1.1837763289880083</v>
      </c>
      <c r="K656">
        <f t="shared" si="171"/>
        <v>0.54267738870344895</v>
      </c>
      <c r="L656">
        <f t="shared" si="172"/>
        <v>1.2760208587262989</v>
      </c>
      <c r="M656">
        <f t="shared" si="173"/>
        <v>1.0042886344314101</v>
      </c>
      <c r="N656">
        <f t="shared" si="174"/>
        <v>0.99213494692834492</v>
      </c>
      <c r="O656">
        <v>3.6890315421541416E-3</v>
      </c>
      <c r="P656">
        <v>6.5785509859163406E-3</v>
      </c>
      <c r="Q656">
        <f t="shared" si="175"/>
        <v>3854.2268476035447</v>
      </c>
      <c r="R656">
        <f t="shared" si="176"/>
        <v>3.8542268476035448</v>
      </c>
    </row>
    <row r="657" spans="1:18" x14ac:dyDescent="0.3">
      <c r="A657">
        <v>1.3120000000000001</v>
      </c>
      <c r="B657" s="4"/>
      <c r="C657">
        <v>-40.190847465746799</v>
      </c>
      <c r="D657">
        <v>1.95</v>
      </c>
      <c r="E657">
        <f t="shared" si="177"/>
        <v>93.729241625908713</v>
      </c>
      <c r="F657">
        <f t="shared" si="166"/>
        <v>1.4168912954004452E-2</v>
      </c>
      <c r="G657">
        <f t="shared" si="167"/>
        <v>4.3821380270116866E-2</v>
      </c>
      <c r="H657">
        <f t="shared" si="168"/>
        <v>71.690864920841861</v>
      </c>
      <c r="I657">
        <f t="shared" si="169"/>
        <v>1.0467938660325729</v>
      </c>
      <c r="J657">
        <f t="shared" si="170"/>
        <v>1.1837763289880083</v>
      </c>
      <c r="K657">
        <f t="shared" si="171"/>
        <v>0.54267738870344895</v>
      </c>
      <c r="L657">
        <f t="shared" si="172"/>
        <v>1.2760208587262989</v>
      </c>
      <c r="M657">
        <f t="shared" si="173"/>
        <v>1.0062162543877238</v>
      </c>
      <c r="N657">
        <f t="shared" si="174"/>
        <v>0.99122264309195451</v>
      </c>
      <c r="O657">
        <v>3.6190137758556578E-3</v>
      </c>
      <c r="P657">
        <v>6.6227803249263462E-3</v>
      </c>
      <c r="Q657">
        <f t="shared" si="175"/>
        <v>3854.2268476035447</v>
      </c>
      <c r="R657">
        <f t="shared" si="176"/>
        <v>3.8542268476035448</v>
      </c>
    </row>
    <row r="658" spans="1:18" x14ac:dyDescent="0.3">
      <c r="A658">
        <v>1.3140000000000001</v>
      </c>
      <c r="B658" s="4"/>
      <c r="C658">
        <v>-40.190847465746799</v>
      </c>
      <c r="D658">
        <v>1.95</v>
      </c>
      <c r="E658">
        <f t="shared" si="177"/>
        <v>93.729241625908713</v>
      </c>
      <c r="F658">
        <f t="shared" si="166"/>
        <v>1.4168912954004452E-2</v>
      </c>
      <c r="G658">
        <f t="shared" si="167"/>
        <v>4.3821380270116866E-2</v>
      </c>
      <c r="H658">
        <f t="shared" si="168"/>
        <v>71.690864920841861</v>
      </c>
      <c r="I658">
        <f t="shared" si="169"/>
        <v>1.0467938660325729</v>
      </c>
      <c r="J658">
        <f t="shared" si="170"/>
        <v>1.1837763289880083</v>
      </c>
      <c r="K658">
        <f t="shared" si="171"/>
        <v>0.54267738870344895</v>
      </c>
      <c r="L658">
        <f t="shared" si="172"/>
        <v>1.2760208587262989</v>
      </c>
      <c r="M658">
        <f t="shared" si="173"/>
        <v>1.0007553708544203</v>
      </c>
      <c r="N658">
        <f t="shared" si="174"/>
        <v>0.99078769738442918</v>
      </c>
      <c r="O658">
        <v>3.5622210567617164E-3</v>
      </c>
      <c r="P658">
        <v>6.6427805838715223E-3</v>
      </c>
      <c r="Q658">
        <f t="shared" si="175"/>
        <v>3854.2268476035447</v>
      </c>
      <c r="R658">
        <f t="shared" si="176"/>
        <v>3.8542268476035448</v>
      </c>
    </row>
    <row r="659" spans="1:18" x14ac:dyDescent="0.3">
      <c r="A659">
        <v>1.3160000000000001</v>
      </c>
      <c r="B659" s="4"/>
      <c r="C659">
        <v>-40.190847465746799</v>
      </c>
      <c r="D659">
        <v>1.95</v>
      </c>
      <c r="E659">
        <f t="shared" si="177"/>
        <v>93.729241625908713</v>
      </c>
      <c r="F659">
        <f t="shared" si="166"/>
        <v>1.4168912954004452E-2</v>
      </c>
      <c r="G659">
        <f t="shared" si="167"/>
        <v>4.3821380270116866E-2</v>
      </c>
      <c r="H659">
        <f t="shared" si="168"/>
        <v>71.690864920841861</v>
      </c>
      <c r="I659">
        <f t="shared" si="169"/>
        <v>1.0467938660325729</v>
      </c>
      <c r="J659">
        <f t="shared" si="170"/>
        <v>1.1837763289880083</v>
      </c>
      <c r="K659">
        <f t="shared" si="171"/>
        <v>0.54267738870344895</v>
      </c>
      <c r="L659">
        <f t="shared" si="172"/>
        <v>1.2760208587262989</v>
      </c>
      <c r="M659">
        <f t="shared" si="173"/>
        <v>1.0006245560139204</v>
      </c>
      <c r="N659">
        <f t="shared" si="174"/>
        <v>0.99088400435159452</v>
      </c>
      <c r="O659">
        <v>3.5695928866609815E-3</v>
      </c>
      <c r="P659">
        <v>6.6384078840259981E-3</v>
      </c>
      <c r="Q659">
        <f t="shared" si="175"/>
        <v>3854.2268476035447</v>
      </c>
      <c r="R659">
        <f t="shared" si="176"/>
        <v>3.8542268476035448</v>
      </c>
    </row>
    <row r="660" spans="1:18" x14ac:dyDescent="0.3">
      <c r="A660">
        <v>1.3180000000000001</v>
      </c>
      <c r="B660" s="4"/>
      <c r="C660">
        <v>-40.190847465746799</v>
      </c>
      <c r="D660">
        <v>1.95</v>
      </c>
      <c r="E660">
        <f t="shared" si="177"/>
        <v>93.729241625908713</v>
      </c>
      <c r="F660">
        <f t="shared" si="166"/>
        <v>1.4168912954004452E-2</v>
      </c>
      <c r="G660">
        <f t="shared" si="167"/>
        <v>4.3821380270116866E-2</v>
      </c>
      <c r="H660">
        <f t="shared" si="168"/>
        <v>71.690864920841861</v>
      </c>
      <c r="I660">
        <f t="shared" si="169"/>
        <v>1.0467938660325729</v>
      </c>
      <c r="J660">
        <f t="shared" si="170"/>
        <v>1.1837763289880083</v>
      </c>
      <c r="K660">
        <f t="shared" si="171"/>
        <v>0.54267738870344895</v>
      </c>
      <c r="L660">
        <f t="shared" si="172"/>
        <v>1.2760208587262989</v>
      </c>
      <c r="M660">
        <f t="shared" si="173"/>
        <v>1.0056072963643969</v>
      </c>
      <c r="N660">
        <f t="shared" si="174"/>
        <v>0.9914996190747345</v>
      </c>
      <c r="O660">
        <v>3.6397798966087825E-3</v>
      </c>
      <c r="P660">
        <v>6.6096934252359721E-3</v>
      </c>
      <c r="Q660">
        <f t="shared" si="175"/>
        <v>3854.2268476035447</v>
      </c>
      <c r="R660">
        <f t="shared" si="176"/>
        <v>3.8542268476035448</v>
      </c>
    </row>
    <row r="661" spans="1:18" x14ac:dyDescent="0.3">
      <c r="A661">
        <v>1.32</v>
      </c>
      <c r="B661" s="4"/>
      <c r="C661">
        <v>-40.190847465746799</v>
      </c>
      <c r="D661">
        <v>1.95</v>
      </c>
      <c r="E661">
        <f t="shared" si="177"/>
        <v>93.729241625908713</v>
      </c>
      <c r="F661">
        <f t="shared" si="166"/>
        <v>1.4168912954004452E-2</v>
      </c>
      <c r="G661">
        <f t="shared" si="167"/>
        <v>4.3821380270116866E-2</v>
      </c>
      <c r="H661">
        <f t="shared" si="168"/>
        <v>71.690864920841861</v>
      </c>
      <c r="I661">
        <f t="shared" si="169"/>
        <v>1.0467938660325729</v>
      </c>
      <c r="J661">
        <f t="shared" si="170"/>
        <v>1.1837763289880083</v>
      </c>
      <c r="K661">
        <f t="shared" si="171"/>
        <v>0.54267738870344895</v>
      </c>
      <c r="L661">
        <f t="shared" si="172"/>
        <v>1.2760208587262989</v>
      </c>
      <c r="M661">
        <f t="shared" si="173"/>
        <v>1.0034770379935694</v>
      </c>
      <c r="N661">
        <f t="shared" si="174"/>
        <v>0.99255834665339737</v>
      </c>
      <c r="O661">
        <v>3.7232218704927609E-3</v>
      </c>
      <c r="P661">
        <v>6.5568456617551849E-3</v>
      </c>
      <c r="Q661">
        <f t="shared" si="175"/>
        <v>3854.2268476035447</v>
      </c>
      <c r="R661">
        <f t="shared" si="176"/>
        <v>3.8542268476035448</v>
      </c>
    </row>
    <row r="662" spans="1:18" x14ac:dyDescent="0.3">
      <c r="A662">
        <v>1.3220000000000001</v>
      </c>
      <c r="B662" s="4"/>
      <c r="C662">
        <v>-40.190847465746799</v>
      </c>
      <c r="D662">
        <v>1.95</v>
      </c>
      <c r="E662">
        <f t="shared" si="177"/>
        <v>93.729241625908713</v>
      </c>
      <c r="F662">
        <f t="shared" si="166"/>
        <v>1.4168912954004452E-2</v>
      </c>
      <c r="G662">
        <f t="shared" si="167"/>
        <v>4.3821380270116866E-2</v>
      </c>
      <c r="H662">
        <f t="shared" si="168"/>
        <v>71.690864920841861</v>
      </c>
      <c r="I662">
        <f t="shared" si="169"/>
        <v>1.0467938660325729</v>
      </c>
      <c r="J662">
        <f t="shared" si="170"/>
        <v>1.1837763289880083</v>
      </c>
      <c r="K662">
        <f t="shared" si="171"/>
        <v>0.54267738870344895</v>
      </c>
      <c r="L662">
        <f t="shared" si="172"/>
        <v>1.2760208587262989</v>
      </c>
      <c r="M662">
        <f t="shared" si="173"/>
        <v>1.0013039478978056</v>
      </c>
      <c r="N662">
        <f t="shared" si="174"/>
        <v>0.99392996877800011</v>
      </c>
      <c r="O662">
        <v>3.8429651279070641E-3</v>
      </c>
      <c r="P662">
        <v>6.4802645671032284E-3</v>
      </c>
      <c r="Q662">
        <f t="shared" si="175"/>
        <v>3854.2268476035447</v>
      </c>
      <c r="R662">
        <f t="shared" si="176"/>
        <v>3.8542268476035448</v>
      </c>
    </row>
    <row r="663" spans="1:18" x14ac:dyDescent="0.3">
      <c r="A663">
        <v>1.3240000000000001</v>
      </c>
      <c r="B663" s="4"/>
      <c r="C663">
        <v>-40.190847465746799</v>
      </c>
      <c r="D663">
        <v>1.95</v>
      </c>
      <c r="E663">
        <f t="shared" si="177"/>
        <v>93.729241625908713</v>
      </c>
      <c r="F663">
        <f t="shared" si="166"/>
        <v>1.4168912954004452E-2</v>
      </c>
      <c r="G663">
        <f t="shared" si="167"/>
        <v>4.3821380270116866E-2</v>
      </c>
      <c r="H663">
        <f t="shared" si="168"/>
        <v>71.690864920841861</v>
      </c>
      <c r="I663">
        <f t="shared" si="169"/>
        <v>1.0467938660325729</v>
      </c>
      <c r="J663">
        <f t="shared" si="170"/>
        <v>1.1837763289880083</v>
      </c>
      <c r="K663">
        <f t="shared" si="171"/>
        <v>0.54267738870344895</v>
      </c>
      <c r="L663">
        <f t="shared" si="172"/>
        <v>1.2760208587262989</v>
      </c>
      <c r="M663">
        <f t="shared" si="173"/>
        <v>1.0049677670147137</v>
      </c>
      <c r="N663">
        <f t="shared" si="174"/>
        <v>0.99544810023793762</v>
      </c>
      <c r="O663">
        <v>4.013914009508927E-3</v>
      </c>
      <c r="P663">
        <v>6.3805677529912095E-3</v>
      </c>
      <c r="Q663">
        <f t="shared" si="175"/>
        <v>3854.2268476035447</v>
      </c>
      <c r="R663">
        <f t="shared" si="176"/>
        <v>3.8542268476035448</v>
      </c>
    </row>
    <row r="664" spans="1:18" x14ac:dyDescent="0.3">
      <c r="A664">
        <v>1.3260000000000001</v>
      </c>
      <c r="B664" s="4"/>
      <c r="C664">
        <v>-40.190847465746799</v>
      </c>
      <c r="D664">
        <v>1.95</v>
      </c>
      <c r="E664">
        <f t="shared" si="177"/>
        <v>93.729241625908713</v>
      </c>
      <c r="F664">
        <f t="shared" si="166"/>
        <v>1.4168912954004452E-2</v>
      </c>
      <c r="G664">
        <f t="shared" si="167"/>
        <v>4.3821380270116866E-2</v>
      </c>
      <c r="H664">
        <f t="shared" si="168"/>
        <v>71.690864920841861</v>
      </c>
      <c r="I664">
        <f t="shared" si="169"/>
        <v>1.0467938660325729</v>
      </c>
      <c r="J664">
        <f t="shared" si="170"/>
        <v>1.1837763289880083</v>
      </c>
      <c r="K664">
        <f t="shared" si="171"/>
        <v>0.54267738870344895</v>
      </c>
      <c r="L664">
        <f t="shared" si="172"/>
        <v>1.2760208587262989</v>
      </c>
      <c r="M664">
        <f t="shared" si="173"/>
        <v>1.0003883116104115</v>
      </c>
      <c r="N664">
        <f t="shared" si="174"/>
        <v>0.99693381966280126</v>
      </c>
      <c r="O664">
        <v>4.1806347050752602E-3</v>
      </c>
      <c r="P664">
        <v>6.2586278824760715E-3</v>
      </c>
      <c r="Q664">
        <f t="shared" si="175"/>
        <v>3854.2268476035447</v>
      </c>
      <c r="R664">
        <f t="shared" si="176"/>
        <v>3.8542268476035448</v>
      </c>
    </row>
    <row r="665" spans="1:18" x14ac:dyDescent="0.3">
      <c r="A665">
        <v>1.3280000000000001</v>
      </c>
      <c r="B665" s="4"/>
      <c r="C665">
        <v>-40.190847465746799</v>
      </c>
      <c r="D665">
        <v>1.95</v>
      </c>
      <c r="E665">
        <f t="shared" si="177"/>
        <v>93.729241625908713</v>
      </c>
      <c r="F665">
        <f t="shared" si="166"/>
        <v>1.4168912954004452E-2</v>
      </c>
      <c r="G665">
        <f t="shared" si="167"/>
        <v>4.3821380270116866E-2</v>
      </c>
      <c r="H665">
        <f t="shared" si="168"/>
        <v>71.690864920841861</v>
      </c>
      <c r="I665">
        <f t="shared" si="169"/>
        <v>1.0467938660325729</v>
      </c>
      <c r="J665">
        <f t="shared" si="170"/>
        <v>1.1837763289880083</v>
      </c>
      <c r="K665">
        <f t="shared" si="171"/>
        <v>0.54267738870344895</v>
      </c>
      <c r="L665">
        <f t="shared" si="172"/>
        <v>1.2760208587262989</v>
      </c>
      <c r="M665">
        <f t="shared" si="173"/>
        <v>1.0035810435757708</v>
      </c>
      <c r="N665">
        <f t="shared" si="174"/>
        <v>0.99822240294068032</v>
      </c>
      <c r="O665">
        <v>4.3913902714300592E-3</v>
      </c>
      <c r="P665">
        <v>6.1156202744511706E-3</v>
      </c>
      <c r="Q665">
        <f t="shared" si="175"/>
        <v>3854.2268476035447</v>
      </c>
      <c r="R665">
        <f t="shared" si="176"/>
        <v>3.8542268476035448</v>
      </c>
    </row>
    <row r="666" spans="1:18" x14ac:dyDescent="0.3">
      <c r="A666">
        <v>1.33</v>
      </c>
      <c r="B666" s="4"/>
      <c r="C666">
        <v>-40.190847465746799</v>
      </c>
      <c r="D666">
        <v>1.95</v>
      </c>
      <c r="E666">
        <f t="shared" si="177"/>
        <v>93.729241625908713</v>
      </c>
      <c r="F666">
        <f t="shared" si="166"/>
        <v>1.4168912954004452E-2</v>
      </c>
      <c r="G666">
        <f t="shared" si="167"/>
        <v>4.3821380270116866E-2</v>
      </c>
      <c r="H666">
        <f t="shared" si="168"/>
        <v>71.690864920841861</v>
      </c>
      <c r="I666">
        <f t="shared" si="169"/>
        <v>1.0467938660325729</v>
      </c>
      <c r="J666">
        <f t="shared" si="170"/>
        <v>1.1837763289880083</v>
      </c>
      <c r="K666">
        <f t="shared" si="171"/>
        <v>0.54267738870344895</v>
      </c>
      <c r="L666">
        <f t="shared" si="172"/>
        <v>1.2760208587262989</v>
      </c>
      <c r="M666">
        <f t="shared" si="173"/>
        <v>1.0017576620263846</v>
      </c>
      <c r="N666">
        <f t="shared" si="174"/>
        <v>0.99918976988236197</v>
      </c>
      <c r="O666">
        <v>4.5981109262475828E-3</v>
      </c>
      <c r="P666">
        <v>5.9530787523795949E-3</v>
      </c>
      <c r="Q666">
        <f t="shared" si="175"/>
        <v>3854.2268476035447</v>
      </c>
      <c r="R666">
        <f t="shared" si="176"/>
        <v>3.8542268476035448</v>
      </c>
    </row>
    <row r="667" spans="1:18" x14ac:dyDescent="0.3">
      <c r="A667">
        <v>1.3320000000000001</v>
      </c>
      <c r="B667" s="4"/>
      <c r="C667">
        <v>-40.190847465746799</v>
      </c>
      <c r="D667">
        <v>1.95</v>
      </c>
      <c r="E667">
        <f t="shared" si="177"/>
        <v>93.729241625908713</v>
      </c>
      <c r="F667">
        <f t="shared" si="166"/>
        <v>1.4168912954004452E-2</v>
      </c>
      <c r="G667">
        <f t="shared" si="167"/>
        <v>4.3821380270116866E-2</v>
      </c>
      <c r="H667">
        <f t="shared" si="168"/>
        <v>71.690864920841861</v>
      </c>
      <c r="I667">
        <f t="shared" si="169"/>
        <v>1.0467938660325729</v>
      </c>
      <c r="J667">
        <f t="shared" si="170"/>
        <v>1.1837763289880083</v>
      </c>
      <c r="K667">
        <f t="shared" si="171"/>
        <v>0.54267738870344895</v>
      </c>
      <c r="L667">
        <f t="shared" si="172"/>
        <v>1.2760208587262989</v>
      </c>
      <c r="M667">
        <f t="shared" si="173"/>
        <v>1.0089564780575591</v>
      </c>
      <c r="N667">
        <f t="shared" si="174"/>
        <v>0.99977474918481746</v>
      </c>
      <c r="O667">
        <v>4.8382241689333746E-3</v>
      </c>
      <c r="P667">
        <v>5.7729565884012957E-3</v>
      </c>
      <c r="Q667">
        <f t="shared" si="175"/>
        <v>3854.2268476035447</v>
      </c>
      <c r="R667">
        <f t="shared" si="176"/>
        <v>3.8542268476035448</v>
      </c>
    </row>
    <row r="668" spans="1:18" x14ac:dyDescent="0.3">
      <c r="A668">
        <v>1.3340000000000001</v>
      </c>
      <c r="B668" s="4">
        <v>59</v>
      </c>
      <c r="C668">
        <v>-39.708264467758902</v>
      </c>
      <c r="D668">
        <v>1.95</v>
      </c>
      <c r="E668">
        <f>$E$667+$R$667</f>
        <v>97.583468473512255</v>
      </c>
      <c r="F668">
        <f t="shared" si="166"/>
        <v>1.4457297099125865E-2</v>
      </c>
      <c r="G668">
        <f t="shared" si="167"/>
        <v>4.4713289997296492E-2</v>
      </c>
      <c r="H668">
        <f t="shared" si="168"/>
        <v>70.260825221757202</v>
      </c>
      <c r="I668">
        <f t="shared" si="169"/>
        <v>1.0449251635797729</v>
      </c>
      <c r="J668">
        <f t="shared" si="170"/>
        <v>1.1762129272544593</v>
      </c>
      <c r="K668">
        <f t="shared" si="171"/>
        <v>0.5442232764492726</v>
      </c>
      <c r="L668">
        <f t="shared" si="172"/>
        <v>1.2733363867991883</v>
      </c>
      <c r="M668">
        <f t="shared" si="173"/>
        <v>1.0013991500187109</v>
      </c>
      <c r="N668">
        <f t="shared" si="174"/>
        <v>0.99373079891327076</v>
      </c>
      <c r="O668">
        <v>3.8359234606065856E-3</v>
      </c>
      <c r="P668">
        <v>6.4924997694914485E-3</v>
      </c>
      <c r="Q668">
        <f t="shared" si="175"/>
        <v>3867.7006880176432</v>
      </c>
      <c r="R668">
        <f t="shared" si="176"/>
        <v>3.867700688017643</v>
      </c>
    </row>
    <row r="669" spans="1:18" x14ac:dyDescent="0.3">
      <c r="A669">
        <v>1.3360000000000001</v>
      </c>
      <c r="B669" s="4"/>
      <c r="C669">
        <v>-39.708264467758902</v>
      </c>
      <c r="D669">
        <v>1.95</v>
      </c>
      <c r="E669">
        <f t="shared" ref="E669:E689" si="178">$E$667+$R$667</f>
        <v>97.583468473512255</v>
      </c>
      <c r="F669">
        <f t="shared" si="166"/>
        <v>1.4457297099125865E-2</v>
      </c>
      <c r="G669">
        <f t="shared" si="167"/>
        <v>4.4713289997296492E-2</v>
      </c>
      <c r="H669">
        <f t="shared" si="168"/>
        <v>70.260825221757202</v>
      </c>
      <c r="I669">
        <f t="shared" si="169"/>
        <v>1.0449251635797729</v>
      </c>
      <c r="J669">
        <f t="shared" si="170"/>
        <v>1.1762129272544593</v>
      </c>
      <c r="K669">
        <f t="shared" si="171"/>
        <v>0.5442232764492726</v>
      </c>
      <c r="L669">
        <f t="shared" si="172"/>
        <v>1.2733363867991883</v>
      </c>
      <c r="M669">
        <f t="shared" si="173"/>
        <v>1.0035509899067669</v>
      </c>
      <c r="N669">
        <f t="shared" si="174"/>
        <v>0.99237878569585536</v>
      </c>
      <c r="O669">
        <v>3.7195183941829265E-3</v>
      </c>
      <c r="P669">
        <v>6.5665960150663493E-3</v>
      </c>
      <c r="Q669">
        <f t="shared" si="175"/>
        <v>3867.7006880176432</v>
      </c>
      <c r="R669">
        <f t="shared" si="176"/>
        <v>3.867700688017643</v>
      </c>
    </row>
    <row r="670" spans="1:18" x14ac:dyDescent="0.3">
      <c r="A670">
        <v>1.3380000000000001</v>
      </c>
      <c r="B670" s="4"/>
      <c r="C670">
        <v>-39.708264467758902</v>
      </c>
      <c r="D670">
        <v>1.95</v>
      </c>
      <c r="E670">
        <f t="shared" si="178"/>
        <v>97.583468473512255</v>
      </c>
      <c r="F670">
        <f t="shared" si="166"/>
        <v>1.4457297099125865E-2</v>
      </c>
      <c r="G670">
        <f t="shared" si="167"/>
        <v>4.4713289997296492E-2</v>
      </c>
      <c r="H670">
        <f t="shared" si="168"/>
        <v>70.260825221757202</v>
      </c>
      <c r="I670">
        <f t="shared" si="169"/>
        <v>1.0449251635797729</v>
      </c>
      <c r="J670">
        <f t="shared" si="170"/>
        <v>1.1762129272544593</v>
      </c>
      <c r="K670">
        <f t="shared" si="171"/>
        <v>0.5442232764492726</v>
      </c>
      <c r="L670">
        <f t="shared" si="172"/>
        <v>1.2733363867991883</v>
      </c>
      <c r="M670">
        <f t="shared" si="173"/>
        <v>1.0056364784885239</v>
      </c>
      <c r="N670">
        <f t="shared" si="174"/>
        <v>0.99133699526673535</v>
      </c>
      <c r="O670">
        <v>3.6382073693807773E-3</v>
      </c>
      <c r="P670">
        <v>6.6178593126281311E-3</v>
      </c>
      <c r="Q670">
        <f t="shared" si="175"/>
        <v>3867.7006880176432</v>
      </c>
      <c r="R670">
        <f t="shared" si="176"/>
        <v>3.867700688017643</v>
      </c>
    </row>
    <row r="671" spans="1:18" x14ac:dyDescent="0.3">
      <c r="A671">
        <v>1.34</v>
      </c>
      <c r="B671" s="4"/>
      <c r="C671">
        <v>-39.708264467758902</v>
      </c>
      <c r="D671">
        <v>1.95</v>
      </c>
      <c r="E671">
        <f t="shared" si="178"/>
        <v>97.583468473512255</v>
      </c>
      <c r="F671">
        <f t="shared" si="166"/>
        <v>1.4457297099125865E-2</v>
      </c>
      <c r="G671">
        <f t="shared" si="167"/>
        <v>4.4713289997296492E-2</v>
      </c>
      <c r="H671">
        <f t="shared" si="168"/>
        <v>70.260825221757202</v>
      </c>
      <c r="I671">
        <f t="shared" si="169"/>
        <v>1.0449251635797729</v>
      </c>
      <c r="J671">
        <f t="shared" si="170"/>
        <v>1.1762129272544593</v>
      </c>
      <c r="K671">
        <f t="shared" si="171"/>
        <v>0.5442232764492726</v>
      </c>
      <c r="L671">
        <f t="shared" si="172"/>
        <v>1.2733363867991883</v>
      </c>
      <c r="M671">
        <f t="shared" si="173"/>
        <v>1.0006364656085351</v>
      </c>
      <c r="N671">
        <f t="shared" si="174"/>
        <v>0.99072800282661</v>
      </c>
      <c r="O671">
        <v>3.5688098929161252E-3</v>
      </c>
      <c r="P671">
        <v>6.6459231891138624E-3</v>
      </c>
      <c r="Q671">
        <f t="shared" si="175"/>
        <v>3867.7006880176432</v>
      </c>
      <c r="R671">
        <f t="shared" si="176"/>
        <v>3.867700688017643</v>
      </c>
    </row>
    <row r="672" spans="1:18" x14ac:dyDescent="0.3">
      <c r="A672">
        <v>1.3420000000000001</v>
      </c>
      <c r="B672" s="4"/>
      <c r="C672">
        <v>-39.708264467758902</v>
      </c>
      <c r="D672">
        <v>1.95</v>
      </c>
      <c r="E672">
        <f t="shared" si="178"/>
        <v>97.583468473512255</v>
      </c>
      <c r="F672">
        <f t="shared" si="166"/>
        <v>1.4457297099125865E-2</v>
      </c>
      <c r="G672">
        <f t="shared" si="167"/>
        <v>4.4713289997296492E-2</v>
      </c>
      <c r="H672">
        <f t="shared" si="168"/>
        <v>70.260825221757202</v>
      </c>
      <c r="I672">
        <f t="shared" si="169"/>
        <v>1.0449251635797729</v>
      </c>
      <c r="J672">
        <f t="shared" si="170"/>
        <v>1.1762129272544593</v>
      </c>
      <c r="K672">
        <f t="shared" si="171"/>
        <v>0.5442232764492726</v>
      </c>
      <c r="L672">
        <f t="shared" si="172"/>
        <v>1.2733363867991883</v>
      </c>
      <c r="M672">
        <f t="shared" si="173"/>
        <v>1.0007770728938854</v>
      </c>
      <c r="N672">
        <f t="shared" si="174"/>
        <v>0.99062389455248712</v>
      </c>
      <c r="O672">
        <v>3.5608978376682698E-3</v>
      </c>
      <c r="P672">
        <v>6.6505951589760654E-3</v>
      </c>
      <c r="Q672">
        <f t="shared" si="175"/>
        <v>3867.7006880176432</v>
      </c>
      <c r="R672">
        <f t="shared" si="176"/>
        <v>3.867700688017643</v>
      </c>
    </row>
    <row r="673" spans="1:18" x14ac:dyDescent="0.3">
      <c r="A673">
        <v>1.3440000000000001</v>
      </c>
      <c r="B673" s="4"/>
      <c r="C673">
        <v>-39.708264467758902</v>
      </c>
      <c r="D673">
        <v>1.95</v>
      </c>
      <c r="E673">
        <f t="shared" si="178"/>
        <v>97.583468473512255</v>
      </c>
      <c r="F673">
        <f t="shared" si="166"/>
        <v>1.4457297099125865E-2</v>
      </c>
      <c r="G673">
        <f t="shared" si="167"/>
        <v>4.4713289997296492E-2</v>
      </c>
      <c r="H673">
        <f t="shared" si="168"/>
        <v>70.260825221757202</v>
      </c>
      <c r="I673">
        <f t="shared" si="169"/>
        <v>1.0449251635797729</v>
      </c>
      <c r="J673">
        <f t="shared" si="170"/>
        <v>1.1762129272544593</v>
      </c>
      <c r="K673">
        <f t="shared" si="171"/>
        <v>0.5442232764492726</v>
      </c>
      <c r="L673">
        <f t="shared" si="172"/>
        <v>1.2733363867991883</v>
      </c>
      <c r="M673">
        <f t="shared" si="173"/>
        <v>1.0062921002737328</v>
      </c>
      <c r="N673">
        <f t="shared" si="174"/>
        <v>0.99103701898253205</v>
      </c>
      <c r="O673">
        <v>3.6159146518069214E-3</v>
      </c>
      <c r="P673">
        <v>6.6318437332265941E-3</v>
      </c>
      <c r="Q673">
        <f t="shared" si="175"/>
        <v>3867.7006880176432</v>
      </c>
      <c r="R673">
        <f t="shared" si="176"/>
        <v>3.867700688017643</v>
      </c>
    </row>
    <row r="674" spans="1:18" x14ac:dyDescent="0.3">
      <c r="A674">
        <v>1.3460000000000001</v>
      </c>
      <c r="B674" s="4"/>
      <c r="C674">
        <v>-39.708264467758902</v>
      </c>
      <c r="D674">
        <v>1.95</v>
      </c>
      <c r="E674">
        <f t="shared" si="178"/>
        <v>97.583468473512255</v>
      </c>
      <c r="F674">
        <f t="shared" si="166"/>
        <v>1.4457297099125865E-2</v>
      </c>
      <c r="G674">
        <f t="shared" si="167"/>
        <v>4.4713289997296492E-2</v>
      </c>
      <c r="H674">
        <f t="shared" si="168"/>
        <v>70.260825221757202</v>
      </c>
      <c r="I674">
        <f t="shared" si="169"/>
        <v>1.0449251635797729</v>
      </c>
      <c r="J674">
        <f t="shared" si="170"/>
        <v>1.1762129272544593</v>
      </c>
      <c r="K674">
        <f t="shared" si="171"/>
        <v>0.5442232764492726</v>
      </c>
      <c r="L674">
        <f t="shared" si="172"/>
        <v>1.2733363867991883</v>
      </c>
      <c r="M674">
        <f t="shared" si="173"/>
        <v>1.0044333809860202</v>
      </c>
      <c r="N674">
        <f t="shared" si="174"/>
        <v>0.99191841615084231</v>
      </c>
      <c r="O674">
        <v>3.6827986890831154E-3</v>
      </c>
      <c r="P674">
        <v>6.5897962535707739E-3</v>
      </c>
      <c r="Q674">
        <f t="shared" si="175"/>
        <v>3867.7006880176432</v>
      </c>
      <c r="R674">
        <f t="shared" si="176"/>
        <v>3.867700688017643</v>
      </c>
    </row>
    <row r="675" spans="1:18" x14ac:dyDescent="0.3">
      <c r="A675">
        <v>1.3480000000000001</v>
      </c>
      <c r="B675" s="4"/>
      <c r="C675">
        <v>-39.708264467758902</v>
      </c>
      <c r="D675">
        <v>1.95</v>
      </c>
      <c r="E675">
        <f t="shared" si="178"/>
        <v>97.583468473512255</v>
      </c>
      <c r="F675">
        <f t="shared" si="166"/>
        <v>1.4457297099125865E-2</v>
      </c>
      <c r="G675">
        <f t="shared" si="167"/>
        <v>4.4713289997296492E-2</v>
      </c>
      <c r="H675">
        <f t="shared" si="168"/>
        <v>70.260825221757202</v>
      </c>
      <c r="I675">
        <f t="shared" si="169"/>
        <v>1.0449251635797729</v>
      </c>
      <c r="J675">
        <f t="shared" si="170"/>
        <v>1.1762129272544593</v>
      </c>
      <c r="K675">
        <f t="shared" si="171"/>
        <v>0.5442232764492726</v>
      </c>
      <c r="L675">
        <f t="shared" si="172"/>
        <v>1.2733363867991883</v>
      </c>
      <c r="M675">
        <f t="shared" si="173"/>
        <v>1.0022122789443764</v>
      </c>
      <c r="N675">
        <f t="shared" si="174"/>
        <v>0.99316406864285833</v>
      </c>
      <c r="O675">
        <v>3.7854241403816212E-3</v>
      </c>
      <c r="P675">
        <v>6.5247475801059503E-3</v>
      </c>
      <c r="Q675">
        <f t="shared" si="175"/>
        <v>3867.7006880176432</v>
      </c>
      <c r="R675">
        <f t="shared" si="176"/>
        <v>3.867700688017643</v>
      </c>
    </row>
    <row r="676" spans="1:18" x14ac:dyDescent="0.3">
      <c r="A676">
        <v>1.35</v>
      </c>
      <c r="B676" s="4"/>
      <c r="C676">
        <v>-39.708264467758902</v>
      </c>
      <c r="D676">
        <v>1.95</v>
      </c>
      <c r="E676">
        <f t="shared" si="178"/>
        <v>97.583468473512255</v>
      </c>
      <c r="F676">
        <f t="shared" si="166"/>
        <v>1.4457297099125865E-2</v>
      </c>
      <c r="G676">
        <f t="shared" si="167"/>
        <v>4.4713289997296492E-2</v>
      </c>
      <c r="H676">
        <f t="shared" si="168"/>
        <v>70.260825221757202</v>
      </c>
      <c r="I676">
        <f t="shared" si="169"/>
        <v>1.0449251635797729</v>
      </c>
      <c r="J676">
        <f t="shared" si="170"/>
        <v>1.1762129272544593</v>
      </c>
      <c r="K676">
        <f t="shared" si="171"/>
        <v>0.5442232764492726</v>
      </c>
      <c r="L676">
        <f t="shared" si="172"/>
        <v>1.2733363867991883</v>
      </c>
      <c r="M676">
        <f t="shared" si="173"/>
        <v>1.0004377347827105</v>
      </c>
      <c r="N676">
        <f t="shared" si="174"/>
        <v>0.99462839540450465</v>
      </c>
      <c r="O676">
        <v>3.9219779796249238E-3</v>
      </c>
      <c r="P676">
        <v>6.4371795113770183E-3</v>
      </c>
      <c r="Q676">
        <f t="shared" si="175"/>
        <v>3867.7006880176432</v>
      </c>
      <c r="R676">
        <f t="shared" si="176"/>
        <v>3.867700688017643</v>
      </c>
    </row>
    <row r="677" spans="1:18" x14ac:dyDescent="0.3">
      <c r="A677">
        <v>1.3520000000000001</v>
      </c>
      <c r="B677" s="4"/>
      <c r="C677">
        <v>-39.708264467758902</v>
      </c>
      <c r="D677">
        <v>1.95</v>
      </c>
      <c r="E677">
        <f t="shared" si="178"/>
        <v>97.583468473512255</v>
      </c>
      <c r="F677">
        <f t="shared" si="166"/>
        <v>1.4457297099125865E-2</v>
      </c>
      <c r="G677">
        <f t="shared" si="167"/>
        <v>4.4713289997296492E-2</v>
      </c>
      <c r="H677">
        <f t="shared" si="168"/>
        <v>70.260825221757202</v>
      </c>
      <c r="I677">
        <f t="shared" si="169"/>
        <v>1.0449251635797729</v>
      </c>
      <c r="J677">
        <f t="shared" si="170"/>
        <v>1.1762129272544593</v>
      </c>
      <c r="K677">
        <f t="shared" si="171"/>
        <v>0.5442232764492726</v>
      </c>
      <c r="L677">
        <f t="shared" si="172"/>
        <v>1.2733363867991883</v>
      </c>
      <c r="M677">
        <f t="shared" si="173"/>
        <v>1.0015573005664264</v>
      </c>
      <c r="N677">
        <f t="shared" si="174"/>
        <v>0.99614368631467065</v>
      </c>
      <c r="O677">
        <v>4.095003181418198E-3</v>
      </c>
      <c r="P677">
        <v>6.3277905979579867E-3</v>
      </c>
      <c r="Q677">
        <f t="shared" si="175"/>
        <v>3867.7006880176432</v>
      </c>
      <c r="R677">
        <f t="shared" si="176"/>
        <v>3.867700688017643</v>
      </c>
    </row>
    <row r="678" spans="1:18" x14ac:dyDescent="0.3">
      <c r="A678">
        <v>1.3540000000000001</v>
      </c>
      <c r="B678" s="4"/>
      <c r="C678">
        <v>-39.708264467758902</v>
      </c>
      <c r="D678">
        <v>1.95</v>
      </c>
      <c r="E678">
        <f t="shared" si="178"/>
        <v>97.583468473512255</v>
      </c>
      <c r="F678">
        <f t="shared" si="166"/>
        <v>1.4457297099125865E-2</v>
      </c>
      <c r="G678">
        <f t="shared" si="167"/>
        <v>4.4713289997296492E-2</v>
      </c>
      <c r="H678">
        <f t="shared" si="168"/>
        <v>70.260825221757202</v>
      </c>
      <c r="I678">
        <f t="shared" si="169"/>
        <v>1.0449251635797729</v>
      </c>
      <c r="J678">
        <f t="shared" si="170"/>
        <v>1.1762129272544593</v>
      </c>
      <c r="K678">
        <f t="shared" si="171"/>
        <v>0.5442232764492726</v>
      </c>
      <c r="L678">
        <f t="shared" si="172"/>
        <v>1.2733363867991883</v>
      </c>
      <c r="M678">
        <f t="shared" si="173"/>
        <v>1.0015572465758695</v>
      </c>
      <c r="N678">
        <f t="shared" si="174"/>
        <v>0.99754346525855941</v>
      </c>
      <c r="O678">
        <v>4.2842500675545963E-3</v>
      </c>
      <c r="P678">
        <v>6.1975356428998971E-3</v>
      </c>
      <c r="Q678">
        <f t="shared" si="175"/>
        <v>3867.7006880176432</v>
      </c>
      <c r="R678">
        <f t="shared" si="176"/>
        <v>3.867700688017643</v>
      </c>
    </row>
    <row r="679" spans="1:18" x14ac:dyDescent="0.3">
      <c r="A679">
        <v>1.3560000000000001</v>
      </c>
      <c r="B679" s="4"/>
      <c r="C679">
        <v>-39.708264467758902</v>
      </c>
      <c r="D679">
        <v>1.95</v>
      </c>
      <c r="E679">
        <f t="shared" si="178"/>
        <v>97.583468473512255</v>
      </c>
      <c r="F679">
        <f t="shared" si="166"/>
        <v>1.4457297099125865E-2</v>
      </c>
      <c r="G679">
        <f t="shared" si="167"/>
        <v>4.4713289997296492E-2</v>
      </c>
      <c r="H679">
        <f t="shared" si="168"/>
        <v>70.260825221757202</v>
      </c>
      <c r="I679">
        <f t="shared" si="169"/>
        <v>1.0449251635797729</v>
      </c>
      <c r="J679">
        <f t="shared" si="170"/>
        <v>1.1762129272544593</v>
      </c>
      <c r="K679">
        <f t="shared" si="171"/>
        <v>0.5442232764492726</v>
      </c>
      <c r="L679">
        <f t="shared" si="172"/>
        <v>1.2733363867991883</v>
      </c>
      <c r="M679">
        <f t="shared" si="173"/>
        <v>1.005577254540504</v>
      </c>
      <c r="N679">
        <f t="shared" si="174"/>
        <v>0.99868710916314929</v>
      </c>
      <c r="O679">
        <v>4.5004490409645539E-3</v>
      </c>
      <c r="P679">
        <v>6.0476735893937369E-3</v>
      </c>
      <c r="Q679">
        <f t="shared" si="175"/>
        <v>3867.7006880176432</v>
      </c>
      <c r="R679">
        <f t="shared" si="176"/>
        <v>3.867700688017643</v>
      </c>
    </row>
    <row r="680" spans="1:18" x14ac:dyDescent="0.3">
      <c r="A680">
        <v>1.3580000000000001</v>
      </c>
      <c r="B680" s="4"/>
      <c r="C680">
        <v>-39.708264467758902</v>
      </c>
      <c r="D680">
        <v>1.95</v>
      </c>
      <c r="E680">
        <f t="shared" si="178"/>
        <v>97.583468473512255</v>
      </c>
      <c r="F680">
        <f t="shared" si="166"/>
        <v>1.4457297099125865E-2</v>
      </c>
      <c r="G680">
        <f t="shared" si="167"/>
        <v>4.4713289997296492E-2</v>
      </c>
      <c r="H680">
        <f t="shared" si="168"/>
        <v>70.260825221757202</v>
      </c>
      <c r="I680">
        <f t="shared" si="169"/>
        <v>1.0449251635797729</v>
      </c>
      <c r="J680">
        <f t="shared" si="170"/>
        <v>1.1762129272544593</v>
      </c>
      <c r="K680">
        <f t="shared" si="171"/>
        <v>0.5442232764492726</v>
      </c>
      <c r="L680">
        <f t="shared" si="172"/>
        <v>1.2733363867991883</v>
      </c>
      <c r="M680">
        <f t="shared" si="173"/>
        <v>1.0045847533979793</v>
      </c>
      <c r="N680">
        <f t="shared" si="174"/>
        <v>0.99948251409180866</v>
      </c>
      <c r="O680">
        <v>4.709698615995973E-3</v>
      </c>
      <c r="P680">
        <v>5.8798216180752597E-3</v>
      </c>
      <c r="Q680">
        <f t="shared" si="175"/>
        <v>3867.7006880176432</v>
      </c>
      <c r="R680">
        <f t="shared" si="176"/>
        <v>3.867700688017643</v>
      </c>
    </row>
    <row r="681" spans="1:18" x14ac:dyDescent="0.3">
      <c r="A681">
        <v>1.36</v>
      </c>
      <c r="B681" s="4"/>
      <c r="C681">
        <v>-39.708264467758902</v>
      </c>
      <c r="D681">
        <v>1.95</v>
      </c>
      <c r="E681">
        <f t="shared" si="178"/>
        <v>97.583468473512255</v>
      </c>
      <c r="F681">
        <f t="shared" si="166"/>
        <v>1.4457297099125865E-2</v>
      </c>
      <c r="G681">
        <f t="shared" si="167"/>
        <v>4.4713289997296492E-2</v>
      </c>
      <c r="H681">
        <f t="shared" si="168"/>
        <v>70.260825221757202</v>
      </c>
      <c r="I681">
        <f t="shared" si="169"/>
        <v>1.0449251635797729</v>
      </c>
      <c r="J681">
        <f t="shared" si="170"/>
        <v>1.1762129272544593</v>
      </c>
      <c r="K681">
        <f t="shared" si="171"/>
        <v>0.5442232764492726</v>
      </c>
      <c r="L681">
        <f t="shared" si="172"/>
        <v>1.2733363867991883</v>
      </c>
      <c r="M681">
        <f t="shared" si="173"/>
        <v>0.99940091247204677</v>
      </c>
      <c r="N681">
        <f t="shared" si="174"/>
        <v>1.0065738807653948</v>
      </c>
      <c r="O681">
        <v>4.9114235953539613E-3</v>
      </c>
      <c r="P681">
        <v>5.7126266415080352E-3</v>
      </c>
      <c r="Q681">
        <f t="shared" si="175"/>
        <v>3867.7006880176432</v>
      </c>
      <c r="R681">
        <f t="shared" si="176"/>
        <v>3.867700688017643</v>
      </c>
    </row>
    <row r="682" spans="1:18" x14ac:dyDescent="0.3">
      <c r="A682">
        <v>1.3620000000000001</v>
      </c>
      <c r="B682" s="4"/>
      <c r="C682">
        <v>-39.708264467758902</v>
      </c>
      <c r="D682">
        <v>1.95</v>
      </c>
      <c r="E682">
        <f t="shared" si="178"/>
        <v>97.583468473512255</v>
      </c>
      <c r="F682">
        <f t="shared" si="166"/>
        <v>1.4457297099125865E-2</v>
      </c>
      <c r="G682">
        <f t="shared" si="167"/>
        <v>4.4713289997296492E-2</v>
      </c>
      <c r="H682">
        <f t="shared" si="168"/>
        <v>70.260825221757202</v>
      </c>
      <c r="I682">
        <f t="shared" si="169"/>
        <v>1.0449251635797729</v>
      </c>
      <c r="J682">
        <f t="shared" si="170"/>
        <v>1.1762129272544593</v>
      </c>
      <c r="K682">
        <f t="shared" si="171"/>
        <v>0.5442232764492726</v>
      </c>
      <c r="L682">
        <f t="shared" si="172"/>
        <v>1.2733363867991883</v>
      </c>
      <c r="M682">
        <f t="shared" si="173"/>
        <v>0.99821172379043255</v>
      </c>
      <c r="N682">
        <f t="shared" si="174"/>
        <v>0.99901754079861027</v>
      </c>
      <c r="O682">
        <v>5.1251283020396412E-3</v>
      </c>
      <c r="P682">
        <v>5.4962224323113198E-3</v>
      </c>
      <c r="Q682">
        <f t="shared" si="175"/>
        <v>3867.7006880176432</v>
      </c>
      <c r="R682">
        <f t="shared" si="176"/>
        <v>3.867700688017643</v>
      </c>
    </row>
    <row r="683" spans="1:18" x14ac:dyDescent="0.3">
      <c r="A683">
        <v>1.3640000000000001</v>
      </c>
      <c r="B683" s="4"/>
      <c r="C683">
        <v>-39.708264467758902</v>
      </c>
      <c r="D683">
        <v>1.95</v>
      </c>
      <c r="E683">
        <f t="shared" si="178"/>
        <v>97.583468473512255</v>
      </c>
      <c r="F683">
        <f t="shared" si="166"/>
        <v>1.4457297099125865E-2</v>
      </c>
      <c r="G683">
        <f t="shared" si="167"/>
        <v>4.4713289997296492E-2</v>
      </c>
      <c r="H683">
        <f t="shared" si="168"/>
        <v>70.260825221757202</v>
      </c>
      <c r="I683">
        <f t="shared" si="169"/>
        <v>1.0449251635797729</v>
      </c>
      <c r="J683">
        <f t="shared" si="170"/>
        <v>1.1762129272544593</v>
      </c>
      <c r="K683">
        <f t="shared" si="171"/>
        <v>0.5442232764492726</v>
      </c>
      <c r="L683">
        <f t="shared" si="172"/>
        <v>1.2733363867991883</v>
      </c>
      <c r="M683">
        <f t="shared" si="173"/>
        <v>1.0010224165737169</v>
      </c>
      <c r="N683">
        <f t="shared" si="174"/>
        <v>0.99843418876234957</v>
      </c>
      <c r="O683">
        <v>5.3455563415726595E-3</v>
      </c>
      <c r="P683">
        <v>5.2871767164451074E-3</v>
      </c>
      <c r="Q683">
        <f t="shared" si="175"/>
        <v>3867.7006880176432</v>
      </c>
      <c r="R683">
        <f t="shared" si="176"/>
        <v>3.867700688017643</v>
      </c>
    </row>
    <row r="684" spans="1:18" x14ac:dyDescent="0.3">
      <c r="A684">
        <v>1.3660000000000001</v>
      </c>
      <c r="B684" s="4"/>
      <c r="C684">
        <v>-39.708264467758902</v>
      </c>
      <c r="D684">
        <v>1.95</v>
      </c>
      <c r="E684">
        <f t="shared" si="178"/>
        <v>97.583468473512255</v>
      </c>
      <c r="F684">
        <f t="shared" si="166"/>
        <v>1.4457297099125865E-2</v>
      </c>
      <c r="G684">
        <f t="shared" si="167"/>
        <v>4.4713289997296492E-2</v>
      </c>
      <c r="H684">
        <f t="shared" si="168"/>
        <v>70.260825221757202</v>
      </c>
      <c r="I684">
        <f t="shared" si="169"/>
        <v>1.0449251635797729</v>
      </c>
      <c r="J684">
        <f t="shared" si="170"/>
        <v>1.1762129272544593</v>
      </c>
      <c r="K684">
        <f t="shared" si="171"/>
        <v>0.5442232764492726</v>
      </c>
      <c r="L684">
        <f t="shared" si="172"/>
        <v>1.2733363867991883</v>
      </c>
      <c r="M684">
        <f t="shared" si="173"/>
        <v>1.0099131929725973</v>
      </c>
      <c r="N684">
        <f t="shared" si="174"/>
        <v>0.99948936931157317</v>
      </c>
      <c r="O684">
        <v>5.5733780277178102E-3</v>
      </c>
      <c r="P684">
        <v>5.0757991622833671E-3</v>
      </c>
      <c r="Q684">
        <f t="shared" si="175"/>
        <v>3867.7006880176432</v>
      </c>
      <c r="R684">
        <f t="shared" si="176"/>
        <v>3.867700688017643</v>
      </c>
    </row>
    <row r="685" spans="1:18" x14ac:dyDescent="0.3">
      <c r="A685">
        <v>1.3680000000000001</v>
      </c>
      <c r="B685" s="4"/>
      <c r="C685">
        <v>-39.708264467758902</v>
      </c>
      <c r="D685">
        <v>1.95</v>
      </c>
      <c r="E685">
        <f t="shared" si="178"/>
        <v>97.583468473512255</v>
      </c>
      <c r="F685">
        <f t="shared" si="166"/>
        <v>1.4457297099125865E-2</v>
      </c>
      <c r="G685">
        <f t="shared" si="167"/>
        <v>4.4713289997296492E-2</v>
      </c>
      <c r="H685">
        <f t="shared" si="168"/>
        <v>70.260825221757202</v>
      </c>
      <c r="I685">
        <f t="shared" si="169"/>
        <v>1.0449251635797729</v>
      </c>
      <c r="J685">
        <f t="shared" si="170"/>
        <v>1.1762129272544593</v>
      </c>
      <c r="K685">
        <f t="shared" si="171"/>
        <v>0.5442232764492726</v>
      </c>
      <c r="L685">
        <f t="shared" si="172"/>
        <v>1.2733363867991883</v>
      </c>
      <c r="M685">
        <f t="shared" si="173"/>
        <v>0.99914371007983949</v>
      </c>
      <c r="N685">
        <f t="shared" si="174"/>
        <v>1.0040020600445216</v>
      </c>
      <c r="O685">
        <v>5.7406211485015578E-3</v>
      </c>
      <c r="P685">
        <v>4.8714416646594236E-3</v>
      </c>
      <c r="Q685">
        <f t="shared" si="175"/>
        <v>3867.7006880176432</v>
      </c>
      <c r="R685">
        <f t="shared" si="176"/>
        <v>3.867700688017643</v>
      </c>
    </row>
    <row r="686" spans="1:18" x14ac:dyDescent="0.3">
      <c r="A686">
        <v>1.37</v>
      </c>
      <c r="B686" s="4"/>
      <c r="C686">
        <v>-39.708264467758902</v>
      </c>
      <c r="D686">
        <v>1.95</v>
      </c>
      <c r="E686">
        <f t="shared" si="178"/>
        <v>97.583468473512255</v>
      </c>
      <c r="F686">
        <f t="shared" si="166"/>
        <v>1.4457297099125865E-2</v>
      </c>
      <c r="G686">
        <f t="shared" si="167"/>
        <v>4.4713289997296492E-2</v>
      </c>
      <c r="H686">
        <f t="shared" si="168"/>
        <v>70.260825221757202</v>
      </c>
      <c r="I686">
        <f t="shared" si="169"/>
        <v>1.0449251635797729</v>
      </c>
      <c r="J686">
        <f t="shared" si="170"/>
        <v>1.1762129272544593</v>
      </c>
      <c r="K686">
        <f t="shared" si="171"/>
        <v>0.5442232764492726</v>
      </c>
      <c r="L686">
        <f t="shared" si="172"/>
        <v>1.2733363867991883</v>
      </c>
      <c r="M686">
        <f t="shared" si="173"/>
        <v>0.99800277226200673</v>
      </c>
      <c r="N686">
        <f t="shared" si="174"/>
        <v>1.0062535245308826</v>
      </c>
      <c r="O686">
        <v>5.9192697316973516E-3</v>
      </c>
      <c r="P686">
        <v>4.6622032976739005E-3</v>
      </c>
      <c r="Q686">
        <f t="shared" si="175"/>
        <v>3867.7006880176432</v>
      </c>
      <c r="R686">
        <f t="shared" si="176"/>
        <v>3.867700688017643</v>
      </c>
    </row>
    <row r="687" spans="1:18" x14ac:dyDescent="0.3">
      <c r="A687">
        <v>1.3720000000000001</v>
      </c>
      <c r="B687" s="4"/>
      <c r="C687">
        <v>-39.708264467758902</v>
      </c>
      <c r="D687">
        <v>1.95</v>
      </c>
      <c r="E687">
        <f t="shared" si="178"/>
        <v>97.583468473512255</v>
      </c>
      <c r="F687">
        <f t="shared" si="166"/>
        <v>1.4457297099125865E-2</v>
      </c>
      <c r="G687">
        <f t="shared" si="167"/>
        <v>4.4713289997296492E-2</v>
      </c>
      <c r="H687">
        <f t="shared" si="168"/>
        <v>70.260825221757202</v>
      </c>
      <c r="I687">
        <f t="shared" si="169"/>
        <v>1.0449251635797729</v>
      </c>
      <c r="J687">
        <f t="shared" si="170"/>
        <v>1.1762129272544593</v>
      </c>
      <c r="K687">
        <f t="shared" si="171"/>
        <v>0.5442232764492726</v>
      </c>
      <c r="L687">
        <f t="shared" si="172"/>
        <v>1.2733363867991883</v>
      </c>
      <c r="M687">
        <f t="shared" si="173"/>
        <v>0.99637685281973409</v>
      </c>
      <c r="N687">
        <f t="shared" si="174"/>
        <v>1.0013209632145454</v>
      </c>
      <c r="O687">
        <v>6.0812305538462371E-3</v>
      </c>
      <c r="P687">
        <v>4.4363176592703887E-3</v>
      </c>
      <c r="Q687">
        <f t="shared" si="175"/>
        <v>3867.7006880176432</v>
      </c>
      <c r="R687">
        <f t="shared" si="176"/>
        <v>3.867700688017643</v>
      </c>
    </row>
    <row r="688" spans="1:18" x14ac:dyDescent="0.3">
      <c r="A688">
        <v>1.3740000000000001</v>
      </c>
      <c r="B688" s="4"/>
      <c r="C688">
        <v>-39.708264467758902</v>
      </c>
      <c r="D688">
        <v>1.95</v>
      </c>
      <c r="E688">
        <f t="shared" si="178"/>
        <v>97.583468473512255</v>
      </c>
      <c r="F688">
        <f t="shared" si="166"/>
        <v>1.4457297099125865E-2</v>
      </c>
      <c r="G688">
        <f t="shared" si="167"/>
        <v>4.4713289997296492E-2</v>
      </c>
      <c r="H688">
        <f t="shared" si="168"/>
        <v>70.260825221757202</v>
      </c>
      <c r="I688">
        <f t="shared" si="169"/>
        <v>1.0449251635797729</v>
      </c>
      <c r="J688">
        <f t="shared" si="170"/>
        <v>1.1762129272544593</v>
      </c>
      <c r="K688">
        <f t="shared" si="171"/>
        <v>0.5442232764492726</v>
      </c>
      <c r="L688">
        <f t="shared" si="172"/>
        <v>1.2733363867991883</v>
      </c>
      <c r="M688">
        <f t="shared" si="173"/>
        <v>0.99436199800333136</v>
      </c>
      <c r="N688">
        <f t="shared" si="174"/>
        <v>0.99714326697955147</v>
      </c>
      <c r="O688">
        <v>6.2246976220728355E-3</v>
      </c>
      <c r="P688">
        <v>4.2218312845094261E-3</v>
      </c>
      <c r="Q688">
        <f t="shared" si="175"/>
        <v>3867.7006880176432</v>
      </c>
      <c r="R688">
        <f t="shared" si="176"/>
        <v>3.867700688017643</v>
      </c>
    </row>
    <row r="689" spans="1:18" x14ac:dyDescent="0.3">
      <c r="A689">
        <v>1.3759999999999999</v>
      </c>
      <c r="B689" s="4"/>
      <c r="C689">
        <v>-39.708264467758902</v>
      </c>
      <c r="D689">
        <v>1.95</v>
      </c>
      <c r="E689">
        <f t="shared" si="178"/>
        <v>97.583468473512255</v>
      </c>
      <c r="F689">
        <f t="shared" si="166"/>
        <v>1.4457297099125865E-2</v>
      </c>
      <c r="G689">
        <f t="shared" si="167"/>
        <v>4.4713289997296492E-2</v>
      </c>
      <c r="H689">
        <f t="shared" si="168"/>
        <v>70.260825221757202</v>
      </c>
      <c r="I689">
        <f t="shared" si="169"/>
        <v>1.0449251635797729</v>
      </c>
      <c r="J689">
        <f t="shared" si="170"/>
        <v>1.1762129272544593</v>
      </c>
      <c r="K689">
        <f t="shared" si="171"/>
        <v>0.5442232764492726</v>
      </c>
      <c r="L689">
        <f t="shared" si="172"/>
        <v>1.2733363867991883</v>
      </c>
      <c r="M689">
        <f t="shared" si="173"/>
        <v>0.99212009832815917</v>
      </c>
      <c r="N689">
        <f t="shared" si="174"/>
        <v>1.0008105164345373</v>
      </c>
      <c r="O689">
        <v>6.3482617068615372E-3</v>
      </c>
      <c r="P689">
        <v>4.048981512392559E-3</v>
      </c>
      <c r="Q689">
        <f t="shared" si="175"/>
        <v>3867.7006880176432</v>
      </c>
      <c r="R689">
        <f t="shared" si="176"/>
        <v>3.867700688017643</v>
      </c>
    </row>
    <row r="690" spans="1:18" x14ac:dyDescent="0.3">
      <c r="A690">
        <v>1.3779999999999999</v>
      </c>
      <c r="B690" s="4">
        <v>60</v>
      </c>
      <c r="C690">
        <v>-39.172061136661199</v>
      </c>
      <c r="D690">
        <v>1.95</v>
      </c>
      <c r="E690">
        <f>$E$689+$R$689</f>
        <v>101.4511691615299</v>
      </c>
      <c r="F690">
        <f t="shared" si="166"/>
        <v>1.474101909854653E-2</v>
      </c>
      <c r="G690">
        <f t="shared" si="167"/>
        <v>4.5590780717154215E-2</v>
      </c>
      <c r="H690">
        <f t="shared" si="168"/>
        <v>68.908507469531486</v>
      </c>
      <c r="I690">
        <f t="shared" si="169"/>
        <v>1.0431941745296527</v>
      </c>
      <c r="J690">
        <f t="shared" si="170"/>
        <v>1.1692235815749634</v>
      </c>
      <c r="K690">
        <f t="shared" si="171"/>
        <v>0.54566134749711492</v>
      </c>
      <c r="L690">
        <f t="shared" si="172"/>
        <v>1.2708480960452986</v>
      </c>
      <c r="M690">
        <f t="shared" si="173"/>
        <v>1.0029016340084018</v>
      </c>
      <c r="N690">
        <f t="shared" si="174"/>
        <v>0.99566638810641961</v>
      </c>
      <c r="O690">
        <v>4.0544585954635625E-3</v>
      </c>
      <c r="P690">
        <v>6.3653108796830303E-3</v>
      </c>
      <c r="Q690">
        <f t="shared" si="175"/>
        <v>3884.6676072983978</v>
      </c>
      <c r="R690">
        <f t="shared" si="176"/>
        <v>3.8846676072983977</v>
      </c>
    </row>
    <row r="691" spans="1:18" x14ac:dyDescent="0.3">
      <c r="A691">
        <v>1.38</v>
      </c>
      <c r="B691" s="4"/>
      <c r="C691">
        <v>-39.172061136661199</v>
      </c>
      <c r="D691">
        <v>1.95</v>
      </c>
      <c r="E691">
        <f t="shared" ref="E691:E711" si="179">$E$689+$R$689</f>
        <v>101.4511691615299</v>
      </c>
      <c r="F691">
        <f t="shared" si="166"/>
        <v>1.474101909854653E-2</v>
      </c>
      <c r="G691">
        <f t="shared" si="167"/>
        <v>4.5590780717154215E-2</v>
      </c>
      <c r="H691">
        <f t="shared" si="168"/>
        <v>68.908507469531486</v>
      </c>
      <c r="I691">
        <f t="shared" si="169"/>
        <v>1.0431941745296527</v>
      </c>
      <c r="J691">
        <f t="shared" si="170"/>
        <v>1.1692235815749634</v>
      </c>
      <c r="K691">
        <f t="shared" si="171"/>
        <v>0.54566134749711492</v>
      </c>
      <c r="L691">
        <f t="shared" si="172"/>
        <v>1.2708480960452986</v>
      </c>
      <c r="M691">
        <f t="shared" si="173"/>
        <v>1.0008355777164522</v>
      </c>
      <c r="N691">
        <f t="shared" si="174"/>
        <v>0.99710626349380305</v>
      </c>
      <c r="O691">
        <v>4.2289636978692785E-3</v>
      </c>
      <c r="P691">
        <v>6.2428812946842003E-3</v>
      </c>
      <c r="Q691">
        <f t="shared" si="175"/>
        <v>3884.6676072983978</v>
      </c>
      <c r="R691">
        <f t="shared" si="176"/>
        <v>3.8846676072983977</v>
      </c>
    </row>
    <row r="692" spans="1:18" x14ac:dyDescent="0.3">
      <c r="A692">
        <v>1.3819999999999999</v>
      </c>
      <c r="B692" s="4"/>
      <c r="C692">
        <v>-39.172061136661199</v>
      </c>
      <c r="D692">
        <v>1.95</v>
      </c>
      <c r="E692">
        <f t="shared" si="179"/>
        <v>101.4511691615299</v>
      </c>
      <c r="F692">
        <f t="shared" si="166"/>
        <v>1.474101909854653E-2</v>
      </c>
      <c r="G692">
        <f t="shared" si="167"/>
        <v>4.5590780717154215E-2</v>
      </c>
      <c r="H692">
        <f t="shared" si="168"/>
        <v>68.908507469531486</v>
      </c>
      <c r="I692">
        <f t="shared" si="169"/>
        <v>1.0431941745296527</v>
      </c>
      <c r="J692">
        <f t="shared" si="170"/>
        <v>1.1692235815749634</v>
      </c>
      <c r="K692">
        <f t="shared" si="171"/>
        <v>0.54566134749711492</v>
      </c>
      <c r="L692">
        <f t="shared" si="172"/>
        <v>1.2708480960452986</v>
      </c>
      <c r="M692">
        <f t="shared" si="173"/>
        <v>1.0046983824180074</v>
      </c>
      <c r="N692">
        <f t="shared" si="174"/>
        <v>0.99833315636119146</v>
      </c>
      <c r="O692">
        <v>4.438219152938897E-3</v>
      </c>
      <c r="P692">
        <v>6.1011736700065612E-3</v>
      </c>
      <c r="Q692">
        <f t="shared" si="175"/>
        <v>3884.6676072983978</v>
      </c>
      <c r="R692">
        <f t="shared" si="176"/>
        <v>3.8846676072983977</v>
      </c>
    </row>
    <row r="693" spans="1:18" x14ac:dyDescent="0.3">
      <c r="A693">
        <v>1.3839999999999999</v>
      </c>
      <c r="B693" s="4"/>
      <c r="C693">
        <v>-39.172061136661199</v>
      </c>
      <c r="D693">
        <v>1.95</v>
      </c>
      <c r="E693">
        <f t="shared" si="179"/>
        <v>101.4511691615299</v>
      </c>
      <c r="F693">
        <f t="shared" si="166"/>
        <v>1.474101909854653E-2</v>
      </c>
      <c r="G693">
        <f t="shared" si="167"/>
        <v>4.5590780717154215E-2</v>
      </c>
      <c r="H693">
        <f t="shared" si="168"/>
        <v>68.908507469531486</v>
      </c>
      <c r="I693">
        <f t="shared" si="169"/>
        <v>1.0431941745296527</v>
      </c>
      <c r="J693">
        <f t="shared" si="170"/>
        <v>1.1692235815749634</v>
      </c>
      <c r="K693">
        <f t="shared" si="171"/>
        <v>0.54566134749711492</v>
      </c>
      <c r="L693">
        <f t="shared" si="172"/>
        <v>1.2708480960452986</v>
      </c>
      <c r="M693">
        <f t="shared" si="173"/>
        <v>1.0026781182361204</v>
      </c>
      <c r="N693">
        <f t="shared" si="174"/>
        <v>0.99924326837319777</v>
      </c>
      <c r="O693">
        <v>4.6388135076054103E-3</v>
      </c>
      <c r="P693">
        <v>5.9416001168003264E-3</v>
      </c>
      <c r="Q693">
        <f t="shared" si="175"/>
        <v>3884.6676072983978</v>
      </c>
      <c r="R693">
        <f t="shared" si="176"/>
        <v>3.8846676072983977</v>
      </c>
    </row>
    <row r="694" spans="1:18" x14ac:dyDescent="0.3">
      <c r="A694">
        <v>1.3859999999999999</v>
      </c>
      <c r="B694" s="4"/>
      <c r="C694">
        <v>-39.172061136661199</v>
      </c>
      <c r="D694">
        <v>1.95</v>
      </c>
      <c r="E694">
        <f t="shared" si="179"/>
        <v>101.4511691615299</v>
      </c>
      <c r="F694">
        <f t="shared" si="166"/>
        <v>1.474101909854653E-2</v>
      </c>
      <c r="G694">
        <f t="shared" si="167"/>
        <v>4.5590780717154215E-2</v>
      </c>
      <c r="H694">
        <f t="shared" si="168"/>
        <v>68.908507469531486</v>
      </c>
      <c r="I694">
        <f t="shared" si="169"/>
        <v>1.0431941745296527</v>
      </c>
      <c r="J694">
        <f t="shared" si="170"/>
        <v>1.1692235815749634</v>
      </c>
      <c r="K694">
        <f t="shared" si="171"/>
        <v>0.54566134749711492</v>
      </c>
      <c r="L694">
        <f t="shared" si="172"/>
        <v>1.2708480960452986</v>
      </c>
      <c r="M694">
        <f t="shared" si="173"/>
        <v>0.99962408769701849</v>
      </c>
      <c r="N694">
        <f t="shared" si="174"/>
        <v>0.99978980503566117</v>
      </c>
      <c r="O694">
        <v>4.8423554663634509E-3</v>
      </c>
      <c r="P694">
        <v>5.7659415965854418E-3</v>
      </c>
      <c r="Q694">
        <f t="shared" si="175"/>
        <v>3884.6676072983978</v>
      </c>
      <c r="R694">
        <f t="shared" si="176"/>
        <v>3.8846676072983977</v>
      </c>
    </row>
    <row r="695" spans="1:18" x14ac:dyDescent="0.3">
      <c r="A695">
        <v>1.3879999999999999</v>
      </c>
      <c r="B695" s="4"/>
      <c r="C695">
        <v>-39.172061136661199</v>
      </c>
      <c r="D695">
        <v>1.95</v>
      </c>
      <c r="E695">
        <f t="shared" si="179"/>
        <v>101.4511691615299</v>
      </c>
      <c r="F695">
        <f t="shared" si="166"/>
        <v>1.474101909854653E-2</v>
      </c>
      <c r="G695">
        <f t="shared" si="167"/>
        <v>4.5590780717154215E-2</v>
      </c>
      <c r="H695">
        <f t="shared" si="168"/>
        <v>68.908507469531486</v>
      </c>
      <c r="I695">
        <f t="shared" si="169"/>
        <v>1.0431941745296527</v>
      </c>
      <c r="J695">
        <f t="shared" si="170"/>
        <v>1.1692235815749634</v>
      </c>
      <c r="K695">
        <f t="shared" si="171"/>
        <v>0.54566134749711492</v>
      </c>
      <c r="L695">
        <f t="shared" si="172"/>
        <v>1.2708480960452986</v>
      </c>
      <c r="M695">
        <f t="shared" si="173"/>
        <v>0.99870750783952067</v>
      </c>
      <c r="N695">
        <f t="shared" si="174"/>
        <v>1.0015670168695654</v>
      </c>
      <c r="O695">
        <v>5.0537068306031364E-3</v>
      </c>
      <c r="P695">
        <v>5.5804079142382302E-3</v>
      </c>
      <c r="Q695">
        <f t="shared" si="175"/>
        <v>3884.6676072983978</v>
      </c>
      <c r="R695">
        <f t="shared" si="176"/>
        <v>3.8846676072983977</v>
      </c>
    </row>
    <row r="696" spans="1:18" x14ac:dyDescent="0.3">
      <c r="A696">
        <v>1.39</v>
      </c>
      <c r="B696" s="4"/>
      <c r="C696">
        <v>-39.172061136661199</v>
      </c>
      <c r="D696">
        <v>1.95</v>
      </c>
      <c r="E696">
        <f t="shared" si="179"/>
        <v>101.4511691615299</v>
      </c>
      <c r="F696">
        <f t="shared" si="166"/>
        <v>1.474101909854653E-2</v>
      </c>
      <c r="G696">
        <f t="shared" si="167"/>
        <v>4.5590780717154215E-2</v>
      </c>
      <c r="H696">
        <f t="shared" si="168"/>
        <v>68.908507469531486</v>
      </c>
      <c r="I696">
        <f t="shared" si="169"/>
        <v>1.0431941745296527</v>
      </c>
      <c r="J696">
        <f t="shared" si="170"/>
        <v>1.1692235815749634</v>
      </c>
      <c r="K696">
        <f t="shared" si="171"/>
        <v>0.54566134749711492</v>
      </c>
      <c r="L696">
        <f t="shared" si="172"/>
        <v>1.2708480960452986</v>
      </c>
      <c r="M696">
        <f t="shared" si="173"/>
        <v>0.99875111563553376</v>
      </c>
      <c r="N696">
        <f t="shared" si="174"/>
        <v>0.99779369403967355</v>
      </c>
      <c r="O696">
        <v>5.2651062078801882E-3</v>
      </c>
      <c r="P696">
        <v>5.3699723407886176E-3</v>
      </c>
      <c r="Q696">
        <f t="shared" si="175"/>
        <v>3884.6676072983978</v>
      </c>
      <c r="R696">
        <f t="shared" si="176"/>
        <v>3.8846676072983977</v>
      </c>
    </row>
    <row r="697" spans="1:18" x14ac:dyDescent="0.3">
      <c r="A697">
        <v>1.3919999999999999</v>
      </c>
      <c r="B697" s="4"/>
      <c r="C697">
        <v>-39.172061136661199</v>
      </c>
      <c r="D697">
        <v>1.95</v>
      </c>
      <c r="E697">
        <f t="shared" si="179"/>
        <v>101.4511691615299</v>
      </c>
      <c r="F697">
        <f t="shared" si="166"/>
        <v>1.474101909854653E-2</v>
      </c>
      <c r="G697">
        <f t="shared" si="167"/>
        <v>4.5590780717154215E-2</v>
      </c>
      <c r="H697">
        <f t="shared" si="168"/>
        <v>68.908507469531486</v>
      </c>
      <c r="I697">
        <f t="shared" si="169"/>
        <v>1.0431941745296527</v>
      </c>
      <c r="J697">
        <f t="shared" si="170"/>
        <v>1.1692235815749634</v>
      </c>
      <c r="K697">
        <f t="shared" si="171"/>
        <v>0.54566134749711492</v>
      </c>
      <c r="L697">
        <f t="shared" si="172"/>
        <v>1.2708480960452986</v>
      </c>
      <c r="M697">
        <f t="shared" si="173"/>
        <v>1.0062106041815697</v>
      </c>
      <c r="N697">
        <f t="shared" si="174"/>
        <v>0.99913740692417297</v>
      </c>
      <c r="O697">
        <v>5.4895578790444925E-3</v>
      </c>
      <c r="P697">
        <v>5.1650656596959853E-3</v>
      </c>
      <c r="Q697">
        <f t="shared" si="175"/>
        <v>3884.6676072983978</v>
      </c>
      <c r="R697">
        <f t="shared" si="176"/>
        <v>3.8846676072983977</v>
      </c>
    </row>
    <row r="698" spans="1:18" x14ac:dyDescent="0.3">
      <c r="A698">
        <v>1.3939999999999999</v>
      </c>
      <c r="B698" s="4"/>
      <c r="C698">
        <v>-39.172061136661199</v>
      </c>
      <c r="D698">
        <v>1.95</v>
      </c>
      <c r="E698">
        <f t="shared" si="179"/>
        <v>101.4511691615299</v>
      </c>
      <c r="F698">
        <f t="shared" si="166"/>
        <v>1.474101909854653E-2</v>
      </c>
      <c r="G698">
        <f t="shared" si="167"/>
        <v>4.5590780717154215E-2</v>
      </c>
      <c r="H698">
        <f t="shared" si="168"/>
        <v>68.908507469531486</v>
      </c>
      <c r="I698">
        <f t="shared" si="169"/>
        <v>1.0431941745296527</v>
      </c>
      <c r="J698">
        <f t="shared" si="170"/>
        <v>1.1692235815749634</v>
      </c>
      <c r="K698">
        <f t="shared" si="171"/>
        <v>0.54566134749711492</v>
      </c>
      <c r="L698">
        <f t="shared" si="172"/>
        <v>1.2708480960452986</v>
      </c>
      <c r="M698">
        <f t="shared" si="173"/>
        <v>0.99944827112905932</v>
      </c>
      <c r="N698">
        <f t="shared" si="174"/>
        <v>1.0072879173527951</v>
      </c>
      <c r="O698">
        <v>5.6679612242565656E-3</v>
      </c>
      <c r="P698">
        <v>4.975218943577742E-3</v>
      </c>
      <c r="Q698">
        <f t="shared" si="175"/>
        <v>3884.6676072983978</v>
      </c>
      <c r="R698">
        <f t="shared" si="176"/>
        <v>3.8846676072983977</v>
      </c>
    </row>
    <row r="699" spans="1:18" x14ac:dyDescent="0.3">
      <c r="A699">
        <v>1.3959999999999999</v>
      </c>
      <c r="B699" s="4"/>
      <c r="C699">
        <v>-39.172061136661199</v>
      </c>
      <c r="D699">
        <v>1.95</v>
      </c>
      <c r="E699">
        <f t="shared" si="179"/>
        <v>101.4511691615299</v>
      </c>
      <c r="F699">
        <f t="shared" si="166"/>
        <v>1.474101909854653E-2</v>
      </c>
      <c r="G699">
        <f t="shared" si="167"/>
        <v>4.5590780717154215E-2</v>
      </c>
      <c r="H699">
        <f t="shared" si="168"/>
        <v>68.908507469531486</v>
      </c>
      <c r="I699">
        <f t="shared" si="169"/>
        <v>1.0431941745296527</v>
      </c>
      <c r="J699">
        <f t="shared" si="170"/>
        <v>1.1692235815749634</v>
      </c>
      <c r="K699">
        <f t="shared" si="171"/>
        <v>0.54566134749711492</v>
      </c>
      <c r="L699">
        <f t="shared" si="172"/>
        <v>1.2708480960452986</v>
      </c>
      <c r="M699">
        <f t="shared" si="173"/>
        <v>0.99852183449954435</v>
      </c>
      <c r="N699">
        <f t="shared" si="174"/>
        <v>1.0009776172476976</v>
      </c>
      <c r="O699">
        <v>5.8497843371444385E-3</v>
      </c>
      <c r="P699">
        <v>4.7435812693530253E-3</v>
      </c>
      <c r="Q699">
        <f t="shared" si="175"/>
        <v>3884.6676072983978</v>
      </c>
      <c r="R699">
        <f t="shared" si="176"/>
        <v>3.8846676072983977</v>
      </c>
    </row>
    <row r="700" spans="1:18" x14ac:dyDescent="0.3">
      <c r="A700">
        <v>1.3979999999999999</v>
      </c>
      <c r="B700" s="4"/>
      <c r="C700">
        <v>-39.172061136661199</v>
      </c>
      <c r="D700">
        <v>1.95</v>
      </c>
      <c r="E700">
        <f t="shared" si="179"/>
        <v>101.4511691615299</v>
      </c>
      <c r="F700">
        <f t="shared" si="166"/>
        <v>1.474101909854653E-2</v>
      </c>
      <c r="G700">
        <f t="shared" si="167"/>
        <v>4.5590780717154215E-2</v>
      </c>
      <c r="H700">
        <f t="shared" si="168"/>
        <v>68.908507469531486</v>
      </c>
      <c r="I700">
        <f t="shared" si="169"/>
        <v>1.0431941745296527</v>
      </c>
      <c r="J700">
        <f t="shared" si="170"/>
        <v>1.1692235815749634</v>
      </c>
      <c r="K700">
        <f t="shared" si="171"/>
        <v>0.54566134749711492</v>
      </c>
      <c r="L700">
        <f t="shared" si="172"/>
        <v>1.2708480960452986</v>
      </c>
      <c r="M700">
        <f t="shared" si="173"/>
        <v>0.9971081057470772</v>
      </c>
      <c r="N700">
        <f t="shared" si="174"/>
        <v>1.0031204287101678</v>
      </c>
      <c r="O700">
        <v>6.016375789788757E-3</v>
      </c>
      <c r="P700">
        <v>4.53962327573703E-3</v>
      </c>
      <c r="Q700">
        <f t="shared" si="175"/>
        <v>3884.6676072983978</v>
      </c>
      <c r="R700">
        <f t="shared" si="176"/>
        <v>3.8846676072983977</v>
      </c>
    </row>
    <row r="701" spans="1:18" x14ac:dyDescent="0.3">
      <c r="A701">
        <v>1.4</v>
      </c>
      <c r="B701" s="4"/>
      <c r="C701">
        <v>-39.172061136661199</v>
      </c>
      <c r="D701">
        <v>1.95</v>
      </c>
      <c r="E701">
        <f t="shared" si="179"/>
        <v>101.4511691615299</v>
      </c>
      <c r="F701">
        <f t="shared" si="166"/>
        <v>1.474101909854653E-2</v>
      </c>
      <c r="G701">
        <f t="shared" si="167"/>
        <v>4.5590780717154215E-2</v>
      </c>
      <c r="H701">
        <f t="shared" si="168"/>
        <v>68.908507469531486</v>
      </c>
      <c r="I701">
        <f t="shared" si="169"/>
        <v>1.0431941745296527</v>
      </c>
      <c r="J701">
        <f t="shared" si="170"/>
        <v>1.1692235815749634</v>
      </c>
      <c r="K701">
        <f t="shared" si="171"/>
        <v>0.54566134749711492</v>
      </c>
      <c r="L701">
        <f t="shared" si="172"/>
        <v>1.2708480960452986</v>
      </c>
      <c r="M701">
        <f t="shared" si="173"/>
        <v>0.99526642239415253</v>
      </c>
      <c r="N701">
        <f t="shared" si="174"/>
        <v>1.0002404941539635</v>
      </c>
      <c r="O701">
        <v>6.165855696232376E-3</v>
      </c>
      <c r="P701">
        <v>4.3276790453399957E-3</v>
      </c>
      <c r="Q701">
        <f t="shared" si="175"/>
        <v>3884.6676072983978</v>
      </c>
      <c r="R701">
        <f t="shared" si="176"/>
        <v>3.8846676072983977</v>
      </c>
    </row>
    <row r="702" spans="1:18" x14ac:dyDescent="0.3">
      <c r="A702">
        <v>1.4019999999999999</v>
      </c>
      <c r="B702" s="4"/>
      <c r="C702">
        <v>-39.172061136661199</v>
      </c>
      <c r="D702">
        <v>1.95</v>
      </c>
      <c r="E702">
        <f t="shared" si="179"/>
        <v>101.4511691615299</v>
      </c>
      <c r="F702">
        <f t="shared" si="166"/>
        <v>1.474101909854653E-2</v>
      </c>
      <c r="G702">
        <f t="shared" si="167"/>
        <v>4.5590780717154215E-2</v>
      </c>
      <c r="H702">
        <f t="shared" si="168"/>
        <v>68.908507469531486</v>
      </c>
      <c r="I702">
        <f t="shared" si="169"/>
        <v>1.0431941745296527</v>
      </c>
      <c r="J702">
        <f t="shared" si="170"/>
        <v>1.1692235815749634</v>
      </c>
      <c r="K702">
        <f t="shared" si="171"/>
        <v>0.54566134749711492</v>
      </c>
      <c r="L702">
        <f t="shared" si="172"/>
        <v>1.2708480960452986</v>
      </c>
      <c r="M702">
        <f t="shared" si="173"/>
        <v>0.99312494095686776</v>
      </c>
      <c r="N702">
        <f t="shared" si="174"/>
        <v>1.0001296837078706</v>
      </c>
      <c r="O702">
        <v>6.2967389093612882E-3</v>
      </c>
      <c r="P702">
        <v>4.1369221633310903E-3</v>
      </c>
      <c r="Q702">
        <f t="shared" si="175"/>
        <v>3884.6676072983978</v>
      </c>
      <c r="R702">
        <f t="shared" si="176"/>
        <v>3.8846676072983977</v>
      </c>
    </row>
    <row r="703" spans="1:18" x14ac:dyDescent="0.3">
      <c r="A703">
        <v>1.4039999999999999</v>
      </c>
      <c r="B703" s="4"/>
      <c r="C703">
        <v>-39.172061136661199</v>
      </c>
      <c r="D703">
        <v>1.95</v>
      </c>
      <c r="E703">
        <f t="shared" si="179"/>
        <v>101.4511691615299</v>
      </c>
      <c r="F703">
        <f t="shared" si="166"/>
        <v>1.474101909854653E-2</v>
      </c>
      <c r="G703">
        <f t="shared" si="167"/>
        <v>4.5590780717154215E-2</v>
      </c>
      <c r="H703">
        <f t="shared" si="168"/>
        <v>68.908507469531486</v>
      </c>
      <c r="I703">
        <f t="shared" si="169"/>
        <v>1.0431941745296527</v>
      </c>
      <c r="J703">
        <f t="shared" si="170"/>
        <v>1.1692235815749634</v>
      </c>
      <c r="K703">
        <f t="shared" si="171"/>
        <v>0.54566134749711492</v>
      </c>
      <c r="L703">
        <f t="shared" si="172"/>
        <v>1.2708480960452986</v>
      </c>
      <c r="M703">
        <f t="shared" si="173"/>
        <v>0.99086217296188295</v>
      </c>
      <c r="N703">
        <f t="shared" si="174"/>
        <v>1.0018796843959208</v>
      </c>
      <c r="O703">
        <v>6.4078765582032951E-3</v>
      </c>
      <c r="P703">
        <v>3.9707264460311963E-3</v>
      </c>
      <c r="Q703">
        <f t="shared" si="175"/>
        <v>3884.6676072983978</v>
      </c>
      <c r="R703">
        <f t="shared" si="176"/>
        <v>3.8846676072983977</v>
      </c>
    </row>
    <row r="704" spans="1:18" x14ac:dyDescent="0.3">
      <c r="A704">
        <v>1.4059999999999999</v>
      </c>
      <c r="B704" s="4"/>
      <c r="C704">
        <v>-39.172061136661199</v>
      </c>
      <c r="D704">
        <v>1.95</v>
      </c>
      <c r="E704">
        <f t="shared" si="179"/>
        <v>101.4511691615299</v>
      </c>
      <c r="F704">
        <f t="shared" si="166"/>
        <v>1.474101909854653E-2</v>
      </c>
      <c r="G704">
        <f t="shared" si="167"/>
        <v>4.5590780717154215E-2</v>
      </c>
      <c r="H704">
        <f t="shared" si="168"/>
        <v>68.908507469531486</v>
      </c>
      <c r="I704">
        <f t="shared" si="169"/>
        <v>1.0431941745296527</v>
      </c>
      <c r="J704">
        <f t="shared" si="170"/>
        <v>1.1692235815749634</v>
      </c>
      <c r="K704">
        <f t="shared" si="171"/>
        <v>0.54566134749711492</v>
      </c>
      <c r="L704">
        <f t="shared" si="172"/>
        <v>1.2708480960452986</v>
      </c>
      <c r="M704">
        <f t="shared" si="173"/>
        <v>0.99978682152057263</v>
      </c>
      <c r="N704">
        <f t="shared" si="174"/>
        <v>1.0048352338259574</v>
      </c>
      <c r="O704">
        <v>6.5229607320115993E-3</v>
      </c>
      <c r="P704">
        <v>3.8330450633020023E-3</v>
      </c>
      <c r="Q704">
        <f t="shared" si="175"/>
        <v>3884.6676072983978</v>
      </c>
      <c r="R704">
        <f t="shared" si="176"/>
        <v>3.8846676072983977</v>
      </c>
    </row>
    <row r="705" spans="1:18" x14ac:dyDescent="0.3">
      <c r="A705">
        <v>1.4079999999999999</v>
      </c>
      <c r="B705" s="4"/>
      <c r="C705">
        <v>-39.172061136661199</v>
      </c>
      <c r="D705">
        <v>1.95</v>
      </c>
      <c r="E705">
        <f t="shared" si="179"/>
        <v>101.4511691615299</v>
      </c>
      <c r="F705">
        <f t="shared" si="166"/>
        <v>1.474101909854653E-2</v>
      </c>
      <c r="G705">
        <f t="shared" si="167"/>
        <v>4.5590780717154215E-2</v>
      </c>
      <c r="H705">
        <f t="shared" si="168"/>
        <v>68.908507469531486</v>
      </c>
      <c r="I705">
        <f t="shared" si="169"/>
        <v>1.0431941745296527</v>
      </c>
      <c r="J705">
        <f t="shared" si="170"/>
        <v>1.1692235815749634</v>
      </c>
      <c r="K705">
        <f t="shared" si="171"/>
        <v>0.54566134749711492</v>
      </c>
      <c r="L705">
        <f t="shared" si="172"/>
        <v>1.2708480960452986</v>
      </c>
      <c r="M705">
        <f t="shared" si="173"/>
        <v>0.99973005164362572</v>
      </c>
      <c r="N705">
        <f t="shared" si="174"/>
        <v>1.0009949811918064</v>
      </c>
      <c r="O705">
        <v>6.5960100661018673E-3</v>
      </c>
      <c r="P705">
        <v>3.6997134999538321E-3</v>
      </c>
      <c r="Q705">
        <f t="shared" si="175"/>
        <v>3884.6676072983978</v>
      </c>
      <c r="R705">
        <f t="shared" si="176"/>
        <v>3.8846676072983977</v>
      </c>
    </row>
    <row r="706" spans="1:18" x14ac:dyDescent="0.3">
      <c r="A706">
        <v>1.41</v>
      </c>
      <c r="B706" s="4"/>
      <c r="C706">
        <v>-39.172061136661199</v>
      </c>
      <c r="D706">
        <v>1.95</v>
      </c>
      <c r="E706">
        <f t="shared" si="179"/>
        <v>101.4511691615299</v>
      </c>
      <c r="F706">
        <f t="shared" si="166"/>
        <v>1.474101909854653E-2</v>
      </c>
      <c r="G706">
        <f t="shared" si="167"/>
        <v>4.5590780717154215E-2</v>
      </c>
      <c r="H706">
        <f t="shared" si="168"/>
        <v>68.908507469531486</v>
      </c>
      <c r="I706">
        <f t="shared" si="169"/>
        <v>1.0431941745296527</v>
      </c>
      <c r="J706">
        <f t="shared" si="170"/>
        <v>1.1692235815749634</v>
      </c>
      <c r="K706">
        <f t="shared" si="171"/>
        <v>0.54566134749711492</v>
      </c>
      <c r="L706">
        <f t="shared" si="172"/>
        <v>1.2708480960452986</v>
      </c>
      <c r="M706">
        <f t="shared" si="173"/>
        <v>0.99969707247698847</v>
      </c>
      <c r="N706">
        <f t="shared" si="174"/>
        <v>1.0027324517587508</v>
      </c>
      <c r="O706">
        <v>6.6464122118679043E-3</v>
      </c>
      <c r="P706">
        <v>3.6212914076183644E-3</v>
      </c>
      <c r="Q706">
        <f t="shared" si="175"/>
        <v>3884.6676072983978</v>
      </c>
      <c r="R706">
        <f t="shared" si="176"/>
        <v>3.8846676072983977</v>
      </c>
    </row>
    <row r="707" spans="1:18" x14ac:dyDescent="0.3">
      <c r="A707">
        <v>1.4119999999999999</v>
      </c>
      <c r="B707" s="4"/>
      <c r="C707">
        <v>-39.172061136661199</v>
      </c>
      <c r="D707">
        <v>1.95</v>
      </c>
      <c r="E707">
        <f t="shared" si="179"/>
        <v>101.4511691615299</v>
      </c>
      <c r="F707">
        <f t="shared" ref="F707:F770" si="180">0.0462806*SQRT(E707/1000)</f>
        <v>1.474101909854653E-2</v>
      </c>
      <c r="G707">
        <f t="shared" ref="G707:G770" si="181">$U$3*F707/2</f>
        <v>4.5590780717154215E-2</v>
      </c>
      <c r="H707">
        <f t="shared" ref="H707:H770" si="182">PI()/G707</f>
        <v>68.908507469531486</v>
      </c>
      <c r="I707">
        <f t="shared" ref="I707:I770" si="183">BESSELI(H707*$Y$5,0)</f>
        <v>1.0431941745296527</v>
      </c>
      <c r="J707">
        <f t="shared" ref="J707:J770" si="184">BESSELI(H707*D707*$Y$5,0)</f>
        <v>1.1692235815749634</v>
      </c>
      <c r="K707">
        <f t="shared" ref="K707:K770" si="185">(D707^2-1)/(D707^2*I707+J707)</f>
        <v>0.54566134749711492</v>
      </c>
      <c r="L707">
        <f t="shared" ref="L707:L770" si="186">I707+J707/(D707^2*I707+J707)</f>
        <v>1.2708480960452986</v>
      </c>
      <c r="M707">
        <f t="shared" ref="M707:M770" si="187">((L707*O707^2)/$Y$5^2)+(K707*BESSELI(O707*H707,0)*COS(H707*A707))</f>
        <v>0.99974658486835122</v>
      </c>
      <c r="N707">
        <f t="shared" ref="N707:N770" si="188">((L707*P707^2)/$Y$5^2)-(K707*BESSELI(P707*H707,0)*COS(H707*A707))</f>
        <v>1.0038589441655166</v>
      </c>
      <c r="O707">
        <v>6.673754079796217E-3</v>
      </c>
      <c r="P707">
        <v>3.5788273596695486E-3</v>
      </c>
      <c r="Q707">
        <f t="shared" ref="Q707:Q770" si="189">PI()*K707*$U$4*J707*COS(C707*$Y$7)/(4*$Y$6)</f>
        <v>3884.6676072983978</v>
      </c>
      <c r="R707">
        <f t="shared" ref="R707:R770" si="190">Q707/1000</f>
        <v>3.8846676072983977</v>
      </c>
    </row>
    <row r="708" spans="1:18" x14ac:dyDescent="0.3">
      <c r="A708">
        <v>1.4139999999999999</v>
      </c>
      <c r="B708" s="4"/>
      <c r="C708">
        <v>-39.172061136661199</v>
      </c>
      <c r="D708">
        <v>1.95</v>
      </c>
      <c r="E708">
        <f t="shared" si="179"/>
        <v>101.4511691615299</v>
      </c>
      <c r="F708">
        <f t="shared" si="180"/>
        <v>1.474101909854653E-2</v>
      </c>
      <c r="G708">
        <f t="shared" si="181"/>
        <v>4.5590780717154215E-2</v>
      </c>
      <c r="H708">
        <f t="shared" si="182"/>
        <v>68.908507469531486</v>
      </c>
      <c r="I708">
        <f t="shared" si="183"/>
        <v>1.0431941745296527</v>
      </c>
      <c r="J708">
        <f t="shared" si="184"/>
        <v>1.1692235815749634</v>
      </c>
      <c r="K708">
        <f t="shared" si="185"/>
        <v>0.54566134749711492</v>
      </c>
      <c r="L708">
        <f t="shared" si="186"/>
        <v>1.2708480960452986</v>
      </c>
      <c r="M708">
        <f t="shared" si="187"/>
        <v>0.99975307278727255</v>
      </c>
      <c r="N708">
        <f t="shared" si="188"/>
        <v>1.004022570448265</v>
      </c>
      <c r="O708">
        <v>6.6774743524032881E-3</v>
      </c>
      <c r="P708">
        <v>3.5730405209106007E-3</v>
      </c>
      <c r="Q708">
        <f t="shared" si="189"/>
        <v>3884.6676072983978</v>
      </c>
      <c r="R708">
        <f t="shared" si="190"/>
        <v>3.8846676072983977</v>
      </c>
    </row>
    <row r="709" spans="1:18" x14ac:dyDescent="0.3">
      <c r="A709">
        <v>1.4159999999999999</v>
      </c>
      <c r="B709" s="4"/>
      <c r="C709">
        <v>-39.172061136661199</v>
      </c>
      <c r="D709">
        <v>1.95</v>
      </c>
      <c r="E709">
        <f t="shared" si="179"/>
        <v>101.4511691615299</v>
      </c>
      <c r="F709">
        <f t="shared" si="180"/>
        <v>1.474101909854653E-2</v>
      </c>
      <c r="G709">
        <f t="shared" si="181"/>
        <v>4.5590780717154215E-2</v>
      </c>
      <c r="H709">
        <f t="shared" si="182"/>
        <v>68.908507469531486</v>
      </c>
      <c r="I709">
        <f t="shared" si="183"/>
        <v>1.0431941745296527</v>
      </c>
      <c r="J709">
        <f t="shared" si="184"/>
        <v>1.1692235815749634</v>
      </c>
      <c r="K709">
        <f t="shared" si="185"/>
        <v>0.54566134749711492</v>
      </c>
      <c r="L709">
        <f t="shared" si="186"/>
        <v>1.2708480960452986</v>
      </c>
      <c r="M709">
        <f t="shared" si="187"/>
        <v>0.99971759504237012</v>
      </c>
      <c r="N709">
        <f t="shared" si="188"/>
        <v>1.0031746470260181</v>
      </c>
      <c r="O709">
        <v>6.6575363392455738E-3</v>
      </c>
      <c r="P709">
        <v>3.6040287563424583E-3</v>
      </c>
      <c r="Q709">
        <f t="shared" si="189"/>
        <v>3884.6676072983978</v>
      </c>
      <c r="R709">
        <f t="shared" si="190"/>
        <v>3.8846676072983977</v>
      </c>
    </row>
    <row r="710" spans="1:18" x14ac:dyDescent="0.3">
      <c r="A710">
        <v>1.4179999999999999</v>
      </c>
      <c r="B710" s="4"/>
      <c r="C710">
        <v>-39.172061136661199</v>
      </c>
      <c r="D710">
        <v>1.95</v>
      </c>
      <c r="E710">
        <f t="shared" si="179"/>
        <v>101.4511691615299</v>
      </c>
      <c r="F710">
        <f t="shared" si="180"/>
        <v>1.474101909854653E-2</v>
      </c>
      <c r="G710">
        <f t="shared" si="181"/>
        <v>4.5590780717154215E-2</v>
      </c>
      <c r="H710">
        <f t="shared" si="182"/>
        <v>68.908507469531486</v>
      </c>
      <c r="I710">
        <f t="shared" si="183"/>
        <v>1.0431941745296527</v>
      </c>
      <c r="J710">
        <f t="shared" si="184"/>
        <v>1.1692235815749634</v>
      </c>
      <c r="K710">
        <f t="shared" si="185"/>
        <v>0.54566134749711492</v>
      </c>
      <c r="L710">
        <f t="shared" si="186"/>
        <v>1.2708480960452986</v>
      </c>
      <c r="M710">
        <f t="shared" si="187"/>
        <v>0.99971416318395157</v>
      </c>
      <c r="N710">
        <f t="shared" si="188"/>
        <v>1.0015738314642939</v>
      </c>
      <c r="O710">
        <v>6.6143105317105454E-3</v>
      </c>
      <c r="P710">
        <v>3.6712676120897636E-3</v>
      </c>
      <c r="Q710">
        <f t="shared" si="189"/>
        <v>3884.6676072983978</v>
      </c>
      <c r="R710">
        <f t="shared" si="190"/>
        <v>3.8846676072983977</v>
      </c>
    </row>
    <row r="711" spans="1:18" x14ac:dyDescent="0.3">
      <c r="A711">
        <v>1.42</v>
      </c>
      <c r="B711" s="4"/>
      <c r="C711">
        <v>-39.172061136661199</v>
      </c>
      <c r="D711">
        <v>1.95</v>
      </c>
      <c r="E711">
        <f t="shared" si="179"/>
        <v>101.4511691615299</v>
      </c>
      <c r="F711">
        <f t="shared" si="180"/>
        <v>1.474101909854653E-2</v>
      </c>
      <c r="G711">
        <f t="shared" si="181"/>
        <v>4.5590780717154215E-2</v>
      </c>
      <c r="H711">
        <f t="shared" si="182"/>
        <v>68.908507469531486</v>
      </c>
      <c r="I711">
        <f t="shared" si="183"/>
        <v>1.0431941745296527</v>
      </c>
      <c r="J711">
        <f t="shared" si="184"/>
        <v>1.1692235815749634</v>
      </c>
      <c r="K711">
        <f t="shared" si="185"/>
        <v>0.54566134749711492</v>
      </c>
      <c r="L711">
        <f t="shared" si="186"/>
        <v>1.2708480960452986</v>
      </c>
      <c r="M711">
        <f t="shared" si="187"/>
        <v>0.99976827839092663</v>
      </c>
      <c r="N711">
        <f t="shared" si="188"/>
        <v>1.0058623357821881</v>
      </c>
      <c r="O711">
        <v>6.5483142293101043E-3</v>
      </c>
      <c r="P711">
        <v>3.7960647228689431E-3</v>
      </c>
      <c r="Q711">
        <f t="shared" si="189"/>
        <v>3884.6676072983978</v>
      </c>
      <c r="R711">
        <f t="shared" si="190"/>
        <v>3.8846676072983977</v>
      </c>
    </row>
    <row r="712" spans="1:18" x14ac:dyDescent="0.3">
      <c r="A712">
        <v>1.4219999999999999</v>
      </c>
      <c r="B712" s="4">
        <v>61</v>
      </c>
      <c r="C712">
        <v>-38.635857805563496</v>
      </c>
      <c r="D712">
        <v>1.95</v>
      </c>
      <c r="E712">
        <f>$E$711+$R$711</f>
        <v>105.3358367688283</v>
      </c>
      <c r="F712">
        <f t="shared" si="180"/>
        <v>1.502059220059449E-2</v>
      </c>
      <c r="G712">
        <f t="shared" si="181"/>
        <v>4.6455439795653065E-2</v>
      </c>
      <c r="H712">
        <f t="shared" si="182"/>
        <v>67.625937186451054</v>
      </c>
      <c r="I712">
        <f t="shared" si="183"/>
        <v>1.0415848526785558</v>
      </c>
      <c r="J712">
        <f t="shared" si="184"/>
        <v>1.1627398831206179</v>
      </c>
      <c r="K712">
        <f t="shared" si="185"/>
        <v>0.54700363859780843</v>
      </c>
      <c r="L712">
        <f t="shared" si="186"/>
        <v>1.2685332725928353</v>
      </c>
      <c r="M712">
        <f t="shared" si="187"/>
        <v>0.99875001135858477</v>
      </c>
      <c r="N712">
        <f t="shared" si="188"/>
        <v>1.002171555837561</v>
      </c>
      <c r="O712">
        <v>5.8143227757327907E-3</v>
      </c>
      <c r="P712">
        <v>4.8004183255432979E-3</v>
      </c>
      <c r="Q712">
        <f t="shared" si="189"/>
        <v>3901.9878503501973</v>
      </c>
      <c r="R712">
        <f t="shared" si="190"/>
        <v>3.9019878503501975</v>
      </c>
    </row>
    <row r="713" spans="1:18" x14ac:dyDescent="0.3">
      <c r="A713">
        <v>1.4239999999999999</v>
      </c>
      <c r="B713" s="4"/>
      <c r="C713">
        <v>-38.635857805563496</v>
      </c>
      <c r="D713">
        <v>1.95</v>
      </c>
      <c r="E713">
        <f t="shared" ref="E713:E734" si="191">$E$711+$R$711</f>
        <v>105.3358367688283</v>
      </c>
      <c r="F713">
        <f t="shared" si="180"/>
        <v>1.502059220059449E-2</v>
      </c>
      <c r="G713">
        <f t="shared" si="181"/>
        <v>4.6455439795653065E-2</v>
      </c>
      <c r="H713">
        <f t="shared" si="182"/>
        <v>67.625937186451054</v>
      </c>
      <c r="I713">
        <f t="shared" si="183"/>
        <v>1.0415848526785558</v>
      </c>
      <c r="J713">
        <f t="shared" si="184"/>
        <v>1.1627398831206179</v>
      </c>
      <c r="K713">
        <f t="shared" si="185"/>
        <v>0.54700363859780843</v>
      </c>
      <c r="L713">
        <f t="shared" si="186"/>
        <v>1.2685332725928353</v>
      </c>
      <c r="M713">
        <f t="shared" si="187"/>
        <v>0.99745571852705339</v>
      </c>
      <c r="N713">
        <f t="shared" si="188"/>
        <v>1.0044961050011896</v>
      </c>
      <c r="O713">
        <v>5.9818585732973996E-3</v>
      </c>
      <c r="P713">
        <v>4.5992675808677833E-3</v>
      </c>
      <c r="Q713">
        <f t="shared" si="189"/>
        <v>3901.9878503501973</v>
      </c>
      <c r="R713">
        <f t="shared" si="190"/>
        <v>3.9019878503501975</v>
      </c>
    </row>
    <row r="714" spans="1:18" x14ac:dyDescent="0.3">
      <c r="A714">
        <v>1.4259999999999999</v>
      </c>
      <c r="B714" s="4"/>
      <c r="C714">
        <v>-38.635857805563496</v>
      </c>
      <c r="D714">
        <v>1.95</v>
      </c>
      <c r="E714">
        <f t="shared" si="191"/>
        <v>105.3358367688283</v>
      </c>
      <c r="F714">
        <f t="shared" si="180"/>
        <v>1.502059220059449E-2</v>
      </c>
      <c r="G714">
        <f t="shared" si="181"/>
        <v>4.6455439795653065E-2</v>
      </c>
      <c r="H714">
        <f t="shared" si="182"/>
        <v>67.625937186451054</v>
      </c>
      <c r="I714">
        <f t="shared" si="183"/>
        <v>1.0415848526785558</v>
      </c>
      <c r="J714">
        <f t="shared" si="184"/>
        <v>1.1627398831206179</v>
      </c>
      <c r="K714">
        <f t="shared" si="185"/>
        <v>0.54700363859780843</v>
      </c>
      <c r="L714">
        <f t="shared" si="186"/>
        <v>1.2685332725928353</v>
      </c>
      <c r="M714">
        <f t="shared" si="187"/>
        <v>0.99572500629772898</v>
      </c>
      <c r="N714">
        <f t="shared" si="188"/>
        <v>1.0007068336079417</v>
      </c>
      <c r="O714">
        <v>6.1332762873944988E-3</v>
      </c>
      <c r="P714">
        <v>4.3854008853954343E-3</v>
      </c>
      <c r="Q714">
        <f t="shared" si="189"/>
        <v>3901.9878503501973</v>
      </c>
      <c r="R714">
        <f t="shared" si="190"/>
        <v>3.9019878503501975</v>
      </c>
    </row>
    <row r="715" spans="1:18" x14ac:dyDescent="0.3">
      <c r="A715">
        <v>1.4279999999999999</v>
      </c>
      <c r="B715" s="4"/>
      <c r="C715">
        <v>-38.635857805563496</v>
      </c>
      <c r="D715">
        <v>1.95</v>
      </c>
      <c r="E715">
        <f t="shared" si="191"/>
        <v>105.3358367688283</v>
      </c>
      <c r="F715">
        <f t="shared" si="180"/>
        <v>1.502059220059449E-2</v>
      </c>
      <c r="G715">
        <f t="shared" si="181"/>
        <v>4.6455439795653065E-2</v>
      </c>
      <c r="H715">
        <f t="shared" si="182"/>
        <v>67.625937186451054</v>
      </c>
      <c r="I715">
        <f t="shared" si="183"/>
        <v>1.0415848526785558</v>
      </c>
      <c r="J715">
        <f t="shared" si="184"/>
        <v>1.1627398831206179</v>
      </c>
      <c r="K715">
        <f t="shared" si="185"/>
        <v>0.54700363859780843</v>
      </c>
      <c r="L715">
        <f t="shared" si="186"/>
        <v>1.2685332725928353</v>
      </c>
      <c r="M715">
        <f t="shared" si="187"/>
        <v>0.99366499991172019</v>
      </c>
      <c r="N715">
        <f t="shared" si="188"/>
        <v>1.00907116706676</v>
      </c>
      <c r="O715">
        <v>6.2670889387458437E-3</v>
      </c>
      <c r="P715">
        <v>4.2218312845094261E-3</v>
      </c>
      <c r="Q715">
        <f t="shared" si="189"/>
        <v>3901.9878503501973</v>
      </c>
      <c r="R715">
        <f t="shared" si="190"/>
        <v>3.9019878503501975</v>
      </c>
    </row>
    <row r="716" spans="1:18" x14ac:dyDescent="0.3">
      <c r="A716">
        <v>1.43</v>
      </c>
      <c r="B716" s="4"/>
      <c r="C716">
        <v>-38.635857805563496</v>
      </c>
      <c r="D716">
        <v>1.95</v>
      </c>
      <c r="E716">
        <f t="shared" si="191"/>
        <v>105.3358367688283</v>
      </c>
      <c r="F716">
        <f t="shared" si="180"/>
        <v>1.502059220059449E-2</v>
      </c>
      <c r="G716">
        <f t="shared" si="181"/>
        <v>4.6455439795653065E-2</v>
      </c>
      <c r="H716">
        <f t="shared" si="182"/>
        <v>67.625937186451054</v>
      </c>
      <c r="I716">
        <f t="shared" si="183"/>
        <v>1.0415848526785558</v>
      </c>
      <c r="J716">
        <f t="shared" si="184"/>
        <v>1.1627398831206179</v>
      </c>
      <c r="K716">
        <f t="shared" si="185"/>
        <v>0.54700363859780843</v>
      </c>
      <c r="L716">
        <f t="shared" si="186"/>
        <v>1.2685332725928353</v>
      </c>
      <c r="M716">
        <f t="shared" si="187"/>
        <v>0.99143491282755136</v>
      </c>
      <c r="N716">
        <f t="shared" si="188"/>
        <v>1.0011520644411984</v>
      </c>
      <c r="O716">
        <v>6.3821361851655279E-3</v>
      </c>
      <c r="P716">
        <v>4.0199354302705177E-3</v>
      </c>
      <c r="Q716">
        <f t="shared" si="189"/>
        <v>3901.9878503501973</v>
      </c>
      <c r="R716">
        <f t="shared" si="190"/>
        <v>3.9019878503501975</v>
      </c>
    </row>
    <row r="717" spans="1:18" x14ac:dyDescent="0.3">
      <c r="A717">
        <v>1.4319999999999999</v>
      </c>
      <c r="B717" s="4"/>
      <c r="C717">
        <v>-38.635857805563496</v>
      </c>
      <c r="D717">
        <v>1.95</v>
      </c>
      <c r="E717">
        <f t="shared" si="191"/>
        <v>105.3358367688283</v>
      </c>
      <c r="F717">
        <f t="shared" si="180"/>
        <v>1.502059220059449E-2</v>
      </c>
      <c r="G717">
        <f t="shared" si="181"/>
        <v>4.6455439795653065E-2</v>
      </c>
      <c r="H717">
        <f t="shared" si="182"/>
        <v>67.625937186451054</v>
      </c>
      <c r="I717">
        <f t="shared" si="183"/>
        <v>1.0415848526785558</v>
      </c>
      <c r="J717">
        <f t="shared" si="184"/>
        <v>1.1627398831206179</v>
      </c>
      <c r="K717">
        <f t="shared" si="185"/>
        <v>0.54700363859780843</v>
      </c>
      <c r="L717">
        <f t="shared" si="186"/>
        <v>1.2685332725928353</v>
      </c>
      <c r="M717">
        <f t="shared" si="187"/>
        <v>0.99980211498507032</v>
      </c>
      <c r="N717">
        <f t="shared" si="188"/>
        <v>1.0037793209082551</v>
      </c>
      <c r="O717">
        <v>6.5010239276091725E-3</v>
      </c>
      <c r="P717">
        <v>3.8750616724816428E-3</v>
      </c>
      <c r="Q717">
        <f t="shared" si="189"/>
        <v>3901.9878503501973</v>
      </c>
      <c r="R717">
        <f t="shared" si="190"/>
        <v>3.9019878503501975</v>
      </c>
    </row>
    <row r="718" spans="1:18" x14ac:dyDescent="0.3">
      <c r="A718">
        <v>1.4339999999999999</v>
      </c>
      <c r="B718" s="4"/>
      <c r="C718">
        <v>-38.635857805563496</v>
      </c>
      <c r="D718">
        <v>1.95</v>
      </c>
      <c r="E718">
        <f t="shared" si="191"/>
        <v>105.3358367688283</v>
      </c>
      <c r="F718">
        <f t="shared" si="180"/>
        <v>1.502059220059449E-2</v>
      </c>
      <c r="G718">
        <f t="shared" si="181"/>
        <v>4.6455439795653065E-2</v>
      </c>
      <c r="H718">
        <f t="shared" si="182"/>
        <v>67.625937186451054</v>
      </c>
      <c r="I718">
        <f t="shared" si="183"/>
        <v>1.0415848526785558</v>
      </c>
      <c r="J718">
        <f t="shared" si="184"/>
        <v>1.1627398831206179</v>
      </c>
      <c r="K718">
        <f t="shared" si="185"/>
        <v>0.54700363859780843</v>
      </c>
      <c r="L718">
        <f t="shared" si="186"/>
        <v>1.2685332725928353</v>
      </c>
      <c r="M718">
        <f t="shared" si="187"/>
        <v>0.99974352939386335</v>
      </c>
      <c r="N718">
        <f t="shared" si="188"/>
        <v>1.0069630510637468</v>
      </c>
      <c r="O718">
        <v>6.5801066862064888E-3</v>
      </c>
      <c r="P718">
        <v>3.759356418869091E-3</v>
      </c>
      <c r="Q718">
        <f t="shared" si="189"/>
        <v>3901.9878503501973</v>
      </c>
      <c r="R718">
        <f t="shared" si="190"/>
        <v>3.9019878503501975</v>
      </c>
    </row>
    <row r="719" spans="1:18" x14ac:dyDescent="0.3">
      <c r="A719">
        <v>1.4359999999999999</v>
      </c>
      <c r="B719" s="4"/>
      <c r="C719">
        <v>-38.635857805563496</v>
      </c>
      <c r="D719">
        <v>1.95</v>
      </c>
      <c r="E719">
        <f t="shared" si="191"/>
        <v>105.3358367688283</v>
      </c>
      <c r="F719">
        <f t="shared" si="180"/>
        <v>1.502059220059449E-2</v>
      </c>
      <c r="G719">
        <f t="shared" si="181"/>
        <v>4.6455439795653065E-2</v>
      </c>
      <c r="H719">
        <f t="shared" si="182"/>
        <v>67.625937186451054</v>
      </c>
      <c r="I719">
        <f t="shared" si="183"/>
        <v>1.0415848526785558</v>
      </c>
      <c r="J719">
        <f t="shared" si="184"/>
        <v>1.1627398831206179</v>
      </c>
      <c r="K719">
        <f t="shared" si="185"/>
        <v>0.54700363859780843</v>
      </c>
      <c r="L719">
        <f t="shared" si="186"/>
        <v>1.2685332725928353</v>
      </c>
      <c r="M719">
        <f t="shared" si="187"/>
        <v>0.99969321649354836</v>
      </c>
      <c r="N719">
        <f t="shared" si="188"/>
        <v>1.0021507493213955</v>
      </c>
      <c r="O719">
        <v>6.6375554708139285E-3</v>
      </c>
      <c r="P719">
        <v>3.6451851805373073E-3</v>
      </c>
      <c r="Q719">
        <f t="shared" si="189"/>
        <v>3901.9878503501973</v>
      </c>
      <c r="R719">
        <f t="shared" si="190"/>
        <v>3.9019878503501975</v>
      </c>
    </row>
    <row r="720" spans="1:18" x14ac:dyDescent="0.3">
      <c r="A720">
        <v>1.4379999999999999</v>
      </c>
      <c r="B720" s="4"/>
      <c r="C720">
        <v>-38.635857805563496</v>
      </c>
      <c r="D720">
        <v>1.95</v>
      </c>
      <c r="E720">
        <f t="shared" si="191"/>
        <v>105.3358367688283</v>
      </c>
      <c r="F720">
        <f t="shared" si="180"/>
        <v>1.502059220059449E-2</v>
      </c>
      <c r="G720">
        <f t="shared" si="181"/>
        <v>4.6455439795653065E-2</v>
      </c>
      <c r="H720">
        <f t="shared" si="182"/>
        <v>67.625937186451054</v>
      </c>
      <c r="I720">
        <f t="shared" si="183"/>
        <v>1.0415848526785558</v>
      </c>
      <c r="J720">
        <f t="shared" si="184"/>
        <v>1.1627398831206179</v>
      </c>
      <c r="K720">
        <f t="shared" si="185"/>
        <v>0.54700363859780843</v>
      </c>
      <c r="L720">
        <f t="shared" si="186"/>
        <v>1.2685332725928353</v>
      </c>
      <c r="M720">
        <f t="shared" si="187"/>
        <v>0.99974547201329667</v>
      </c>
      <c r="N720">
        <f t="shared" si="188"/>
        <v>1.0035415212948298</v>
      </c>
      <c r="O720">
        <v>6.6729841896242025E-3</v>
      </c>
      <c r="P720">
        <v>3.5899889117414767E-3</v>
      </c>
      <c r="Q720">
        <f t="shared" si="189"/>
        <v>3901.9878503501973</v>
      </c>
      <c r="R720">
        <f t="shared" si="190"/>
        <v>3.9019878503501975</v>
      </c>
    </row>
    <row r="721" spans="1:18" x14ac:dyDescent="0.3">
      <c r="A721">
        <v>1.44</v>
      </c>
      <c r="B721" s="4"/>
      <c r="C721">
        <v>-38.635857805563496</v>
      </c>
      <c r="D721">
        <v>1.95</v>
      </c>
      <c r="E721">
        <f t="shared" si="191"/>
        <v>105.3358367688283</v>
      </c>
      <c r="F721">
        <f t="shared" si="180"/>
        <v>1.502059220059449E-2</v>
      </c>
      <c r="G721">
        <f t="shared" si="181"/>
        <v>4.6455439795653065E-2</v>
      </c>
      <c r="H721">
        <f t="shared" si="182"/>
        <v>67.625937186451054</v>
      </c>
      <c r="I721">
        <f t="shared" si="183"/>
        <v>1.0415848526785558</v>
      </c>
      <c r="J721">
        <f t="shared" si="184"/>
        <v>1.1627398831206179</v>
      </c>
      <c r="K721">
        <f t="shared" si="185"/>
        <v>0.54700363859780843</v>
      </c>
      <c r="L721">
        <f t="shared" si="186"/>
        <v>1.2685332725928353</v>
      </c>
      <c r="M721">
        <f t="shared" si="187"/>
        <v>0.99976748534815263</v>
      </c>
      <c r="N721">
        <f t="shared" si="188"/>
        <v>1.0040972861468194</v>
      </c>
      <c r="O721">
        <v>6.6857445446258336E-3</v>
      </c>
      <c r="P721">
        <v>3.5700753519413517E-3</v>
      </c>
      <c r="Q721">
        <f t="shared" si="189"/>
        <v>3901.9878503501973</v>
      </c>
      <c r="R721">
        <f t="shared" si="190"/>
        <v>3.9019878503501975</v>
      </c>
    </row>
    <row r="722" spans="1:18" x14ac:dyDescent="0.3">
      <c r="A722">
        <v>1.4419999999999999</v>
      </c>
      <c r="B722" s="4"/>
      <c r="C722">
        <v>-38.635857805563496</v>
      </c>
      <c r="D722">
        <v>1.95</v>
      </c>
      <c r="E722">
        <f t="shared" si="191"/>
        <v>105.3358367688283</v>
      </c>
      <c r="F722">
        <f t="shared" si="180"/>
        <v>1.502059220059449E-2</v>
      </c>
      <c r="G722">
        <f t="shared" si="181"/>
        <v>4.6455439795653065E-2</v>
      </c>
      <c r="H722">
        <f t="shared" si="182"/>
        <v>67.625937186451054</v>
      </c>
      <c r="I722">
        <f t="shared" si="183"/>
        <v>1.0415848526785558</v>
      </c>
      <c r="J722">
        <f t="shared" si="184"/>
        <v>1.1627398831206179</v>
      </c>
      <c r="K722">
        <f t="shared" si="185"/>
        <v>0.54700363859780843</v>
      </c>
      <c r="L722">
        <f t="shared" si="186"/>
        <v>1.2685332725928353</v>
      </c>
      <c r="M722">
        <f t="shared" si="187"/>
        <v>0.99975019933247511</v>
      </c>
      <c r="N722">
        <f t="shared" si="188"/>
        <v>1.0036568677709938</v>
      </c>
      <c r="O722">
        <v>6.6756888513083501E-3</v>
      </c>
      <c r="P722">
        <v>3.5857702345622007E-3</v>
      </c>
      <c r="Q722">
        <f t="shared" si="189"/>
        <v>3901.9878503501973</v>
      </c>
      <c r="R722">
        <f t="shared" si="190"/>
        <v>3.9019878503501975</v>
      </c>
    </row>
    <row r="723" spans="1:18" x14ac:dyDescent="0.3">
      <c r="A723">
        <v>1.444</v>
      </c>
      <c r="B723" s="4"/>
      <c r="C723">
        <v>-38.635857805563496</v>
      </c>
      <c r="D723">
        <v>1.95</v>
      </c>
      <c r="E723">
        <f t="shared" si="191"/>
        <v>105.3358367688283</v>
      </c>
      <c r="F723">
        <f t="shared" si="180"/>
        <v>1.502059220059449E-2</v>
      </c>
      <c r="G723">
        <f t="shared" si="181"/>
        <v>4.6455439795653065E-2</v>
      </c>
      <c r="H723">
        <f t="shared" si="182"/>
        <v>67.625937186451054</v>
      </c>
      <c r="I723">
        <f t="shared" si="183"/>
        <v>1.0415848526785558</v>
      </c>
      <c r="J723">
        <f t="shared" si="184"/>
        <v>1.1627398831206179</v>
      </c>
      <c r="K723">
        <f t="shared" si="185"/>
        <v>0.54700363859780843</v>
      </c>
      <c r="L723">
        <f t="shared" si="186"/>
        <v>1.2685332725928353</v>
      </c>
      <c r="M723">
        <f t="shared" si="187"/>
        <v>0.99969080705642377</v>
      </c>
      <c r="N723">
        <f t="shared" si="188"/>
        <v>1.0023474636613645</v>
      </c>
      <c r="O723">
        <v>6.642911844326407E-3</v>
      </c>
      <c r="P723">
        <v>3.6368168635032782E-3</v>
      </c>
      <c r="Q723">
        <f t="shared" si="189"/>
        <v>3901.9878503501973</v>
      </c>
      <c r="R723">
        <f t="shared" si="190"/>
        <v>3.9019878503501975</v>
      </c>
    </row>
    <row r="724" spans="1:18" x14ac:dyDescent="0.3">
      <c r="A724">
        <v>1.446</v>
      </c>
      <c r="B724" s="4"/>
      <c r="C724">
        <v>-38.635857805563496</v>
      </c>
      <c r="D724">
        <v>1.95</v>
      </c>
      <c r="E724">
        <f t="shared" si="191"/>
        <v>105.3358367688283</v>
      </c>
      <c r="F724">
        <f t="shared" si="180"/>
        <v>1.502059220059449E-2</v>
      </c>
      <c r="G724">
        <f t="shared" si="181"/>
        <v>4.6455439795653065E-2</v>
      </c>
      <c r="H724">
        <f t="shared" si="182"/>
        <v>67.625937186451054</v>
      </c>
      <c r="I724">
        <f t="shared" si="183"/>
        <v>1.0415848526785558</v>
      </c>
      <c r="J724">
        <f t="shared" si="184"/>
        <v>1.1627398831206179</v>
      </c>
      <c r="K724">
        <f t="shared" si="185"/>
        <v>0.54700363859780843</v>
      </c>
      <c r="L724">
        <f t="shared" si="186"/>
        <v>1.2685332725928353</v>
      </c>
      <c r="M724">
        <f t="shared" si="187"/>
        <v>0.99973696739477313</v>
      </c>
      <c r="N724">
        <f t="shared" si="188"/>
        <v>1.0099648698056822</v>
      </c>
      <c r="O724">
        <v>6.5880663303226209E-3</v>
      </c>
      <c r="P724">
        <v>3.7574298432133889E-3</v>
      </c>
      <c r="Q724">
        <f t="shared" si="189"/>
        <v>3901.9878503501973</v>
      </c>
      <c r="R724">
        <f t="shared" si="190"/>
        <v>3.9019878503501975</v>
      </c>
    </row>
    <row r="725" spans="1:18" x14ac:dyDescent="0.3">
      <c r="A725">
        <v>1.448</v>
      </c>
      <c r="B725" s="4"/>
      <c r="C725">
        <v>-38.635857805563496</v>
      </c>
      <c r="D725">
        <v>1.95</v>
      </c>
      <c r="E725">
        <f t="shared" si="191"/>
        <v>105.3358367688283</v>
      </c>
      <c r="F725">
        <f t="shared" si="180"/>
        <v>1.502059220059449E-2</v>
      </c>
      <c r="G725">
        <f t="shared" si="181"/>
        <v>4.6455439795653065E-2</v>
      </c>
      <c r="H725">
        <f t="shared" si="182"/>
        <v>67.625937186451054</v>
      </c>
      <c r="I725">
        <f t="shared" si="183"/>
        <v>1.0415848526785558</v>
      </c>
      <c r="J725">
        <f t="shared" si="184"/>
        <v>1.1627398831206179</v>
      </c>
      <c r="K725">
        <f t="shared" si="185"/>
        <v>0.54700363859780843</v>
      </c>
      <c r="L725">
        <f t="shared" si="186"/>
        <v>1.2685332725928353</v>
      </c>
      <c r="M725">
        <f t="shared" si="187"/>
        <v>0.99979500533346388</v>
      </c>
      <c r="N725">
        <f t="shared" si="188"/>
        <v>1.004144765123808</v>
      </c>
      <c r="O725">
        <v>6.511512648578674E-3</v>
      </c>
      <c r="P725">
        <v>3.8597681673193918E-3</v>
      </c>
      <c r="Q725">
        <f t="shared" si="189"/>
        <v>3901.9878503501973</v>
      </c>
      <c r="R725">
        <f t="shared" si="190"/>
        <v>3.9019878503501975</v>
      </c>
    </row>
    <row r="726" spans="1:18" x14ac:dyDescent="0.3">
      <c r="A726">
        <v>1.45</v>
      </c>
      <c r="B726" s="4"/>
      <c r="C726">
        <v>-38.635857805563496</v>
      </c>
      <c r="D726">
        <v>1.95</v>
      </c>
      <c r="E726">
        <f t="shared" si="191"/>
        <v>105.3358367688283</v>
      </c>
      <c r="F726">
        <f t="shared" si="180"/>
        <v>1.502059220059449E-2</v>
      </c>
      <c r="G726">
        <f t="shared" si="181"/>
        <v>4.6455439795653065E-2</v>
      </c>
      <c r="H726">
        <f t="shared" si="182"/>
        <v>67.625937186451054</v>
      </c>
      <c r="I726">
        <f t="shared" si="183"/>
        <v>1.0415848526785558</v>
      </c>
      <c r="J726">
        <f t="shared" si="184"/>
        <v>1.1627398831206179</v>
      </c>
      <c r="K726">
        <f t="shared" si="185"/>
        <v>0.54700363859780843</v>
      </c>
      <c r="L726">
        <f t="shared" si="186"/>
        <v>1.2685332725928353</v>
      </c>
      <c r="M726">
        <f t="shared" si="187"/>
        <v>0.9911678196257685</v>
      </c>
      <c r="N726">
        <f t="shared" si="188"/>
        <v>1.0014055419017063</v>
      </c>
      <c r="O726">
        <v>6.3944954788583332E-3</v>
      </c>
      <c r="P726">
        <v>4.0012983949020489E-3</v>
      </c>
      <c r="Q726">
        <f t="shared" si="189"/>
        <v>3901.9878503501973</v>
      </c>
      <c r="R726">
        <f t="shared" si="190"/>
        <v>3.9019878503501975</v>
      </c>
    </row>
    <row r="727" spans="1:18" x14ac:dyDescent="0.3">
      <c r="A727">
        <v>1.452</v>
      </c>
      <c r="B727" s="4"/>
      <c r="C727">
        <v>-38.635857805563496</v>
      </c>
      <c r="D727">
        <v>1.95</v>
      </c>
      <c r="E727">
        <f t="shared" si="191"/>
        <v>105.3358367688283</v>
      </c>
      <c r="F727">
        <f t="shared" si="180"/>
        <v>1.502059220059449E-2</v>
      </c>
      <c r="G727">
        <f t="shared" si="181"/>
        <v>4.6455439795653065E-2</v>
      </c>
      <c r="H727">
        <f t="shared" si="182"/>
        <v>67.625937186451054</v>
      </c>
      <c r="I727">
        <f t="shared" si="183"/>
        <v>1.0415848526785558</v>
      </c>
      <c r="J727">
        <f t="shared" si="184"/>
        <v>1.1627398831206179</v>
      </c>
      <c r="K727">
        <f t="shared" si="185"/>
        <v>0.54700363859780843</v>
      </c>
      <c r="L727">
        <f t="shared" si="186"/>
        <v>1.2685332725928353</v>
      </c>
      <c r="M727">
        <f t="shared" si="187"/>
        <v>0.99340581254273608</v>
      </c>
      <c r="N727">
        <f t="shared" si="188"/>
        <v>1.0029136866281922</v>
      </c>
      <c r="O727">
        <v>6.2817380587993276E-3</v>
      </c>
      <c r="P727">
        <v>4.1796129716643315E-3</v>
      </c>
      <c r="Q727">
        <f t="shared" si="189"/>
        <v>3901.9878503501973</v>
      </c>
      <c r="R727">
        <f t="shared" si="190"/>
        <v>3.9019878503501975</v>
      </c>
    </row>
    <row r="728" spans="1:18" x14ac:dyDescent="0.3">
      <c r="A728">
        <v>1.454</v>
      </c>
      <c r="B728" s="4"/>
      <c r="C728">
        <v>-38.635857805563496</v>
      </c>
      <c r="D728">
        <v>1.95</v>
      </c>
      <c r="E728">
        <f t="shared" si="191"/>
        <v>105.3358367688283</v>
      </c>
      <c r="F728">
        <f t="shared" si="180"/>
        <v>1.502059220059449E-2</v>
      </c>
      <c r="G728">
        <f t="shared" si="181"/>
        <v>4.6455439795653065E-2</v>
      </c>
      <c r="H728">
        <f t="shared" si="182"/>
        <v>67.625937186451054</v>
      </c>
      <c r="I728">
        <f t="shared" si="183"/>
        <v>1.0415848526785558</v>
      </c>
      <c r="J728">
        <f t="shared" si="184"/>
        <v>1.1627398831206179</v>
      </c>
      <c r="K728">
        <f t="shared" si="185"/>
        <v>0.54700363859780843</v>
      </c>
      <c r="L728">
        <f t="shared" si="186"/>
        <v>1.2685332725928353</v>
      </c>
      <c r="M728">
        <f t="shared" si="187"/>
        <v>0.99549513682783608</v>
      </c>
      <c r="N728">
        <f t="shared" si="188"/>
        <v>1.0004831870314697</v>
      </c>
      <c r="O728">
        <v>6.1500967682648544E-3</v>
      </c>
      <c r="P728">
        <v>4.3613098869794706E-3</v>
      </c>
      <c r="Q728">
        <f t="shared" si="189"/>
        <v>3901.9878503501973</v>
      </c>
      <c r="R728">
        <f t="shared" si="190"/>
        <v>3.9019878503501975</v>
      </c>
    </row>
    <row r="729" spans="1:18" x14ac:dyDescent="0.3">
      <c r="A729">
        <v>1.456</v>
      </c>
      <c r="B729" s="4"/>
      <c r="C729">
        <v>-38.635857805563496</v>
      </c>
      <c r="D729">
        <v>1.95</v>
      </c>
      <c r="E729">
        <f t="shared" si="191"/>
        <v>105.3358367688283</v>
      </c>
      <c r="F729">
        <f t="shared" si="180"/>
        <v>1.502059220059449E-2</v>
      </c>
      <c r="G729">
        <f t="shared" si="181"/>
        <v>4.6455439795653065E-2</v>
      </c>
      <c r="H729">
        <f t="shared" si="182"/>
        <v>67.625937186451054</v>
      </c>
      <c r="I729">
        <f t="shared" si="183"/>
        <v>1.0415848526785558</v>
      </c>
      <c r="J729">
        <f t="shared" si="184"/>
        <v>1.1627398831206179</v>
      </c>
      <c r="K729">
        <f t="shared" si="185"/>
        <v>0.54700363859780843</v>
      </c>
      <c r="L729">
        <f t="shared" si="186"/>
        <v>1.2685332725928353</v>
      </c>
      <c r="M729">
        <f t="shared" si="187"/>
        <v>0.99727169681633543</v>
      </c>
      <c r="N729">
        <f t="shared" si="188"/>
        <v>1.0038552348514469</v>
      </c>
      <c r="O729">
        <v>6.0006967311312916E-3</v>
      </c>
      <c r="P729">
        <v>4.5729505992361382E-3</v>
      </c>
      <c r="Q729">
        <f t="shared" si="189"/>
        <v>3901.9878503501973</v>
      </c>
      <c r="R729">
        <f t="shared" si="190"/>
        <v>3.9019878503501975</v>
      </c>
    </row>
    <row r="730" spans="1:18" x14ac:dyDescent="0.3">
      <c r="A730">
        <v>1.458</v>
      </c>
      <c r="B730" s="4"/>
      <c r="C730">
        <v>-38.635857805563496</v>
      </c>
      <c r="D730">
        <v>1.95</v>
      </c>
      <c r="E730">
        <f t="shared" si="191"/>
        <v>105.3358367688283</v>
      </c>
      <c r="F730">
        <f t="shared" si="180"/>
        <v>1.502059220059449E-2</v>
      </c>
      <c r="G730">
        <f t="shared" si="181"/>
        <v>4.6455439795653065E-2</v>
      </c>
      <c r="H730">
        <f t="shared" si="182"/>
        <v>67.625937186451054</v>
      </c>
      <c r="I730">
        <f t="shared" si="183"/>
        <v>1.0415848526785558</v>
      </c>
      <c r="J730">
        <f t="shared" si="184"/>
        <v>1.1627398831206179</v>
      </c>
      <c r="K730">
        <f t="shared" si="185"/>
        <v>0.54700363859780843</v>
      </c>
      <c r="L730">
        <f t="shared" si="186"/>
        <v>1.2685332725928353</v>
      </c>
      <c r="M730">
        <f t="shared" si="187"/>
        <v>0.9986212573734623</v>
      </c>
      <c r="N730">
        <f t="shared" si="188"/>
        <v>1.0015828854230961</v>
      </c>
      <c r="O730">
        <v>5.8349833510521285E-3</v>
      </c>
      <c r="P730">
        <v>4.7737887755674308E-3</v>
      </c>
      <c r="Q730">
        <f t="shared" si="189"/>
        <v>3901.9878503501973</v>
      </c>
      <c r="R730">
        <f t="shared" si="190"/>
        <v>3.9019878503501975</v>
      </c>
    </row>
    <row r="731" spans="1:18" x14ac:dyDescent="0.3">
      <c r="A731">
        <v>1.46</v>
      </c>
      <c r="B731" s="4"/>
      <c r="C731">
        <v>-38.635857805563496</v>
      </c>
      <c r="D731">
        <v>1.95</v>
      </c>
      <c r="E731">
        <f t="shared" si="191"/>
        <v>105.3358367688283</v>
      </c>
      <c r="F731">
        <f t="shared" si="180"/>
        <v>1.502059220059449E-2</v>
      </c>
      <c r="G731">
        <f t="shared" si="181"/>
        <v>4.6455439795653065E-2</v>
      </c>
      <c r="H731">
        <f t="shared" si="182"/>
        <v>67.625937186451054</v>
      </c>
      <c r="I731">
        <f t="shared" si="183"/>
        <v>1.0415848526785558</v>
      </c>
      <c r="J731">
        <f t="shared" si="184"/>
        <v>1.1627398831206179</v>
      </c>
      <c r="K731">
        <f t="shared" si="185"/>
        <v>0.54700363859780843</v>
      </c>
      <c r="L731">
        <f t="shared" si="186"/>
        <v>1.2685332725928353</v>
      </c>
      <c r="M731">
        <f t="shared" si="187"/>
        <v>0.99949550062715165</v>
      </c>
      <c r="N731">
        <f t="shared" si="188"/>
        <v>1.0082855169246232</v>
      </c>
      <c r="O731">
        <v>5.6547764382714897E-3</v>
      </c>
      <c r="P731">
        <v>5.0030889432100675E-3</v>
      </c>
      <c r="Q731">
        <f t="shared" si="189"/>
        <v>3901.9878503501973</v>
      </c>
      <c r="R731">
        <f t="shared" si="190"/>
        <v>3.9019878503501975</v>
      </c>
    </row>
    <row r="732" spans="1:18" x14ac:dyDescent="0.3">
      <c r="A732">
        <v>1.462</v>
      </c>
      <c r="B732" s="4"/>
      <c r="C732">
        <v>-38.635857805563496</v>
      </c>
      <c r="D732">
        <v>1.95</v>
      </c>
      <c r="E732">
        <f t="shared" si="191"/>
        <v>105.3358367688283</v>
      </c>
      <c r="F732">
        <f t="shared" si="180"/>
        <v>1.502059220059449E-2</v>
      </c>
      <c r="G732">
        <f t="shared" si="181"/>
        <v>4.6455439795653065E-2</v>
      </c>
      <c r="H732">
        <f t="shared" si="182"/>
        <v>67.625937186451054</v>
      </c>
      <c r="I732">
        <f t="shared" si="183"/>
        <v>1.0415848526785558</v>
      </c>
      <c r="J732">
        <f t="shared" si="184"/>
        <v>1.1627398831206179</v>
      </c>
      <c r="K732">
        <f t="shared" si="185"/>
        <v>0.54700363859780843</v>
      </c>
      <c r="L732">
        <f t="shared" si="186"/>
        <v>1.2685332725928353</v>
      </c>
      <c r="M732">
        <f t="shared" si="187"/>
        <v>1.0057050908504055</v>
      </c>
      <c r="N732">
        <f t="shared" si="188"/>
        <v>0.99903711494283631</v>
      </c>
      <c r="O732">
        <v>5.4773543745430461E-3</v>
      </c>
      <c r="P732">
        <v>5.1862052773549334E-3</v>
      </c>
      <c r="Q732">
        <f t="shared" si="189"/>
        <v>3901.9878503501973</v>
      </c>
      <c r="R732">
        <f t="shared" si="190"/>
        <v>3.9019878503501975</v>
      </c>
    </row>
    <row r="733" spans="1:18" x14ac:dyDescent="0.3">
      <c r="A733">
        <v>1.464</v>
      </c>
      <c r="B733" s="4"/>
      <c r="C733">
        <v>-38.635857805563496</v>
      </c>
      <c r="D733">
        <v>1.95</v>
      </c>
      <c r="E733">
        <f t="shared" si="191"/>
        <v>105.3358367688283</v>
      </c>
      <c r="F733">
        <f t="shared" si="180"/>
        <v>1.502059220059449E-2</v>
      </c>
      <c r="G733">
        <f t="shared" si="181"/>
        <v>4.6455439795653065E-2</v>
      </c>
      <c r="H733">
        <f t="shared" si="182"/>
        <v>67.625937186451054</v>
      </c>
      <c r="I733">
        <f t="shared" si="183"/>
        <v>1.0415848526785558</v>
      </c>
      <c r="J733">
        <f t="shared" si="184"/>
        <v>1.1627398831206179</v>
      </c>
      <c r="K733">
        <f t="shared" si="185"/>
        <v>0.54700363859780843</v>
      </c>
      <c r="L733">
        <f t="shared" si="186"/>
        <v>1.2685332725928353</v>
      </c>
      <c r="M733">
        <f t="shared" si="187"/>
        <v>0.99853560242445205</v>
      </c>
      <c r="N733">
        <f t="shared" si="188"/>
        <v>0.99764519746198721</v>
      </c>
      <c r="O733">
        <v>5.2564114561540615E-3</v>
      </c>
      <c r="P733">
        <v>5.3871444789296988E-3</v>
      </c>
      <c r="Q733">
        <f t="shared" si="189"/>
        <v>3901.9878503501973</v>
      </c>
      <c r="R733">
        <f t="shared" si="190"/>
        <v>3.9019878503501975</v>
      </c>
    </row>
    <row r="734" spans="1:18" x14ac:dyDescent="0.3">
      <c r="A734">
        <v>1.466</v>
      </c>
      <c r="B734" s="4"/>
      <c r="C734">
        <v>-38.635857805563496</v>
      </c>
      <c r="D734">
        <v>1.95</v>
      </c>
      <c r="E734">
        <f t="shared" si="191"/>
        <v>105.3358367688283</v>
      </c>
      <c r="F734">
        <f t="shared" si="180"/>
        <v>1.502059220059449E-2</v>
      </c>
      <c r="G734">
        <f t="shared" si="181"/>
        <v>4.6455439795653065E-2</v>
      </c>
      <c r="H734">
        <f t="shared" si="182"/>
        <v>67.625937186451054</v>
      </c>
      <c r="I734">
        <f t="shared" si="183"/>
        <v>1.0415848526785558</v>
      </c>
      <c r="J734">
        <f t="shared" si="184"/>
        <v>1.1627398831206179</v>
      </c>
      <c r="K734">
        <f t="shared" si="185"/>
        <v>0.54700363859780843</v>
      </c>
      <c r="L734">
        <f t="shared" si="186"/>
        <v>1.2685332725928353</v>
      </c>
      <c r="M734">
        <f t="shared" si="187"/>
        <v>0.99873938601713053</v>
      </c>
      <c r="N734">
        <f t="shared" si="188"/>
        <v>1.0020703707397138</v>
      </c>
      <c r="O734">
        <v>5.0488866895301932E-3</v>
      </c>
      <c r="P734">
        <v>5.5954372828383586E-3</v>
      </c>
      <c r="Q734">
        <f t="shared" si="189"/>
        <v>3901.9878503501973</v>
      </c>
      <c r="R734">
        <f t="shared" si="190"/>
        <v>3.9019878503501975</v>
      </c>
    </row>
    <row r="735" spans="1:18" x14ac:dyDescent="0.3">
      <c r="A735">
        <v>1.468</v>
      </c>
      <c r="B735" s="4">
        <v>62</v>
      </c>
      <c r="C735">
        <v>-38.084334379291597</v>
      </c>
      <c r="D735">
        <v>1.95</v>
      </c>
      <c r="E735">
        <f>$E$734+$R$734</f>
        <v>109.2378246191785</v>
      </c>
      <c r="F735">
        <f t="shared" si="180"/>
        <v>1.5296268635617496E-2</v>
      </c>
      <c r="G735">
        <f t="shared" si="181"/>
        <v>4.7308047326652052E-2</v>
      </c>
      <c r="H735">
        <f t="shared" si="182"/>
        <v>66.407151237880541</v>
      </c>
      <c r="I735">
        <f t="shared" si="183"/>
        <v>1.0400847172415397</v>
      </c>
      <c r="J735">
        <f t="shared" si="184"/>
        <v>1.1567085572312772</v>
      </c>
      <c r="K735">
        <f t="shared" si="185"/>
        <v>0.54825948263286572</v>
      </c>
      <c r="L735">
        <f t="shared" si="186"/>
        <v>1.2663742569898462</v>
      </c>
      <c r="M735">
        <f t="shared" si="187"/>
        <v>0.9997688856443212</v>
      </c>
      <c r="N735">
        <f t="shared" si="188"/>
        <v>1.0038562578235395</v>
      </c>
      <c r="O735">
        <v>6.6864519664154168E-3</v>
      </c>
      <c r="P735">
        <v>3.5782701144427623E-3</v>
      </c>
      <c r="Q735">
        <f t="shared" si="189"/>
        <v>3920.4140406576498</v>
      </c>
      <c r="R735">
        <f t="shared" si="190"/>
        <v>3.9204140406576498</v>
      </c>
    </row>
    <row r="736" spans="1:18" x14ac:dyDescent="0.3">
      <c r="A736">
        <v>1.47</v>
      </c>
      <c r="B736" s="4"/>
      <c r="C736">
        <v>-38.084334379291597</v>
      </c>
      <c r="D736">
        <v>1.95</v>
      </c>
      <c r="E736">
        <f t="shared" ref="E736:E759" si="192">$E$734+$R$734</f>
        <v>109.2378246191785</v>
      </c>
      <c r="F736">
        <f t="shared" si="180"/>
        <v>1.5296268635617496E-2</v>
      </c>
      <c r="G736">
        <f t="shared" si="181"/>
        <v>4.7308047326652052E-2</v>
      </c>
      <c r="H736">
        <f t="shared" si="182"/>
        <v>66.407151237880541</v>
      </c>
      <c r="I736">
        <f t="shared" si="183"/>
        <v>1.0400847172415397</v>
      </c>
      <c r="J736">
        <f t="shared" si="184"/>
        <v>1.1567085572312772</v>
      </c>
      <c r="K736">
        <f t="shared" si="185"/>
        <v>0.54825948263286572</v>
      </c>
      <c r="L736">
        <f t="shared" si="186"/>
        <v>1.2663742569898462</v>
      </c>
      <c r="M736">
        <f t="shared" si="187"/>
        <v>0.9997217224957875</v>
      </c>
      <c r="N736">
        <f t="shared" si="188"/>
        <v>1.0027424092715624</v>
      </c>
      <c r="O736">
        <v>6.6595260473026824E-3</v>
      </c>
      <c r="P736">
        <v>3.6203754959371272E-3</v>
      </c>
      <c r="Q736">
        <f t="shared" si="189"/>
        <v>3920.4140406576498</v>
      </c>
      <c r="R736">
        <f t="shared" si="190"/>
        <v>3.9204140406576498</v>
      </c>
    </row>
    <row r="737" spans="1:18" x14ac:dyDescent="0.3">
      <c r="A737">
        <v>1.472</v>
      </c>
      <c r="B737" s="4"/>
      <c r="C737">
        <v>-38.084334379291597</v>
      </c>
      <c r="D737">
        <v>1.95</v>
      </c>
      <c r="E737">
        <f t="shared" si="192"/>
        <v>109.2378246191785</v>
      </c>
      <c r="F737">
        <f t="shared" si="180"/>
        <v>1.5296268635617496E-2</v>
      </c>
      <c r="G737">
        <f t="shared" si="181"/>
        <v>4.7308047326652052E-2</v>
      </c>
      <c r="H737">
        <f t="shared" si="182"/>
        <v>66.407151237880541</v>
      </c>
      <c r="I737">
        <f t="shared" si="183"/>
        <v>1.0400847172415397</v>
      </c>
      <c r="J737">
        <f t="shared" si="184"/>
        <v>1.1567085572312772</v>
      </c>
      <c r="K737">
        <f t="shared" si="185"/>
        <v>0.54825948263286572</v>
      </c>
      <c r="L737">
        <f t="shared" si="186"/>
        <v>1.2663742569898462</v>
      </c>
      <c r="M737">
        <f t="shared" si="187"/>
        <v>0.99971750595941522</v>
      </c>
      <c r="N737">
        <f t="shared" si="188"/>
        <v>1.0010593781117612</v>
      </c>
      <c r="O737">
        <v>6.611073190355133E-3</v>
      </c>
      <c r="P737">
        <v>3.6961480667126283E-3</v>
      </c>
      <c r="Q737">
        <f t="shared" si="189"/>
        <v>3920.4140406576498</v>
      </c>
      <c r="R737">
        <f t="shared" si="190"/>
        <v>3.9204140406576498</v>
      </c>
    </row>
    <row r="738" spans="1:18" x14ac:dyDescent="0.3">
      <c r="A738">
        <v>1.474</v>
      </c>
      <c r="B738" s="4"/>
      <c r="C738">
        <v>-38.084334379291597</v>
      </c>
      <c r="D738">
        <v>1.95</v>
      </c>
      <c r="E738">
        <f t="shared" si="192"/>
        <v>109.2378246191785</v>
      </c>
      <c r="F738">
        <f t="shared" si="180"/>
        <v>1.5296268635617496E-2</v>
      </c>
      <c r="G738">
        <f t="shared" si="181"/>
        <v>4.7308047326652052E-2</v>
      </c>
      <c r="H738">
        <f t="shared" si="182"/>
        <v>66.407151237880541</v>
      </c>
      <c r="I738">
        <f t="shared" si="183"/>
        <v>1.0400847172415397</v>
      </c>
      <c r="J738">
        <f t="shared" si="184"/>
        <v>1.1567085572312772</v>
      </c>
      <c r="K738">
        <f t="shared" si="185"/>
        <v>0.54825948263286572</v>
      </c>
      <c r="L738">
        <f t="shared" si="186"/>
        <v>1.2663742569898462</v>
      </c>
      <c r="M738">
        <f t="shared" si="187"/>
        <v>0.99977370978341429</v>
      </c>
      <c r="N738">
        <f t="shared" si="188"/>
        <v>1.0050236119376681</v>
      </c>
      <c r="O738">
        <v>6.5416073284665149E-3</v>
      </c>
      <c r="P738">
        <v>3.8251297864599597E-3</v>
      </c>
      <c r="Q738">
        <f t="shared" si="189"/>
        <v>3920.4140406576498</v>
      </c>
      <c r="R738">
        <f t="shared" si="190"/>
        <v>3.9204140406576498</v>
      </c>
    </row>
    <row r="739" spans="1:18" x14ac:dyDescent="0.3">
      <c r="A739">
        <v>1.476</v>
      </c>
      <c r="B739" s="4"/>
      <c r="C739">
        <v>-38.084334379291597</v>
      </c>
      <c r="D739">
        <v>1.95</v>
      </c>
      <c r="E739">
        <f t="shared" si="192"/>
        <v>109.2378246191785</v>
      </c>
      <c r="F739">
        <f t="shared" si="180"/>
        <v>1.5296268635617496E-2</v>
      </c>
      <c r="G739">
        <f t="shared" si="181"/>
        <v>4.7308047326652052E-2</v>
      </c>
      <c r="H739">
        <f t="shared" si="182"/>
        <v>66.407151237880541</v>
      </c>
      <c r="I739">
        <f t="shared" si="183"/>
        <v>1.0400847172415397</v>
      </c>
      <c r="J739">
        <f t="shared" si="184"/>
        <v>1.1567085572312772</v>
      </c>
      <c r="K739">
        <f t="shared" si="185"/>
        <v>0.54825948263286572</v>
      </c>
      <c r="L739">
        <f t="shared" si="186"/>
        <v>1.2663742569898462</v>
      </c>
      <c r="M739">
        <f t="shared" si="187"/>
        <v>0.99036760244457911</v>
      </c>
      <c r="N739">
        <f t="shared" si="188"/>
        <v>1.0021137301729466</v>
      </c>
      <c r="O739">
        <v>6.4305022268641918E-3</v>
      </c>
      <c r="P739">
        <v>3.9564135267179494E-3</v>
      </c>
      <c r="Q739">
        <f t="shared" si="189"/>
        <v>3920.4140406576498</v>
      </c>
      <c r="R739">
        <f t="shared" si="190"/>
        <v>3.9204140406576498</v>
      </c>
    </row>
    <row r="740" spans="1:18" x14ac:dyDescent="0.3">
      <c r="A740">
        <v>1.478</v>
      </c>
      <c r="B740" s="4"/>
      <c r="C740">
        <v>-38.084334379291597</v>
      </c>
      <c r="D740">
        <v>1.95</v>
      </c>
      <c r="E740">
        <f t="shared" si="192"/>
        <v>109.2378246191785</v>
      </c>
      <c r="F740">
        <f t="shared" si="180"/>
        <v>1.5296268635617496E-2</v>
      </c>
      <c r="G740">
        <f t="shared" si="181"/>
        <v>4.7308047326652052E-2</v>
      </c>
      <c r="H740">
        <f t="shared" si="182"/>
        <v>66.407151237880541</v>
      </c>
      <c r="I740">
        <f t="shared" si="183"/>
        <v>1.0400847172415397</v>
      </c>
      <c r="J740">
        <f t="shared" si="184"/>
        <v>1.1567085572312772</v>
      </c>
      <c r="K740">
        <f t="shared" si="185"/>
        <v>0.54825948263286572</v>
      </c>
      <c r="L740">
        <f t="shared" si="186"/>
        <v>1.2663742569898462</v>
      </c>
      <c r="M740">
        <f t="shared" si="187"/>
        <v>0.99259489240119381</v>
      </c>
      <c r="N740">
        <f t="shared" si="188"/>
        <v>1.0002482594813442</v>
      </c>
      <c r="O740">
        <v>6.3256316747500605E-3</v>
      </c>
      <c r="P740">
        <v>4.1146189526852272E-3</v>
      </c>
      <c r="Q740">
        <f t="shared" si="189"/>
        <v>3920.4140406576498</v>
      </c>
      <c r="R740">
        <f t="shared" si="190"/>
        <v>3.9204140406576498</v>
      </c>
    </row>
    <row r="741" spans="1:18" x14ac:dyDescent="0.3">
      <c r="A741">
        <v>1.48</v>
      </c>
      <c r="B741" s="4"/>
      <c r="C741">
        <v>-38.084334379291597</v>
      </c>
      <c r="D741">
        <v>1.95</v>
      </c>
      <c r="E741">
        <f t="shared" si="192"/>
        <v>109.2378246191785</v>
      </c>
      <c r="F741">
        <f t="shared" si="180"/>
        <v>1.5296268635617496E-2</v>
      </c>
      <c r="G741">
        <f t="shared" si="181"/>
        <v>4.7308047326652052E-2</v>
      </c>
      <c r="H741">
        <f t="shared" si="182"/>
        <v>66.407151237880541</v>
      </c>
      <c r="I741">
        <f t="shared" si="183"/>
        <v>1.0400847172415397</v>
      </c>
      <c r="J741">
        <f t="shared" si="184"/>
        <v>1.1567085572312772</v>
      </c>
      <c r="K741">
        <f t="shared" si="185"/>
        <v>0.54825948263286572</v>
      </c>
      <c r="L741">
        <f t="shared" si="186"/>
        <v>1.2663742569898462</v>
      </c>
      <c r="M741">
        <f t="shared" si="187"/>
        <v>0.9947369794934644</v>
      </c>
      <c r="N741">
        <f t="shared" si="188"/>
        <v>0.99022904429261138</v>
      </c>
      <c r="O741">
        <v>6.2022319679303625E-3</v>
      </c>
      <c r="P741">
        <v>4.2640495973545207E-3</v>
      </c>
      <c r="Q741">
        <f t="shared" si="189"/>
        <v>3920.4140406576498</v>
      </c>
      <c r="R741">
        <f t="shared" si="190"/>
        <v>3.9204140406576498</v>
      </c>
    </row>
    <row r="742" spans="1:18" x14ac:dyDescent="0.3">
      <c r="A742">
        <v>1.482</v>
      </c>
      <c r="B742" s="4"/>
      <c r="C742">
        <v>-38.084334379291597</v>
      </c>
      <c r="D742">
        <v>1.95</v>
      </c>
      <c r="E742">
        <f t="shared" si="192"/>
        <v>109.2378246191785</v>
      </c>
      <c r="F742">
        <f t="shared" si="180"/>
        <v>1.5296268635617496E-2</v>
      </c>
      <c r="G742">
        <f t="shared" si="181"/>
        <v>4.7308047326652052E-2</v>
      </c>
      <c r="H742">
        <f t="shared" si="182"/>
        <v>66.407151237880541</v>
      </c>
      <c r="I742">
        <f t="shared" si="183"/>
        <v>1.0400847172415397</v>
      </c>
      <c r="J742">
        <f t="shared" si="184"/>
        <v>1.1567085572312772</v>
      </c>
      <c r="K742">
        <f t="shared" si="185"/>
        <v>0.54825948263286572</v>
      </c>
      <c r="L742">
        <f t="shared" si="186"/>
        <v>1.2663742569898462</v>
      </c>
      <c r="M742">
        <f t="shared" si="187"/>
        <v>0.99662568468461554</v>
      </c>
      <c r="N742">
        <f t="shared" si="188"/>
        <v>1.002299568592417</v>
      </c>
      <c r="O742">
        <v>6.0612719366585389E-3</v>
      </c>
      <c r="P742">
        <v>4.498326555977282E-3</v>
      </c>
      <c r="Q742">
        <f t="shared" si="189"/>
        <v>3920.4140406576498</v>
      </c>
      <c r="R742">
        <f t="shared" si="190"/>
        <v>3.9204140406576498</v>
      </c>
    </row>
    <row r="743" spans="1:18" x14ac:dyDescent="0.3">
      <c r="A743">
        <v>1.484</v>
      </c>
      <c r="B743" s="4"/>
      <c r="C743">
        <v>-38.084334379291597</v>
      </c>
      <c r="D743">
        <v>1.95</v>
      </c>
      <c r="E743">
        <f t="shared" si="192"/>
        <v>109.2378246191785</v>
      </c>
      <c r="F743">
        <f t="shared" si="180"/>
        <v>1.5296268635617496E-2</v>
      </c>
      <c r="G743">
        <f t="shared" si="181"/>
        <v>4.7308047326652052E-2</v>
      </c>
      <c r="H743">
        <f t="shared" si="182"/>
        <v>66.407151237880541</v>
      </c>
      <c r="I743">
        <f t="shared" si="183"/>
        <v>1.0400847172415397</v>
      </c>
      <c r="J743">
        <f t="shared" si="184"/>
        <v>1.1567085572312772</v>
      </c>
      <c r="K743">
        <f t="shared" si="185"/>
        <v>0.54825948263286572</v>
      </c>
      <c r="L743">
        <f t="shared" si="186"/>
        <v>1.2663742569898462</v>
      </c>
      <c r="M743">
        <f t="shared" si="187"/>
        <v>0.9981330142802628</v>
      </c>
      <c r="N743">
        <f t="shared" si="188"/>
        <v>0.99738737222883445</v>
      </c>
      <c r="O743">
        <v>5.9040015108950995E-3</v>
      </c>
      <c r="P743">
        <v>4.6862327258054629E-3</v>
      </c>
      <c r="Q743">
        <f t="shared" si="189"/>
        <v>3920.4140406576498</v>
      </c>
      <c r="R743">
        <f t="shared" si="190"/>
        <v>3.9204140406576498</v>
      </c>
    </row>
    <row r="744" spans="1:18" x14ac:dyDescent="0.3">
      <c r="A744">
        <v>1.486</v>
      </c>
      <c r="B744" s="4"/>
      <c r="C744">
        <v>-38.084334379291597</v>
      </c>
      <c r="D744">
        <v>1.95</v>
      </c>
      <c r="E744">
        <f t="shared" si="192"/>
        <v>109.2378246191785</v>
      </c>
      <c r="F744">
        <f t="shared" si="180"/>
        <v>1.5296268635617496E-2</v>
      </c>
      <c r="G744">
        <f t="shared" si="181"/>
        <v>4.7308047326652052E-2</v>
      </c>
      <c r="H744">
        <f t="shared" si="182"/>
        <v>66.407151237880541</v>
      </c>
      <c r="I744">
        <f t="shared" si="183"/>
        <v>1.0400847172415397</v>
      </c>
      <c r="J744">
        <f t="shared" si="184"/>
        <v>1.1567085572312772</v>
      </c>
      <c r="K744">
        <f t="shared" si="185"/>
        <v>0.54825948263286572</v>
      </c>
      <c r="L744">
        <f t="shared" si="186"/>
        <v>1.2663742569898462</v>
      </c>
      <c r="M744">
        <f t="shared" si="187"/>
        <v>0.99918788043914331</v>
      </c>
      <c r="N744">
        <f t="shared" si="188"/>
        <v>1.0053006776620568</v>
      </c>
      <c r="O744">
        <v>5.7320013318690639E-3</v>
      </c>
      <c r="P744">
        <v>4.9161741269200488E-3</v>
      </c>
      <c r="Q744">
        <f t="shared" si="189"/>
        <v>3920.4140406576498</v>
      </c>
      <c r="R744">
        <f t="shared" si="190"/>
        <v>3.9204140406576498</v>
      </c>
    </row>
    <row r="745" spans="1:18" x14ac:dyDescent="0.3">
      <c r="A745">
        <v>1.488</v>
      </c>
      <c r="B745" s="4"/>
      <c r="C745">
        <v>-38.084334379291597</v>
      </c>
      <c r="D745">
        <v>1.95</v>
      </c>
      <c r="E745">
        <f t="shared" si="192"/>
        <v>109.2378246191785</v>
      </c>
      <c r="F745">
        <f t="shared" si="180"/>
        <v>1.5296268635617496E-2</v>
      </c>
      <c r="G745">
        <f t="shared" si="181"/>
        <v>4.7308047326652052E-2</v>
      </c>
      <c r="H745">
        <f t="shared" si="182"/>
        <v>66.407151237880541</v>
      </c>
      <c r="I745">
        <f t="shared" si="183"/>
        <v>1.0400847172415397</v>
      </c>
      <c r="J745">
        <f t="shared" si="184"/>
        <v>1.1567085572312772</v>
      </c>
      <c r="K745">
        <f t="shared" si="185"/>
        <v>0.54825948263286572</v>
      </c>
      <c r="L745">
        <f t="shared" si="186"/>
        <v>1.2663742569898462</v>
      </c>
      <c r="M745">
        <f t="shared" si="187"/>
        <v>1.0098471599616636</v>
      </c>
      <c r="N745">
        <f t="shared" si="188"/>
        <v>0.9993863538445773</v>
      </c>
      <c r="O745">
        <v>5.573016838978961E-3</v>
      </c>
      <c r="P745">
        <v>5.1060641841097964E-3</v>
      </c>
      <c r="Q745">
        <f t="shared" si="189"/>
        <v>3920.4140406576498</v>
      </c>
      <c r="R745">
        <f t="shared" si="190"/>
        <v>3.9204140406576498</v>
      </c>
    </row>
    <row r="746" spans="1:18" x14ac:dyDescent="0.3">
      <c r="A746">
        <v>1.49</v>
      </c>
      <c r="B746" s="4"/>
      <c r="C746">
        <v>-38.084334379291597</v>
      </c>
      <c r="D746">
        <v>1.95</v>
      </c>
      <c r="E746">
        <f t="shared" si="192"/>
        <v>109.2378246191785</v>
      </c>
      <c r="F746">
        <f t="shared" si="180"/>
        <v>1.5296268635617496E-2</v>
      </c>
      <c r="G746">
        <f t="shared" si="181"/>
        <v>4.7308047326652052E-2</v>
      </c>
      <c r="H746">
        <f t="shared" si="182"/>
        <v>66.407151237880541</v>
      </c>
      <c r="I746">
        <f t="shared" si="183"/>
        <v>1.0400847172415397</v>
      </c>
      <c r="J746">
        <f t="shared" si="184"/>
        <v>1.1567085572312772</v>
      </c>
      <c r="K746">
        <f t="shared" si="185"/>
        <v>0.54825948263286572</v>
      </c>
      <c r="L746">
        <f t="shared" si="186"/>
        <v>1.2663742569898462</v>
      </c>
      <c r="M746">
        <f t="shared" si="187"/>
        <v>1.0013321111530253</v>
      </c>
      <c r="N746">
        <f t="shared" si="188"/>
        <v>0.99830367933865882</v>
      </c>
      <c r="O746">
        <v>5.355632889048223E-3</v>
      </c>
      <c r="P746">
        <v>5.3068065549850768E-3</v>
      </c>
      <c r="Q746">
        <f t="shared" si="189"/>
        <v>3920.4140406576498</v>
      </c>
      <c r="R746">
        <f t="shared" si="190"/>
        <v>3.9204140406576498</v>
      </c>
    </row>
    <row r="747" spans="1:18" x14ac:dyDescent="0.3">
      <c r="A747">
        <v>1.492</v>
      </c>
      <c r="B747" s="4"/>
      <c r="C747">
        <v>-38.084334379291597</v>
      </c>
      <c r="D747">
        <v>1.95</v>
      </c>
      <c r="E747">
        <f t="shared" si="192"/>
        <v>109.2378246191785</v>
      </c>
      <c r="F747">
        <f t="shared" si="180"/>
        <v>1.5296268635617496E-2</v>
      </c>
      <c r="G747">
        <f t="shared" si="181"/>
        <v>4.7308047326652052E-2</v>
      </c>
      <c r="H747">
        <f t="shared" si="182"/>
        <v>66.407151237880541</v>
      </c>
      <c r="I747">
        <f t="shared" si="183"/>
        <v>1.0400847172415397</v>
      </c>
      <c r="J747">
        <f t="shared" si="184"/>
        <v>1.1567085572312772</v>
      </c>
      <c r="K747">
        <f t="shared" si="185"/>
        <v>0.54825948263286572</v>
      </c>
      <c r="L747">
        <f t="shared" si="186"/>
        <v>1.2663742569898462</v>
      </c>
      <c r="M747">
        <f t="shared" si="187"/>
        <v>0.99807189710243405</v>
      </c>
      <c r="N747">
        <f t="shared" si="188"/>
        <v>1.0085073156662478</v>
      </c>
      <c r="O747">
        <v>5.1442496219062106E-3</v>
      </c>
      <c r="P747">
        <v>5.5305989827073489E-3</v>
      </c>
      <c r="Q747">
        <f t="shared" si="189"/>
        <v>3920.4140406576498</v>
      </c>
      <c r="R747">
        <f t="shared" si="190"/>
        <v>3.9204140406576498</v>
      </c>
    </row>
    <row r="748" spans="1:18" x14ac:dyDescent="0.3">
      <c r="A748">
        <v>1.494</v>
      </c>
      <c r="B748" s="4"/>
      <c r="C748">
        <v>-38.084334379291597</v>
      </c>
      <c r="D748">
        <v>1.95</v>
      </c>
      <c r="E748">
        <f t="shared" si="192"/>
        <v>109.2378246191785</v>
      </c>
      <c r="F748">
        <f t="shared" si="180"/>
        <v>1.5296268635617496E-2</v>
      </c>
      <c r="G748">
        <f t="shared" si="181"/>
        <v>4.7308047326652052E-2</v>
      </c>
      <c r="H748">
        <f t="shared" si="182"/>
        <v>66.407151237880541</v>
      </c>
      <c r="I748">
        <f t="shared" si="183"/>
        <v>1.0400847172415397</v>
      </c>
      <c r="J748">
        <f t="shared" si="184"/>
        <v>1.1567085572312772</v>
      </c>
      <c r="K748">
        <f t="shared" si="185"/>
        <v>0.54825948263286572</v>
      </c>
      <c r="L748">
        <f t="shared" si="186"/>
        <v>1.2663742569898462</v>
      </c>
      <c r="M748">
        <f t="shared" si="187"/>
        <v>0.99928822413239882</v>
      </c>
      <c r="N748">
        <f t="shared" si="188"/>
        <v>1.0065783036777431</v>
      </c>
      <c r="O748">
        <v>4.9410652587512458E-3</v>
      </c>
      <c r="P748">
        <v>5.7134672572111914E-3</v>
      </c>
      <c r="Q748">
        <f t="shared" si="189"/>
        <v>3920.4140406576498</v>
      </c>
      <c r="R748">
        <f t="shared" si="190"/>
        <v>3.9204140406576498</v>
      </c>
    </row>
    <row r="749" spans="1:18" x14ac:dyDescent="0.3">
      <c r="A749">
        <v>1.496</v>
      </c>
      <c r="B749" s="4"/>
      <c r="C749">
        <v>-38.084334379291597</v>
      </c>
      <c r="D749">
        <v>1.95</v>
      </c>
      <c r="E749">
        <f t="shared" si="192"/>
        <v>109.2378246191785</v>
      </c>
      <c r="F749">
        <f t="shared" si="180"/>
        <v>1.5296268635617496E-2</v>
      </c>
      <c r="G749">
        <f t="shared" si="181"/>
        <v>4.7308047326652052E-2</v>
      </c>
      <c r="H749">
        <f t="shared" si="182"/>
        <v>66.407151237880541</v>
      </c>
      <c r="I749">
        <f t="shared" si="183"/>
        <v>1.0400847172415397</v>
      </c>
      <c r="J749">
        <f t="shared" si="184"/>
        <v>1.1567085572312772</v>
      </c>
      <c r="K749">
        <f t="shared" si="185"/>
        <v>0.54825948263286572</v>
      </c>
      <c r="L749">
        <f t="shared" si="186"/>
        <v>1.2663742569898462</v>
      </c>
      <c r="M749">
        <f t="shared" si="187"/>
        <v>1.0059028144280888</v>
      </c>
      <c r="N749">
        <f t="shared" si="188"/>
        <v>0.99950825306736246</v>
      </c>
      <c r="O749">
        <v>4.7535644064772538E-3</v>
      </c>
      <c r="P749">
        <v>5.8728728908357623E-3</v>
      </c>
      <c r="Q749">
        <f t="shared" si="189"/>
        <v>3920.4140406576498</v>
      </c>
      <c r="R749">
        <f t="shared" si="190"/>
        <v>3.9204140406576498</v>
      </c>
    </row>
    <row r="750" spans="1:18" x14ac:dyDescent="0.3">
      <c r="A750">
        <v>1.498</v>
      </c>
      <c r="B750" s="4"/>
      <c r="C750">
        <v>-38.084334379291597</v>
      </c>
      <c r="D750">
        <v>1.95</v>
      </c>
      <c r="E750">
        <f t="shared" si="192"/>
        <v>109.2378246191785</v>
      </c>
      <c r="F750">
        <f t="shared" si="180"/>
        <v>1.5296268635617496E-2</v>
      </c>
      <c r="G750">
        <f t="shared" si="181"/>
        <v>4.7308047326652052E-2</v>
      </c>
      <c r="H750">
        <f t="shared" si="182"/>
        <v>66.407151237880541</v>
      </c>
      <c r="I750">
        <f t="shared" si="183"/>
        <v>1.0400847172415397</v>
      </c>
      <c r="J750">
        <f t="shared" si="184"/>
        <v>1.1567085572312772</v>
      </c>
      <c r="K750">
        <f t="shared" si="185"/>
        <v>0.54825948263286572</v>
      </c>
      <c r="L750">
        <f t="shared" si="186"/>
        <v>1.2663742569898462</v>
      </c>
      <c r="M750">
        <f t="shared" si="187"/>
        <v>1.0005145589461408</v>
      </c>
      <c r="N750">
        <f t="shared" si="188"/>
        <v>0.99876972191762459</v>
      </c>
      <c r="O750">
        <v>4.5335163251315012E-3</v>
      </c>
      <c r="P750">
        <v>6.0348301231775694E-3</v>
      </c>
      <c r="Q750">
        <f t="shared" si="189"/>
        <v>3920.4140406576498</v>
      </c>
      <c r="R750">
        <f t="shared" si="190"/>
        <v>3.9204140406576498</v>
      </c>
    </row>
    <row r="751" spans="1:18" x14ac:dyDescent="0.3">
      <c r="A751">
        <v>1.5</v>
      </c>
      <c r="B751" s="4"/>
      <c r="C751">
        <v>-38.084334379291597</v>
      </c>
      <c r="D751">
        <v>1.95</v>
      </c>
      <c r="E751">
        <f t="shared" si="192"/>
        <v>109.2378246191785</v>
      </c>
      <c r="F751">
        <f t="shared" si="180"/>
        <v>1.5296268635617496E-2</v>
      </c>
      <c r="G751">
        <f t="shared" si="181"/>
        <v>4.7308047326652052E-2</v>
      </c>
      <c r="H751">
        <f t="shared" si="182"/>
        <v>66.407151237880541</v>
      </c>
      <c r="I751">
        <f t="shared" si="183"/>
        <v>1.0400847172415397</v>
      </c>
      <c r="J751">
        <f t="shared" si="184"/>
        <v>1.1567085572312772</v>
      </c>
      <c r="K751">
        <f t="shared" si="185"/>
        <v>0.54825948263286572</v>
      </c>
      <c r="L751">
        <f t="shared" si="186"/>
        <v>1.2663742569898462</v>
      </c>
      <c r="M751">
        <f t="shared" si="187"/>
        <v>1.002548295787957</v>
      </c>
      <c r="N751">
        <f t="shared" si="188"/>
        <v>0.99770254114210588</v>
      </c>
      <c r="O751">
        <v>4.343218409255366E-3</v>
      </c>
      <c r="P751">
        <v>6.1808782563736375E-3</v>
      </c>
      <c r="Q751">
        <f t="shared" si="189"/>
        <v>3920.4140406576498</v>
      </c>
      <c r="R751">
        <f t="shared" si="190"/>
        <v>3.9204140406576498</v>
      </c>
    </row>
    <row r="752" spans="1:18" x14ac:dyDescent="0.3">
      <c r="A752">
        <v>1.502</v>
      </c>
      <c r="B752" s="4"/>
      <c r="C752">
        <v>-38.084334379291597</v>
      </c>
      <c r="D752">
        <v>1.95</v>
      </c>
      <c r="E752">
        <f t="shared" si="192"/>
        <v>109.2378246191785</v>
      </c>
      <c r="F752">
        <f t="shared" si="180"/>
        <v>1.5296268635617496E-2</v>
      </c>
      <c r="G752">
        <f t="shared" si="181"/>
        <v>4.7308047326652052E-2</v>
      </c>
      <c r="H752">
        <f t="shared" si="182"/>
        <v>66.407151237880541</v>
      </c>
      <c r="I752">
        <f t="shared" si="183"/>
        <v>1.0400847172415397</v>
      </c>
      <c r="J752">
        <f t="shared" si="184"/>
        <v>1.1567085572312772</v>
      </c>
      <c r="K752">
        <f t="shared" si="185"/>
        <v>0.54825948263286572</v>
      </c>
      <c r="L752">
        <f t="shared" si="186"/>
        <v>1.2663742569898462</v>
      </c>
      <c r="M752">
        <f t="shared" si="187"/>
        <v>1.0001885703210722</v>
      </c>
      <c r="N752">
        <f t="shared" si="188"/>
        <v>0.99637723057896199</v>
      </c>
      <c r="O752">
        <v>4.1502661564346878E-3</v>
      </c>
      <c r="P752">
        <v>6.3096034212070974E-3</v>
      </c>
      <c r="Q752">
        <f t="shared" si="189"/>
        <v>3920.4140406576498</v>
      </c>
      <c r="R752">
        <f t="shared" si="190"/>
        <v>3.9204140406576498</v>
      </c>
    </row>
    <row r="753" spans="1:18" x14ac:dyDescent="0.3">
      <c r="A753">
        <v>1.504</v>
      </c>
      <c r="B753" s="4"/>
      <c r="C753">
        <v>-38.084334379291597</v>
      </c>
      <c r="D753">
        <v>1.95</v>
      </c>
      <c r="E753">
        <f t="shared" si="192"/>
        <v>109.2378246191785</v>
      </c>
      <c r="F753">
        <f t="shared" si="180"/>
        <v>1.5296268635617496E-2</v>
      </c>
      <c r="G753">
        <f t="shared" si="181"/>
        <v>4.7308047326652052E-2</v>
      </c>
      <c r="H753">
        <f t="shared" si="182"/>
        <v>66.407151237880541</v>
      </c>
      <c r="I753">
        <f t="shared" si="183"/>
        <v>1.0400847172415397</v>
      </c>
      <c r="J753">
        <f t="shared" si="184"/>
        <v>1.1567085572312772</v>
      </c>
      <c r="K753">
        <f t="shared" si="185"/>
        <v>0.54825948263286572</v>
      </c>
      <c r="L753">
        <f t="shared" si="186"/>
        <v>1.2663742569898462</v>
      </c>
      <c r="M753">
        <f t="shared" si="187"/>
        <v>1.0094416741231793</v>
      </c>
      <c r="N753">
        <f t="shared" si="188"/>
        <v>0.99490730928536331</v>
      </c>
      <c r="O753">
        <v>4.013914009508927E-3</v>
      </c>
      <c r="P753">
        <v>6.4198891501002463E-3</v>
      </c>
      <c r="Q753">
        <f t="shared" si="189"/>
        <v>3920.4140406576498</v>
      </c>
      <c r="R753">
        <f t="shared" si="190"/>
        <v>3.9204140406576498</v>
      </c>
    </row>
    <row r="754" spans="1:18" x14ac:dyDescent="0.3">
      <c r="A754">
        <v>1.506</v>
      </c>
      <c r="B754" s="4"/>
      <c r="C754">
        <v>-38.084334379291597</v>
      </c>
      <c r="D754">
        <v>1.95</v>
      </c>
      <c r="E754">
        <f t="shared" si="192"/>
        <v>109.2378246191785</v>
      </c>
      <c r="F754">
        <f t="shared" si="180"/>
        <v>1.5296268635617496E-2</v>
      </c>
      <c r="G754">
        <f t="shared" si="181"/>
        <v>4.7308047326652052E-2</v>
      </c>
      <c r="H754">
        <f t="shared" si="182"/>
        <v>66.407151237880541</v>
      </c>
      <c r="I754">
        <f t="shared" si="183"/>
        <v>1.0400847172415397</v>
      </c>
      <c r="J754">
        <f t="shared" si="184"/>
        <v>1.1567085572312772</v>
      </c>
      <c r="K754">
        <f t="shared" si="185"/>
        <v>0.54825948263286572</v>
      </c>
      <c r="L754">
        <f t="shared" si="186"/>
        <v>1.2663742569898462</v>
      </c>
      <c r="M754">
        <f t="shared" si="187"/>
        <v>1.0013530144639791</v>
      </c>
      <c r="N754">
        <f t="shared" si="188"/>
        <v>0.99343263853844466</v>
      </c>
      <c r="O754">
        <v>3.8384956356555359E-3</v>
      </c>
      <c r="P754">
        <v>6.5108729464165033E-3</v>
      </c>
      <c r="Q754">
        <f t="shared" si="189"/>
        <v>3920.4140406576498</v>
      </c>
      <c r="R754">
        <f t="shared" si="190"/>
        <v>3.9204140406576498</v>
      </c>
    </row>
    <row r="755" spans="1:18" x14ac:dyDescent="0.3">
      <c r="A755">
        <v>1.508</v>
      </c>
      <c r="B755" s="4"/>
      <c r="C755">
        <v>-38.084334379291597</v>
      </c>
      <c r="D755">
        <v>1.95</v>
      </c>
      <c r="E755">
        <f t="shared" si="192"/>
        <v>109.2378246191785</v>
      </c>
      <c r="F755">
        <f t="shared" si="180"/>
        <v>1.5296268635617496E-2</v>
      </c>
      <c r="G755">
        <f t="shared" si="181"/>
        <v>4.7308047326652052E-2</v>
      </c>
      <c r="H755">
        <f t="shared" si="182"/>
        <v>66.407151237880541</v>
      </c>
      <c r="I755">
        <f t="shared" si="183"/>
        <v>1.0400847172415397</v>
      </c>
      <c r="J755">
        <f t="shared" si="184"/>
        <v>1.1567085572312772</v>
      </c>
      <c r="K755">
        <f t="shared" si="185"/>
        <v>0.54825948263286572</v>
      </c>
      <c r="L755">
        <f t="shared" si="186"/>
        <v>1.2663742569898462</v>
      </c>
      <c r="M755">
        <f t="shared" si="187"/>
        <v>1.0033871149776519</v>
      </c>
      <c r="N755">
        <f t="shared" si="188"/>
        <v>0.9921007031697715</v>
      </c>
      <c r="O755">
        <v>3.7257166390510144E-3</v>
      </c>
      <c r="P755">
        <v>6.5819070214065212E-3</v>
      </c>
      <c r="Q755">
        <f t="shared" si="189"/>
        <v>3920.4140406576498</v>
      </c>
      <c r="R755">
        <f t="shared" si="190"/>
        <v>3.9204140406576498</v>
      </c>
    </row>
    <row r="756" spans="1:18" x14ac:dyDescent="0.3">
      <c r="A756">
        <v>1.51</v>
      </c>
      <c r="B756" s="4"/>
      <c r="C756">
        <v>-38.084334379291597</v>
      </c>
      <c r="D756">
        <v>1.95</v>
      </c>
      <c r="E756">
        <f t="shared" si="192"/>
        <v>109.2378246191785</v>
      </c>
      <c r="F756">
        <f t="shared" si="180"/>
        <v>1.5296268635617496E-2</v>
      </c>
      <c r="G756">
        <f t="shared" si="181"/>
        <v>4.7308047326652052E-2</v>
      </c>
      <c r="H756">
        <f t="shared" si="182"/>
        <v>66.407151237880541</v>
      </c>
      <c r="I756">
        <f t="shared" si="183"/>
        <v>1.0400847172415397</v>
      </c>
      <c r="J756">
        <f t="shared" si="184"/>
        <v>1.1567085572312772</v>
      </c>
      <c r="K756">
        <f t="shared" si="185"/>
        <v>0.54825948263286572</v>
      </c>
      <c r="L756">
        <f t="shared" si="186"/>
        <v>1.2663742569898462</v>
      </c>
      <c r="M756">
        <f t="shared" si="187"/>
        <v>1.0054163112365642</v>
      </c>
      <c r="N756">
        <f t="shared" si="188"/>
        <v>0.99104809245368375</v>
      </c>
      <c r="O756">
        <v>3.6445665748040677E-3</v>
      </c>
      <c r="P756">
        <v>6.6325248686574818E-3</v>
      </c>
      <c r="Q756">
        <f t="shared" si="189"/>
        <v>3920.4140406576498</v>
      </c>
      <c r="R756">
        <f t="shared" si="190"/>
        <v>3.9204140406576498</v>
      </c>
    </row>
    <row r="757" spans="1:18" x14ac:dyDescent="0.3">
      <c r="A757">
        <v>1.512</v>
      </c>
      <c r="B757" s="4"/>
      <c r="C757">
        <v>-38.084334379291597</v>
      </c>
      <c r="D757">
        <v>1.95</v>
      </c>
      <c r="E757">
        <f t="shared" si="192"/>
        <v>109.2378246191785</v>
      </c>
      <c r="F757">
        <f t="shared" si="180"/>
        <v>1.5296268635617496E-2</v>
      </c>
      <c r="G757">
        <f t="shared" si="181"/>
        <v>4.7308047326652052E-2</v>
      </c>
      <c r="H757">
        <f t="shared" si="182"/>
        <v>66.407151237880541</v>
      </c>
      <c r="I757">
        <f t="shared" si="183"/>
        <v>1.0400847172415397</v>
      </c>
      <c r="J757">
        <f t="shared" si="184"/>
        <v>1.1567085572312772</v>
      </c>
      <c r="K757">
        <f t="shared" si="185"/>
        <v>0.54825948263286572</v>
      </c>
      <c r="L757">
        <f t="shared" si="186"/>
        <v>1.2663742569898462</v>
      </c>
      <c r="M757">
        <f t="shared" si="187"/>
        <v>1.0099744536285433</v>
      </c>
      <c r="N757">
        <f t="shared" si="188"/>
        <v>0.99038413011199944</v>
      </c>
      <c r="O757">
        <v>3.6084681499625707E-3</v>
      </c>
      <c r="P757">
        <v>6.6624147121066499E-3</v>
      </c>
      <c r="Q757">
        <f t="shared" si="189"/>
        <v>3920.4140406576498</v>
      </c>
      <c r="R757">
        <f t="shared" si="190"/>
        <v>3.9204140406576498</v>
      </c>
    </row>
    <row r="758" spans="1:18" x14ac:dyDescent="0.3">
      <c r="A758">
        <v>1.514</v>
      </c>
      <c r="B758" s="4"/>
      <c r="C758">
        <v>-38.084334379291597</v>
      </c>
      <c r="D758">
        <v>1.95</v>
      </c>
      <c r="E758">
        <f t="shared" si="192"/>
        <v>109.2378246191785</v>
      </c>
      <c r="F758">
        <f t="shared" si="180"/>
        <v>1.5296268635617496E-2</v>
      </c>
      <c r="G758">
        <f t="shared" si="181"/>
        <v>4.7308047326652052E-2</v>
      </c>
      <c r="H758">
        <f t="shared" si="182"/>
        <v>66.407151237880541</v>
      </c>
      <c r="I758">
        <f t="shared" si="183"/>
        <v>1.0400847172415397</v>
      </c>
      <c r="J758">
        <f t="shared" si="184"/>
        <v>1.1567085572312772</v>
      </c>
      <c r="K758">
        <f t="shared" si="185"/>
        <v>0.54825948263286572</v>
      </c>
      <c r="L758">
        <f t="shared" si="186"/>
        <v>1.2663742569898462</v>
      </c>
      <c r="M758">
        <f t="shared" si="187"/>
        <v>1.0008508688265656</v>
      </c>
      <c r="N758">
        <f t="shared" si="188"/>
        <v>0.99017820055580996</v>
      </c>
      <c r="O758">
        <v>3.5565012531636243E-3</v>
      </c>
      <c r="P758">
        <v>6.6714004200221222E-3</v>
      </c>
      <c r="Q758">
        <f t="shared" si="189"/>
        <v>3920.4140406576498</v>
      </c>
      <c r="R758">
        <f t="shared" si="190"/>
        <v>3.9204140406576498</v>
      </c>
    </row>
    <row r="759" spans="1:18" x14ac:dyDescent="0.3">
      <c r="A759">
        <v>1.516</v>
      </c>
      <c r="B759" s="4"/>
      <c r="C759">
        <v>-38.084334379291597</v>
      </c>
      <c r="D759">
        <v>1.95</v>
      </c>
      <c r="E759">
        <f t="shared" si="192"/>
        <v>109.2378246191785</v>
      </c>
      <c r="F759">
        <f t="shared" si="180"/>
        <v>1.5296268635617496E-2</v>
      </c>
      <c r="G759">
        <f t="shared" si="181"/>
        <v>4.7308047326652052E-2</v>
      </c>
      <c r="H759">
        <f t="shared" si="182"/>
        <v>66.407151237880541</v>
      </c>
      <c r="I759">
        <f t="shared" si="183"/>
        <v>1.0400847172415397</v>
      </c>
      <c r="J759">
        <f t="shared" si="184"/>
        <v>1.1567085572312772</v>
      </c>
      <c r="K759">
        <f t="shared" si="185"/>
        <v>0.54825948263286572</v>
      </c>
      <c r="L759">
        <f t="shared" si="186"/>
        <v>1.2663742569898462</v>
      </c>
      <c r="M759">
        <f t="shared" si="187"/>
        <v>1.0085807357756746</v>
      </c>
      <c r="N759">
        <f t="shared" si="188"/>
        <v>0.99045187569695226</v>
      </c>
      <c r="O759">
        <v>3.6084681499625707E-3</v>
      </c>
      <c r="P759">
        <v>6.6594301912490427E-3</v>
      </c>
      <c r="Q759">
        <f t="shared" si="189"/>
        <v>3920.4140406576498</v>
      </c>
      <c r="R759">
        <f t="shared" si="190"/>
        <v>3.9204140406576498</v>
      </c>
    </row>
    <row r="760" spans="1:18" x14ac:dyDescent="0.3">
      <c r="A760">
        <v>1.518</v>
      </c>
      <c r="B760" s="4">
        <v>63</v>
      </c>
      <c r="C760">
        <v>-37.548131048193902</v>
      </c>
      <c r="D760">
        <v>1.95</v>
      </c>
      <c r="E760">
        <f>$E$759+$R$759</f>
        <v>113.15823865983614</v>
      </c>
      <c r="F760">
        <f t="shared" si="180"/>
        <v>1.5568331485251741E-2</v>
      </c>
      <c r="G760">
        <f t="shared" si="181"/>
        <v>4.8149478820366208E-2</v>
      </c>
      <c r="H760">
        <f t="shared" si="182"/>
        <v>65.246659580891787</v>
      </c>
      <c r="I760">
        <f t="shared" si="183"/>
        <v>1.0386826799542357</v>
      </c>
      <c r="J760">
        <f t="shared" si="184"/>
        <v>1.1510825201247252</v>
      </c>
      <c r="K760">
        <f t="shared" si="185"/>
        <v>0.54943725550985179</v>
      </c>
      <c r="L760">
        <f t="shared" si="186"/>
        <v>1.2643553367687559</v>
      </c>
      <c r="M760">
        <f t="shared" si="187"/>
        <v>0.99758266904061343</v>
      </c>
      <c r="N760">
        <f t="shared" si="188"/>
        <v>0.99800148037739245</v>
      </c>
      <c r="O760">
        <v>5.2009015792379839E-3</v>
      </c>
      <c r="P760">
        <v>5.4566275162425603E-3</v>
      </c>
      <c r="Q760">
        <f t="shared" si="189"/>
        <v>3938.2285285088024</v>
      </c>
      <c r="R760">
        <f t="shared" si="190"/>
        <v>3.9382285285088026</v>
      </c>
    </row>
    <row r="761" spans="1:18" x14ac:dyDescent="0.3">
      <c r="A761">
        <v>1.52</v>
      </c>
      <c r="B761" s="4"/>
      <c r="C761">
        <v>-37.548131048193902</v>
      </c>
      <c r="D761">
        <v>1.95</v>
      </c>
      <c r="E761">
        <f t="shared" ref="E761:E781" si="193">$E$759+$R$759</f>
        <v>113.15823865983614</v>
      </c>
      <c r="F761">
        <f t="shared" si="180"/>
        <v>1.5568331485251741E-2</v>
      </c>
      <c r="G761">
        <f t="shared" si="181"/>
        <v>4.8149478820366208E-2</v>
      </c>
      <c r="H761">
        <f t="shared" si="182"/>
        <v>65.246659580891787</v>
      </c>
      <c r="I761">
        <f t="shared" si="183"/>
        <v>1.0386826799542357</v>
      </c>
      <c r="J761">
        <f t="shared" si="184"/>
        <v>1.1510825201247252</v>
      </c>
      <c r="K761">
        <f t="shared" si="185"/>
        <v>0.54943725550985179</v>
      </c>
      <c r="L761">
        <f t="shared" si="186"/>
        <v>1.2643553367687559</v>
      </c>
      <c r="M761">
        <f t="shared" si="187"/>
        <v>0.99900549932274252</v>
      </c>
      <c r="N761">
        <f t="shared" si="188"/>
        <v>1.0044525691872432</v>
      </c>
      <c r="O761">
        <v>5.002143899179674E-3</v>
      </c>
      <c r="P761">
        <v>5.6611260254692776E-3</v>
      </c>
      <c r="Q761">
        <f t="shared" si="189"/>
        <v>3938.2285285088024</v>
      </c>
      <c r="R761">
        <f t="shared" si="190"/>
        <v>3.9382285285088026</v>
      </c>
    </row>
    <row r="762" spans="1:18" x14ac:dyDescent="0.3">
      <c r="A762">
        <v>1.522</v>
      </c>
      <c r="B762" s="4"/>
      <c r="C762">
        <v>-37.548131048193902</v>
      </c>
      <c r="D762">
        <v>1.95</v>
      </c>
      <c r="E762">
        <f t="shared" si="193"/>
        <v>113.15823865983614</v>
      </c>
      <c r="F762">
        <f t="shared" si="180"/>
        <v>1.5568331485251741E-2</v>
      </c>
      <c r="G762">
        <f t="shared" si="181"/>
        <v>4.8149478820366208E-2</v>
      </c>
      <c r="H762">
        <f t="shared" si="182"/>
        <v>65.246659580891787</v>
      </c>
      <c r="I762">
        <f t="shared" si="183"/>
        <v>1.0386826799542357</v>
      </c>
      <c r="J762">
        <f t="shared" si="184"/>
        <v>1.1510825201247252</v>
      </c>
      <c r="K762">
        <f t="shared" si="185"/>
        <v>0.54943725550985179</v>
      </c>
      <c r="L762">
        <f t="shared" si="186"/>
        <v>1.2643553367687559</v>
      </c>
      <c r="M762">
        <f t="shared" si="187"/>
        <v>1.0083876348163521</v>
      </c>
      <c r="N762">
        <f t="shared" si="188"/>
        <v>0.99964817434166875</v>
      </c>
      <c r="O762">
        <v>4.8254919797414818E-3</v>
      </c>
      <c r="P762">
        <v>5.8267025491144341E-3</v>
      </c>
      <c r="Q762">
        <f t="shared" si="189"/>
        <v>3938.2285285088024</v>
      </c>
      <c r="R762">
        <f t="shared" si="190"/>
        <v>3.9382285285088026</v>
      </c>
    </row>
    <row r="763" spans="1:18" x14ac:dyDescent="0.3">
      <c r="A763">
        <v>1.524</v>
      </c>
      <c r="B763" s="4"/>
      <c r="C763">
        <v>-37.548131048193902</v>
      </c>
      <c r="D763">
        <v>1.95</v>
      </c>
      <c r="E763">
        <f t="shared" si="193"/>
        <v>113.15823865983614</v>
      </c>
      <c r="F763">
        <f t="shared" si="180"/>
        <v>1.5568331485251741E-2</v>
      </c>
      <c r="G763">
        <f t="shared" si="181"/>
        <v>4.8149478820366208E-2</v>
      </c>
      <c r="H763">
        <f t="shared" si="182"/>
        <v>65.246659580891787</v>
      </c>
      <c r="I763">
        <f t="shared" si="183"/>
        <v>1.0386826799542357</v>
      </c>
      <c r="J763">
        <f t="shared" si="184"/>
        <v>1.1510825201247252</v>
      </c>
      <c r="K763">
        <f t="shared" si="185"/>
        <v>0.54943725550985179</v>
      </c>
      <c r="L763">
        <f t="shared" si="186"/>
        <v>1.2643553367687559</v>
      </c>
      <c r="M763">
        <f t="shared" si="187"/>
        <v>1.0018701837097979</v>
      </c>
      <c r="N763">
        <f t="shared" si="188"/>
        <v>0.9990152068992546</v>
      </c>
      <c r="O763">
        <v>4.6042076301507102E-3</v>
      </c>
      <c r="P763">
        <v>5.9905098538787019E-3</v>
      </c>
      <c r="Q763">
        <f t="shared" si="189"/>
        <v>3938.2285285088024</v>
      </c>
      <c r="R763">
        <f t="shared" si="190"/>
        <v>3.9382285285088026</v>
      </c>
    </row>
    <row r="764" spans="1:18" x14ac:dyDescent="0.3">
      <c r="A764">
        <v>1.526</v>
      </c>
      <c r="B764" s="4"/>
      <c r="C764">
        <v>-37.548131048193902</v>
      </c>
      <c r="D764">
        <v>1.95</v>
      </c>
      <c r="E764">
        <f t="shared" si="193"/>
        <v>113.15823865983614</v>
      </c>
      <c r="F764">
        <f t="shared" si="180"/>
        <v>1.5568331485251741E-2</v>
      </c>
      <c r="G764">
        <f t="shared" si="181"/>
        <v>4.8149478820366208E-2</v>
      </c>
      <c r="H764">
        <f t="shared" si="182"/>
        <v>65.246659580891787</v>
      </c>
      <c r="I764">
        <f t="shared" si="183"/>
        <v>1.0386826799542357</v>
      </c>
      <c r="J764">
        <f t="shared" si="184"/>
        <v>1.1510825201247252</v>
      </c>
      <c r="K764">
        <f t="shared" si="185"/>
        <v>0.54943725550985179</v>
      </c>
      <c r="L764">
        <f t="shared" si="186"/>
        <v>1.2643553367687559</v>
      </c>
      <c r="M764">
        <f t="shared" si="187"/>
        <v>1.0040848896575105</v>
      </c>
      <c r="N764">
        <f t="shared" si="188"/>
        <v>0.99805156372796877</v>
      </c>
      <c r="O764">
        <v>4.414725844809347E-3</v>
      </c>
      <c r="P764">
        <v>6.1394108665894171E-3</v>
      </c>
      <c r="Q764">
        <f t="shared" si="189"/>
        <v>3938.2285285088024</v>
      </c>
      <c r="R764">
        <f t="shared" si="190"/>
        <v>3.9382285285088026</v>
      </c>
    </row>
    <row r="765" spans="1:18" x14ac:dyDescent="0.3">
      <c r="A765">
        <v>1.528</v>
      </c>
      <c r="B765" s="4"/>
      <c r="C765">
        <v>-37.548131048193902</v>
      </c>
      <c r="D765">
        <v>1.95</v>
      </c>
      <c r="E765">
        <f t="shared" si="193"/>
        <v>113.15823865983614</v>
      </c>
      <c r="F765">
        <f t="shared" si="180"/>
        <v>1.5568331485251741E-2</v>
      </c>
      <c r="G765">
        <f t="shared" si="181"/>
        <v>4.8149478820366208E-2</v>
      </c>
      <c r="H765">
        <f t="shared" si="182"/>
        <v>65.246659580891787</v>
      </c>
      <c r="I765">
        <f t="shared" si="183"/>
        <v>1.0386826799542357</v>
      </c>
      <c r="J765">
        <f t="shared" si="184"/>
        <v>1.1510825201247252</v>
      </c>
      <c r="K765">
        <f t="shared" si="185"/>
        <v>0.54943725550985179</v>
      </c>
      <c r="L765">
        <f t="shared" si="186"/>
        <v>1.2643553367687559</v>
      </c>
      <c r="M765">
        <f t="shared" si="187"/>
        <v>1.0007036031127496</v>
      </c>
      <c r="N765">
        <f t="shared" si="188"/>
        <v>0.99680917287800919</v>
      </c>
      <c r="O765">
        <v>4.2169176066223606E-3</v>
      </c>
      <c r="P765">
        <v>6.2719704882884877E-3</v>
      </c>
      <c r="Q765">
        <f t="shared" si="189"/>
        <v>3938.2285285088024</v>
      </c>
      <c r="R765">
        <f t="shared" si="190"/>
        <v>3.9382285285088026</v>
      </c>
    </row>
    <row r="766" spans="1:18" x14ac:dyDescent="0.3">
      <c r="A766">
        <v>1.53</v>
      </c>
      <c r="B766" s="4"/>
      <c r="C766">
        <v>-37.548131048193902</v>
      </c>
      <c r="D766">
        <v>1.95</v>
      </c>
      <c r="E766">
        <f t="shared" si="193"/>
        <v>113.15823865983614</v>
      </c>
      <c r="F766">
        <f t="shared" si="180"/>
        <v>1.5568331485251741E-2</v>
      </c>
      <c r="G766">
        <f t="shared" si="181"/>
        <v>4.8149478820366208E-2</v>
      </c>
      <c r="H766">
        <f t="shared" si="182"/>
        <v>65.246659580891787</v>
      </c>
      <c r="I766">
        <f t="shared" si="183"/>
        <v>1.0386826799542357</v>
      </c>
      <c r="J766">
        <f t="shared" si="184"/>
        <v>1.1510825201247252</v>
      </c>
      <c r="K766">
        <f t="shared" si="185"/>
        <v>0.54943725550985179</v>
      </c>
      <c r="L766">
        <f t="shared" si="186"/>
        <v>1.2643553367687559</v>
      </c>
      <c r="M766">
        <f t="shared" si="187"/>
        <v>1.0036674657143116</v>
      </c>
      <c r="N766">
        <f t="shared" si="188"/>
        <v>0.9953845320877317</v>
      </c>
      <c r="O766">
        <v>4.0544585954635625E-3</v>
      </c>
      <c r="P766">
        <v>6.387045007879873E-3</v>
      </c>
      <c r="Q766">
        <f t="shared" si="189"/>
        <v>3938.2285285088024</v>
      </c>
      <c r="R766">
        <f t="shared" si="190"/>
        <v>3.9382285285088026</v>
      </c>
    </row>
    <row r="767" spans="1:18" x14ac:dyDescent="0.3">
      <c r="A767">
        <v>1.532</v>
      </c>
      <c r="B767" s="4"/>
      <c r="C767">
        <v>-37.548131048193902</v>
      </c>
      <c r="D767">
        <v>1.95</v>
      </c>
      <c r="E767">
        <f t="shared" si="193"/>
        <v>113.15823865983614</v>
      </c>
      <c r="F767">
        <f t="shared" si="180"/>
        <v>1.5568331485251741E-2</v>
      </c>
      <c r="G767">
        <f t="shared" si="181"/>
        <v>4.8149478820366208E-2</v>
      </c>
      <c r="H767">
        <f t="shared" si="182"/>
        <v>65.246659580891787</v>
      </c>
      <c r="I767">
        <f t="shared" si="183"/>
        <v>1.0386826799542357</v>
      </c>
      <c r="J767">
        <f t="shared" si="184"/>
        <v>1.1510825201247252</v>
      </c>
      <c r="K767">
        <f t="shared" si="185"/>
        <v>0.54943725550985179</v>
      </c>
      <c r="L767">
        <f t="shared" si="186"/>
        <v>1.2643553367687559</v>
      </c>
      <c r="M767">
        <f t="shared" si="187"/>
        <v>1.000720590455686</v>
      </c>
      <c r="N767">
        <f t="shared" si="188"/>
        <v>0.99390448996450331</v>
      </c>
      <c r="O767">
        <v>3.8905264298334965E-3</v>
      </c>
      <c r="P767">
        <v>6.4837410142083232E-3</v>
      </c>
      <c r="Q767">
        <f t="shared" si="189"/>
        <v>3938.2285285088024</v>
      </c>
      <c r="R767">
        <f t="shared" si="190"/>
        <v>3.9382285285088026</v>
      </c>
    </row>
    <row r="768" spans="1:18" x14ac:dyDescent="0.3">
      <c r="A768">
        <v>1.534</v>
      </c>
      <c r="B768" s="4"/>
      <c r="C768">
        <v>-37.548131048193902</v>
      </c>
      <c r="D768">
        <v>1.95</v>
      </c>
      <c r="E768">
        <f t="shared" si="193"/>
        <v>113.15823865983614</v>
      </c>
      <c r="F768">
        <f t="shared" si="180"/>
        <v>1.5568331485251741E-2</v>
      </c>
      <c r="G768">
        <f t="shared" si="181"/>
        <v>4.8149478820366208E-2</v>
      </c>
      <c r="H768">
        <f t="shared" si="182"/>
        <v>65.246659580891787</v>
      </c>
      <c r="I768">
        <f t="shared" si="183"/>
        <v>1.0386826799542357</v>
      </c>
      <c r="J768">
        <f t="shared" si="184"/>
        <v>1.1510825201247252</v>
      </c>
      <c r="K768">
        <f t="shared" si="185"/>
        <v>0.54943725550985179</v>
      </c>
      <c r="L768">
        <f t="shared" si="186"/>
        <v>1.2643553367687559</v>
      </c>
      <c r="M768">
        <f t="shared" si="187"/>
        <v>1.002522572029787</v>
      </c>
      <c r="N768">
        <f t="shared" si="188"/>
        <v>0.9925094352513012</v>
      </c>
      <c r="O768">
        <v>3.7674554021976999E-3</v>
      </c>
      <c r="P768">
        <v>6.5613774618776977E-3</v>
      </c>
      <c r="Q768">
        <f t="shared" si="189"/>
        <v>3938.2285285088024</v>
      </c>
      <c r="R768">
        <f t="shared" si="190"/>
        <v>3.9382285285088026</v>
      </c>
    </row>
    <row r="769" spans="1:18" x14ac:dyDescent="0.3">
      <c r="A769">
        <v>1.536</v>
      </c>
      <c r="B769" s="4"/>
      <c r="C769">
        <v>-37.548131048193902</v>
      </c>
      <c r="D769">
        <v>1.95</v>
      </c>
      <c r="E769">
        <f t="shared" si="193"/>
        <v>113.15823865983614</v>
      </c>
      <c r="F769">
        <f t="shared" si="180"/>
        <v>1.5568331485251741E-2</v>
      </c>
      <c r="G769">
        <f t="shared" si="181"/>
        <v>4.8149478820366208E-2</v>
      </c>
      <c r="H769">
        <f t="shared" si="182"/>
        <v>65.246659580891787</v>
      </c>
      <c r="I769">
        <f t="shared" si="183"/>
        <v>1.0386826799542357</v>
      </c>
      <c r="J769">
        <f t="shared" si="184"/>
        <v>1.1510825201247252</v>
      </c>
      <c r="K769">
        <f t="shared" si="185"/>
        <v>0.54943725550985179</v>
      </c>
      <c r="L769">
        <f t="shared" si="186"/>
        <v>1.2643553367687559</v>
      </c>
      <c r="M769">
        <f t="shared" si="187"/>
        <v>1.0046059703363235</v>
      </c>
      <c r="N769">
        <f t="shared" si="188"/>
        <v>0.99133596462167073</v>
      </c>
      <c r="O769">
        <v>3.6743784862611263E-3</v>
      </c>
      <c r="P769">
        <v>6.6194526026944166E-3</v>
      </c>
      <c r="Q769">
        <f t="shared" si="189"/>
        <v>3938.2285285088024</v>
      </c>
      <c r="R769">
        <f t="shared" si="190"/>
        <v>3.9382285285088026</v>
      </c>
    </row>
    <row r="770" spans="1:18" x14ac:dyDescent="0.3">
      <c r="A770">
        <v>1.538</v>
      </c>
      <c r="B770" s="4"/>
      <c r="C770">
        <v>-37.548131048193902</v>
      </c>
      <c r="D770">
        <v>1.95</v>
      </c>
      <c r="E770">
        <f t="shared" si="193"/>
        <v>113.15823865983614</v>
      </c>
      <c r="F770">
        <f t="shared" si="180"/>
        <v>1.5568331485251741E-2</v>
      </c>
      <c r="G770">
        <f t="shared" si="181"/>
        <v>4.8149478820366208E-2</v>
      </c>
      <c r="H770">
        <f t="shared" si="182"/>
        <v>65.246659580891787</v>
      </c>
      <c r="I770">
        <f t="shared" si="183"/>
        <v>1.0386826799542357</v>
      </c>
      <c r="J770">
        <f t="shared" si="184"/>
        <v>1.1510825201247252</v>
      </c>
      <c r="K770">
        <f t="shared" si="185"/>
        <v>0.54943725550985179</v>
      </c>
      <c r="L770">
        <f t="shared" si="186"/>
        <v>1.2643553367687559</v>
      </c>
      <c r="M770">
        <f t="shared" si="187"/>
        <v>1.0063282536084346</v>
      </c>
      <c r="N770">
        <f t="shared" si="188"/>
        <v>0.99050086853844321</v>
      </c>
      <c r="O770">
        <v>3.6127331388500798E-3</v>
      </c>
      <c r="P770">
        <v>6.6576168770455212E-3</v>
      </c>
      <c r="Q770">
        <f t="shared" si="189"/>
        <v>3938.2285285088024</v>
      </c>
      <c r="R770">
        <f t="shared" si="190"/>
        <v>3.9382285285088026</v>
      </c>
    </row>
    <row r="771" spans="1:18" x14ac:dyDescent="0.3">
      <c r="A771">
        <v>1.54</v>
      </c>
      <c r="B771" s="4"/>
      <c r="C771">
        <v>-37.548131048193902</v>
      </c>
      <c r="D771">
        <v>1.95</v>
      </c>
      <c r="E771">
        <f t="shared" si="193"/>
        <v>113.15823865983614</v>
      </c>
      <c r="F771">
        <f t="shared" ref="F771:F834" si="194">0.0462806*SQRT(E771/1000)</f>
        <v>1.5568331485251741E-2</v>
      </c>
      <c r="G771">
        <f t="shared" ref="G771:G834" si="195">$U$3*F771/2</f>
        <v>4.8149478820366208E-2</v>
      </c>
      <c r="H771">
        <f t="shared" ref="H771:H834" si="196">PI()/G771</f>
        <v>65.246659580891787</v>
      </c>
      <c r="I771">
        <f t="shared" ref="I771:I834" si="197">BESSELI(H771*$Y$5,0)</f>
        <v>1.0386826799542357</v>
      </c>
      <c r="J771">
        <f t="shared" ref="J771:J834" si="198">BESSELI(H771*D771*$Y$5,0)</f>
        <v>1.1510825201247252</v>
      </c>
      <c r="K771">
        <f t="shared" ref="K771:K834" si="199">(D771^2-1)/(D771^2*I771+J771)</f>
        <v>0.54943725550985179</v>
      </c>
      <c r="L771">
        <f t="shared" ref="L771:L834" si="200">I771+J771/(D771^2*I771+J771)</f>
        <v>1.2643553367687559</v>
      </c>
      <c r="M771">
        <f t="shared" ref="M771:M834" si="201">((L771*O771^2)/$Y$5^2)+(K771*BESSELI(O771*H771,0)*COS(H771*A771))</f>
        <v>1.000816869902355</v>
      </c>
      <c r="N771">
        <f t="shared" ref="N771:N834" si="202">((L771*P771^2)/$Y$5^2)-(K771*BESSELI(P771*H771,0)*COS(H771*A771))</f>
        <v>0.99008794679833667</v>
      </c>
      <c r="O771">
        <v>3.5582749398822386E-3</v>
      </c>
      <c r="P771">
        <v>6.6756524139054809E-3</v>
      </c>
      <c r="Q771">
        <f t="shared" ref="Q771:Q834" si="203">PI()*K771*$U$4*J771*COS(C771*$Y$7)/(4*$Y$6)</f>
        <v>3938.2285285088024</v>
      </c>
      <c r="R771">
        <f t="shared" ref="R771:R834" si="204">Q771/1000</f>
        <v>3.9382285285088026</v>
      </c>
    </row>
    <row r="772" spans="1:18" x14ac:dyDescent="0.3">
      <c r="A772">
        <v>1.542</v>
      </c>
      <c r="B772" s="4"/>
      <c r="C772">
        <v>-37.548131048193902</v>
      </c>
      <c r="D772">
        <v>1.95</v>
      </c>
      <c r="E772">
        <f t="shared" si="193"/>
        <v>113.15823865983614</v>
      </c>
      <c r="F772">
        <f t="shared" si="194"/>
        <v>1.5568331485251741E-2</v>
      </c>
      <c r="G772">
        <f t="shared" si="195"/>
        <v>4.8149478820366208E-2</v>
      </c>
      <c r="H772">
        <f t="shared" si="196"/>
        <v>65.246659580891787</v>
      </c>
      <c r="I772">
        <f t="shared" si="197"/>
        <v>1.0386826799542357</v>
      </c>
      <c r="J772">
        <f t="shared" si="198"/>
        <v>1.1510825201247252</v>
      </c>
      <c r="K772">
        <f t="shared" si="199"/>
        <v>0.54943725550985179</v>
      </c>
      <c r="L772">
        <f t="shared" si="200"/>
        <v>1.2643553367687559</v>
      </c>
      <c r="M772">
        <f t="shared" si="201"/>
        <v>1.0007492137444378</v>
      </c>
      <c r="N772">
        <f t="shared" si="202"/>
        <v>0.99013879021403994</v>
      </c>
      <c r="O772">
        <v>3.5620464636477419E-3</v>
      </c>
      <c r="P772">
        <v>6.6734594907888719E-3</v>
      </c>
      <c r="Q772">
        <f t="shared" si="203"/>
        <v>3938.2285285088024</v>
      </c>
      <c r="R772">
        <f t="shared" si="204"/>
        <v>3.9382285285088026</v>
      </c>
    </row>
    <row r="773" spans="1:18" x14ac:dyDescent="0.3">
      <c r="A773">
        <v>1.544</v>
      </c>
      <c r="B773" s="4"/>
      <c r="C773">
        <v>-37.548131048193902</v>
      </c>
      <c r="D773">
        <v>1.95</v>
      </c>
      <c r="E773">
        <f t="shared" si="193"/>
        <v>113.15823865983614</v>
      </c>
      <c r="F773">
        <f t="shared" si="194"/>
        <v>1.5568331485251741E-2</v>
      </c>
      <c r="G773">
        <f t="shared" si="195"/>
        <v>4.8149478820366208E-2</v>
      </c>
      <c r="H773">
        <f t="shared" si="196"/>
        <v>65.246659580891787</v>
      </c>
      <c r="I773">
        <f t="shared" si="197"/>
        <v>1.0386826799542357</v>
      </c>
      <c r="J773">
        <f t="shared" si="198"/>
        <v>1.1510825201247252</v>
      </c>
      <c r="K773">
        <f t="shared" si="199"/>
        <v>0.54943725550985179</v>
      </c>
      <c r="L773">
        <f t="shared" si="200"/>
        <v>1.2643553367687559</v>
      </c>
      <c r="M773">
        <f t="shared" si="201"/>
        <v>1.006011645608109</v>
      </c>
      <c r="N773">
        <f t="shared" si="202"/>
        <v>0.99064827292894875</v>
      </c>
      <c r="O773">
        <v>3.6233674603978758E-3</v>
      </c>
      <c r="P773">
        <v>6.6510501223507202E-3</v>
      </c>
      <c r="Q773">
        <f t="shared" si="203"/>
        <v>3938.2285285088024</v>
      </c>
      <c r="R773">
        <f t="shared" si="204"/>
        <v>3.9382285285088026</v>
      </c>
    </row>
    <row r="774" spans="1:18" x14ac:dyDescent="0.3">
      <c r="A774">
        <v>1.546</v>
      </c>
      <c r="B774" s="4"/>
      <c r="C774">
        <v>-37.548131048193902</v>
      </c>
      <c r="D774">
        <v>1.95</v>
      </c>
      <c r="E774">
        <f t="shared" si="193"/>
        <v>113.15823865983614</v>
      </c>
      <c r="F774">
        <f t="shared" si="194"/>
        <v>1.5568331485251741E-2</v>
      </c>
      <c r="G774">
        <f t="shared" si="195"/>
        <v>4.8149478820366208E-2</v>
      </c>
      <c r="H774">
        <f t="shared" si="196"/>
        <v>65.246659580891787</v>
      </c>
      <c r="I774">
        <f t="shared" si="197"/>
        <v>1.0386826799542357</v>
      </c>
      <c r="J774">
        <f t="shared" si="198"/>
        <v>1.1510825201247252</v>
      </c>
      <c r="K774">
        <f t="shared" si="199"/>
        <v>0.54943725550985179</v>
      </c>
      <c r="L774">
        <f t="shared" si="200"/>
        <v>1.2643553367687559</v>
      </c>
      <c r="M774">
        <f t="shared" si="201"/>
        <v>1.0041657687765029</v>
      </c>
      <c r="N774">
        <f t="shared" si="202"/>
        <v>0.99156510566118738</v>
      </c>
      <c r="O774">
        <v>3.6919208165183959E-3</v>
      </c>
      <c r="P774">
        <v>6.6085488402784246E-3</v>
      </c>
      <c r="Q774">
        <f t="shared" si="203"/>
        <v>3938.2285285088024</v>
      </c>
      <c r="R774">
        <f t="shared" si="204"/>
        <v>3.9382285285088026</v>
      </c>
    </row>
    <row r="775" spans="1:18" x14ac:dyDescent="0.3">
      <c r="A775">
        <v>1.548</v>
      </c>
      <c r="B775" s="4"/>
      <c r="C775">
        <v>-37.548131048193902</v>
      </c>
      <c r="D775">
        <v>1.95</v>
      </c>
      <c r="E775">
        <f t="shared" si="193"/>
        <v>113.15823865983614</v>
      </c>
      <c r="F775">
        <f t="shared" si="194"/>
        <v>1.5568331485251741E-2</v>
      </c>
      <c r="G775">
        <f t="shared" si="195"/>
        <v>4.8149478820366208E-2</v>
      </c>
      <c r="H775">
        <f t="shared" si="196"/>
        <v>65.246659580891787</v>
      </c>
      <c r="I775">
        <f t="shared" si="197"/>
        <v>1.0386826799542357</v>
      </c>
      <c r="J775">
        <f t="shared" si="198"/>
        <v>1.1510825201247252</v>
      </c>
      <c r="K775">
        <f t="shared" si="199"/>
        <v>0.54943725550985179</v>
      </c>
      <c r="L775">
        <f t="shared" si="200"/>
        <v>1.2643553367687559</v>
      </c>
      <c r="M775">
        <f t="shared" si="201"/>
        <v>1.0020829744977471</v>
      </c>
      <c r="N775">
        <f t="shared" si="202"/>
        <v>0.99279740735159971</v>
      </c>
      <c r="O775">
        <v>3.7916353694432713E-3</v>
      </c>
      <c r="P775">
        <v>6.5462006574423812E-3</v>
      </c>
      <c r="Q775">
        <f t="shared" si="203"/>
        <v>3938.2285285088024</v>
      </c>
      <c r="R775">
        <f t="shared" si="204"/>
        <v>3.9382285285088026</v>
      </c>
    </row>
    <row r="776" spans="1:18" x14ac:dyDescent="0.3">
      <c r="A776">
        <v>1.55</v>
      </c>
      <c r="B776" s="4"/>
      <c r="C776">
        <v>-37.548131048193902</v>
      </c>
      <c r="D776">
        <v>1.95</v>
      </c>
      <c r="E776">
        <f t="shared" si="193"/>
        <v>113.15823865983614</v>
      </c>
      <c r="F776">
        <f t="shared" si="194"/>
        <v>1.5568331485251741E-2</v>
      </c>
      <c r="G776">
        <f t="shared" si="195"/>
        <v>4.8149478820366208E-2</v>
      </c>
      <c r="H776">
        <f t="shared" si="196"/>
        <v>65.246659580891787</v>
      </c>
      <c r="I776">
        <f t="shared" si="197"/>
        <v>1.0386826799542357</v>
      </c>
      <c r="J776">
        <f t="shared" si="198"/>
        <v>1.1510825201247252</v>
      </c>
      <c r="K776">
        <f t="shared" si="199"/>
        <v>0.54943725550985179</v>
      </c>
      <c r="L776">
        <f t="shared" si="200"/>
        <v>1.2643553367687559</v>
      </c>
      <c r="M776">
        <f t="shared" si="201"/>
        <v>1.0004418849219039</v>
      </c>
      <c r="N776">
        <f t="shared" si="202"/>
        <v>0.99422285961751111</v>
      </c>
      <c r="O776">
        <v>3.9209694320932204E-3</v>
      </c>
      <c r="P776">
        <v>6.4643861351670337E-3</v>
      </c>
      <c r="Q776">
        <f t="shared" si="203"/>
        <v>3938.2285285088024</v>
      </c>
      <c r="R776">
        <f t="shared" si="204"/>
        <v>3.9382285285088026</v>
      </c>
    </row>
    <row r="777" spans="1:18" x14ac:dyDescent="0.3">
      <c r="A777">
        <v>1.552</v>
      </c>
      <c r="B777" s="4"/>
      <c r="C777">
        <v>-37.548131048193902</v>
      </c>
      <c r="D777">
        <v>1.95</v>
      </c>
      <c r="E777">
        <f t="shared" si="193"/>
        <v>113.15823865983614</v>
      </c>
      <c r="F777">
        <f t="shared" si="194"/>
        <v>1.5568331485251741E-2</v>
      </c>
      <c r="G777">
        <f t="shared" si="195"/>
        <v>4.8149478820366208E-2</v>
      </c>
      <c r="H777">
        <f t="shared" si="196"/>
        <v>65.246659580891787</v>
      </c>
      <c r="I777">
        <f t="shared" si="197"/>
        <v>1.0386826799542357</v>
      </c>
      <c r="J777">
        <f t="shared" si="198"/>
        <v>1.1510825201247252</v>
      </c>
      <c r="K777">
        <f t="shared" si="199"/>
        <v>0.54943725550985179</v>
      </c>
      <c r="L777">
        <f t="shared" si="200"/>
        <v>1.2643553367687559</v>
      </c>
      <c r="M777">
        <f t="shared" si="201"/>
        <v>0.99327124985732085</v>
      </c>
      <c r="N777">
        <f t="shared" si="202"/>
        <v>0.99570261410281158</v>
      </c>
      <c r="O777">
        <v>4.0544585954635625E-3</v>
      </c>
      <c r="P777">
        <v>6.3636433532070075E-3</v>
      </c>
      <c r="Q777">
        <f t="shared" si="203"/>
        <v>3938.2285285088024</v>
      </c>
      <c r="R777">
        <f t="shared" si="204"/>
        <v>3.9382285285088026</v>
      </c>
    </row>
    <row r="778" spans="1:18" x14ac:dyDescent="0.3">
      <c r="A778">
        <v>1.554</v>
      </c>
      <c r="B778" s="4"/>
      <c r="C778">
        <v>-37.548131048193902</v>
      </c>
      <c r="D778">
        <v>1.95</v>
      </c>
      <c r="E778">
        <f t="shared" si="193"/>
        <v>113.15823865983614</v>
      </c>
      <c r="F778">
        <f t="shared" si="194"/>
        <v>1.5568331485251741E-2</v>
      </c>
      <c r="G778">
        <f t="shared" si="195"/>
        <v>4.8149478820366208E-2</v>
      </c>
      <c r="H778">
        <f t="shared" si="196"/>
        <v>65.246659580891787</v>
      </c>
      <c r="I778">
        <f t="shared" si="197"/>
        <v>1.0386826799542357</v>
      </c>
      <c r="J778">
        <f t="shared" si="198"/>
        <v>1.1510825201247252</v>
      </c>
      <c r="K778">
        <f t="shared" si="199"/>
        <v>0.54943725550985179</v>
      </c>
      <c r="L778">
        <f t="shared" si="200"/>
        <v>1.2643553367687559</v>
      </c>
      <c r="M778">
        <f t="shared" si="201"/>
        <v>1.001177576238413</v>
      </c>
      <c r="N778">
        <f t="shared" si="202"/>
        <v>0.9970977327827022</v>
      </c>
      <c r="O778">
        <v>4.257954823154643E-3</v>
      </c>
      <c r="P778">
        <v>6.2446963776660227E-3</v>
      </c>
      <c r="Q778">
        <f t="shared" si="203"/>
        <v>3938.2285285088024</v>
      </c>
      <c r="R778">
        <f t="shared" si="204"/>
        <v>3.9382285285088026</v>
      </c>
    </row>
    <row r="779" spans="1:18" x14ac:dyDescent="0.3">
      <c r="A779">
        <v>1.556</v>
      </c>
      <c r="B779" s="4"/>
      <c r="C779">
        <v>-37.548131048193902</v>
      </c>
      <c r="D779">
        <v>1.95</v>
      </c>
      <c r="E779">
        <f t="shared" si="193"/>
        <v>113.15823865983614</v>
      </c>
      <c r="F779">
        <f t="shared" si="194"/>
        <v>1.5568331485251741E-2</v>
      </c>
      <c r="G779">
        <f t="shared" si="195"/>
        <v>4.8149478820366208E-2</v>
      </c>
      <c r="H779">
        <f t="shared" si="196"/>
        <v>65.246659580891787</v>
      </c>
      <c r="I779">
        <f t="shared" si="197"/>
        <v>1.0386826799542357</v>
      </c>
      <c r="J779">
        <f t="shared" si="198"/>
        <v>1.1510825201247252</v>
      </c>
      <c r="K779">
        <f t="shared" si="199"/>
        <v>0.54943725550985179</v>
      </c>
      <c r="L779">
        <f t="shared" si="200"/>
        <v>1.2643553367687559</v>
      </c>
      <c r="M779">
        <f t="shared" si="201"/>
        <v>1.005254884836194</v>
      </c>
      <c r="N779">
        <f t="shared" si="202"/>
        <v>0.99828657313623848</v>
      </c>
      <c r="O779">
        <v>4.4602782169398149E-3</v>
      </c>
      <c r="P779">
        <v>6.1084894951999704E-3</v>
      </c>
      <c r="Q779">
        <f t="shared" si="203"/>
        <v>3938.2285285088024</v>
      </c>
      <c r="R779">
        <f t="shared" si="204"/>
        <v>3.9382285285088026</v>
      </c>
    </row>
    <row r="780" spans="1:18" x14ac:dyDescent="0.3">
      <c r="A780">
        <v>1.5580000000000001</v>
      </c>
      <c r="B780" s="4"/>
      <c r="C780">
        <v>-37.548131048193902</v>
      </c>
      <c r="D780">
        <v>1.95</v>
      </c>
      <c r="E780">
        <f t="shared" si="193"/>
        <v>113.15823865983614</v>
      </c>
      <c r="F780">
        <f t="shared" si="194"/>
        <v>1.5568331485251741E-2</v>
      </c>
      <c r="G780">
        <f t="shared" si="195"/>
        <v>4.8149478820366208E-2</v>
      </c>
      <c r="H780">
        <f t="shared" si="196"/>
        <v>65.246659580891787</v>
      </c>
      <c r="I780">
        <f t="shared" si="197"/>
        <v>1.0386826799542357</v>
      </c>
      <c r="J780">
        <f t="shared" si="198"/>
        <v>1.1510825201247252</v>
      </c>
      <c r="K780">
        <f t="shared" si="199"/>
        <v>0.54943725550985179</v>
      </c>
      <c r="L780">
        <f t="shared" si="200"/>
        <v>1.2643553367687559</v>
      </c>
      <c r="M780">
        <f t="shared" si="201"/>
        <v>1.0029612818876938</v>
      </c>
      <c r="N780">
        <f t="shared" si="202"/>
        <v>0.99918121828945172</v>
      </c>
      <c r="O780">
        <v>4.6509843171967588E-3</v>
      </c>
      <c r="P780">
        <v>5.9562260005169808E-3</v>
      </c>
      <c r="Q780">
        <f t="shared" si="203"/>
        <v>3938.2285285088024</v>
      </c>
      <c r="R780">
        <f t="shared" si="204"/>
        <v>3.9382285285088026</v>
      </c>
    </row>
    <row r="781" spans="1:18" x14ac:dyDescent="0.3">
      <c r="A781">
        <v>1.56</v>
      </c>
      <c r="B781" s="4"/>
      <c r="C781">
        <v>-37.548131048193902</v>
      </c>
      <c r="D781">
        <v>1.95</v>
      </c>
      <c r="E781">
        <f t="shared" si="193"/>
        <v>113.15823865983614</v>
      </c>
      <c r="F781">
        <f t="shared" si="194"/>
        <v>1.5568331485251741E-2</v>
      </c>
      <c r="G781">
        <f t="shared" si="195"/>
        <v>4.8149478820366208E-2</v>
      </c>
      <c r="H781">
        <f t="shared" si="196"/>
        <v>65.246659580891787</v>
      </c>
      <c r="I781">
        <f t="shared" si="197"/>
        <v>1.0386826799542357</v>
      </c>
      <c r="J781">
        <f t="shared" si="198"/>
        <v>1.1510825201247252</v>
      </c>
      <c r="K781">
        <f t="shared" si="199"/>
        <v>0.54943725550985179</v>
      </c>
      <c r="L781">
        <f t="shared" si="200"/>
        <v>1.2643553367687559</v>
      </c>
      <c r="M781">
        <f t="shared" si="201"/>
        <v>0.9996218980117727</v>
      </c>
      <c r="N781">
        <f t="shared" si="202"/>
        <v>0.99974085083972852</v>
      </c>
      <c r="O781">
        <v>4.8439216887648873E-3</v>
      </c>
      <c r="P781">
        <v>5.7894096677642672E-3</v>
      </c>
      <c r="Q781">
        <f t="shared" si="203"/>
        <v>3938.2285285088024</v>
      </c>
      <c r="R781">
        <f t="shared" si="204"/>
        <v>3.9382285285088026</v>
      </c>
    </row>
    <row r="782" spans="1:18" x14ac:dyDescent="0.3">
      <c r="A782">
        <v>1.5620000000000001</v>
      </c>
      <c r="B782" s="4">
        <v>64</v>
      </c>
      <c r="C782">
        <v>-37.019587764683301</v>
      </c>
      <c r="D782">
        <v>1.95</v>
      </c>
      <c r="E782">
        <f>$E$781+$R$781</f>
        <v>117.09646718834495</v>
      </c>
      <c r="F782">
        <f t="shared" si="194"/>
        <v>1.5836925618310321E-2</v>
      </c>
      <c r="G782">
        <f t="shared" si="195"/>
        <v>4.89801823246711E-2</v>
      </c>
      <c r="H782">
        <f t="shared" si="196"/>
        <v>64.140076751151398</v>
      </c>
      <c r="I782">
        <f t="shared" si="197"/>
        <v>1.0373696627470148</v>
      </c>
      <c r="J782">
        <f t="shared" si="198"/>
        <v>1.1458232327958409</v>
      </c>
      <c r="K782">
        <f t="shared" si="199"/>
        <v>0.55054381422098608</v>
      </c>
      <c r="L782">
        <f t="shared" si="200"/>
        <v>1.2624636477626947</v>
      </c>
      <c r="M782">
        <f t="shared" si="201"/>
        <v>1.0041053352166482</v>
      </c>
      <c r="N782">
        <f t="shared" si="202"/>
        <v>0.99149196342849011</v>
      </c>
      <c r="O782">
        <v>3.6940634958113959E-3</v>
      </c>
      <c r="P782">
        <v>6.612385116671002E-3</v>
      </c>
      <c r="Q782">
        <f t="shared" si="203"/>
        <v>3955.8160393640342</v>
      </c>
      <c r="R782">
        <f t="shared" si="204"/>
        <v>3.9558160393640343</v>
      </c>
    </row>
    <row r="783" spans="1:18" x14ac:dyDescent="0.3">
      <c r="A783">
        <v>1.5640000000000001</v>
      </c>
      <c r="B783" s="4"/>
      <c r="C783">
        <v>-37.019587764683301</v>
      </c>
      <c r="D783">
        <v>1.95</v>
      </c>
      <c r="E783">
        <f t="shared" ref="E783:E806" si="205">$E$781+$R$781</f>
        <v>117.09646718834495</v>
      </c>
      <c r="F783">
        <f t="shared" si="194"/>
        <v>1.5836925618310321E-2</v>
      </c>
      <c r="G783">
        <f t="shared" si="195"/>
        <v>4.89801823246711E-2</v>
      </c>
      <c r="H783">
        <f t="shared" si="196"/>
        <v>64.140076751151398</v>
      </c>
      <c r="I783">
        <f t="shared" si="197"/>
        <v>1.0373696627470148</v>
      </c>
      <c r="J783">
        <f t="shared" si="198"/>
        <v>1.1458232327958409</v>
      </c>
      <c r="K783">
        <f t="shared" si="199"/>
        <v>0.55054381422098608</v>
      </c>
      <c r="L783">
        <f t="shared" si="200"/>
        <v>1.2624636477626947</v>
      </c>
      <c r="M783">
        <f t="shared" si="201"/>
        <v>1.0059442644198771</v>
      </c>
      <c r="N783">
        <f t="shared" si="202"/>
        <v>0.99056916183317723</v>
      </c>
      <c r="O783">
        <v>3.6252574462652095E-3</v>
      </c>
      <c r="P783">
        <v>6.6549181982658101E-3</v>
      </c>
      <c r="Q783">
        <f t="shared" si="203"/>
        <v>3955.8160393640342</v>
      </c>
      <c r="R783">
        <f t="shared" si="204"/>
        <v>3.9558160393640343</v>
      </c>
    </row>
    <row r="784" spans="1:18" x14ac:dyDescent="0.3">
      <c r="A784">
        <v>1.5660000000000001</v>
      </c>
      <c r="B784" s="4"/>
      <c r="C784">
        <v>-37.019587764683301</v>
      </c>
      <c r="D784">
        <v>1.95</v>
      </c>
      <c r="E784">
        <f t="shared" si="205"/>
        <v>117.09646718834495</v>
      </c>
      <c r="F784">
        <f t="shared" si="194"/>
        <v>1.5836925618310321E-2</v>
      </c>
      <c r="G784">
        <f t="shared" si="195"/>
        <v>4.89801823246711E-2</v>
      </c>
      <c r="H784">
        <f t="shared" si="196"/>
        <v>64.140076751151398</v>
      </c>
      <c r="I784">
        <f t="shared" si="197"/>
        <v>1.0373696627470148</v>
      </c>
      <c r="J784">
        <f t="shared" si="198"/>
        <v>1.1458232327958409</v>
      </c>
      <c r="K784">
        <f t="shared" si="199"/>
        <v>0.55054381422098608</v>
      </c>
      <c r="L784">
        <f t="shared" si="200"/>
        <v>1.2624636477626947</v>
      </c>
      <c r="M784">
        <f t="shared" si="201"/>
        <v>1.000735913273668</v>
      </c>
      <c r="N784">
        <f t="shared" si="202"/>
        <v>0.99004030291067135</v>
      </c>
      <c r="O784">
        <v>3.562710865874453E-3</v>
      </c>
      <c r="P784">
        <v>6.6780355944332497E-3</v>
      </c>
      <c r="Q784">
        <f t="shared" si="203"/>
        <v>3955.8160393640342</v>
      </c>
      <c r="R784">
        <f t="shared" si="204"/>
        <v>3.9558160393640343</v>
      </c>
    </row>
    <row r="785" spans="1:18" x14ac:dyDescent="0.3">
      <c r="A785">
        <v>1.5680000000000001</v>
      </c>
      <c r="B785" s="4"/>
      <c r="C785">
        <v>-37.019587764683301</v>
      </c>
      <c r="D785">
        <v>1.95</v>
      </c>
      <c r="E785">
        <f t="shared" si="205"/>
        <v>117.09646718834495</v>
      </c>
      <c r="F785">
        <f t="shared" si="194"/>
        <v>1.5836925618310321E-2</v>
      </c>
      <c r="G785">
        <f t="shared" si="195"/>
        <v>4.89801823246711E-2</v>
      </c>
      <c r="H785">
        <f t="shared" si="196"/>
        <v>64.140076751151398</v>
      </c>
      <c r="I785">
        <f t="shared" si="197"/>
        <v>1.0373696627470148</v>
      </c>
      <c r="J785">
        <f t="shared" si="198"/>
        <v>1.1458232327958409</v>
      </c>
      <c r="K785">
        <f t="shared" si="199"/>
        <v>0.55054381422098608</v>
      </c>
      <c r="L785">
        <f t="shared" si="200"/>
        <v>1.2624636477626947</v>
      </c>
      <c r="M785">
        <f t="shared" si="201"/>
        <v>1.0008467032061095</v>
      </c>
      <c r="N785">
        <f t="shared" si="202"/>
        <v>0.99982917828078144</v>
      </c>
      <c r="O785">
        <v>3.556535537459373E-3</v>
      </c>
      <c r="P785">
        <v>6.7030007666118163E-3</v>
      </c>
      <c r="Q785">
        <f t="shared" si="203"/>
        <v>3955.8160393640342</v>
      </c>
      <c r="R785">
        <f t="shared" si="204"/>
        <v>3.9558160393640343</v>
      </c>
    </row>
    <row r="786" spans="1:18" x14ac:dyDescent="0.3">
      <c r="A786">
        <v>1.57</v>
      </c>
      <c r="B786" s="4"/>
      <c r="C786">
        <v>-37.019587764683301</v>
      </c>
      <c r="D786">
        <v>1.95</v>
      </c>
      <c r="E786">
        <f t="shared" si="205"/>
        <v>117.09646718834495</v>
      </c>
      <c r="F786">
        <f t="shared" si="194"/>
        <v>1.5836925618310321E-2</v>
      </c>
      <c r="G786">
        <f t="shared" si="195"/>
        <v>4.89801823246711E-2</v>
      </c>
      <c r="H786">
        <f t="shared" si="196"/>
        <v>64.140076751151398</v>
      </c>
      <c r="I786">
        <f t="shared" si="197"/>
        <v>1.0373696627470148</v>
      </c>
      <c r="J786">
        <f t="shared" si="198"/>
        <v>1.1458232327958409</v>
      </c>
      <c r="K786">
        <f t="shared" si="199"/>
        <v>0.55054381422098608</v>
      </c>
      <c r="L786">
        <f t="shared" si="200"/>
        <v>1.2624636477626947</v>
      </c>
      <c r="M786">
        <f t="shared" si="201"/>
        <v>1.006624406928212</v>
      </c>
      <c r="N786">
        <f t="shared" si="202"/>
        <v>0.99032639138775225</v>
      </c>
      <c r="O786">
        <v>3.6084681499625707E-3</v>
      </c>
      <c r="P786">
        <v>6.665636339122389E-3</v>
      </c>
      <c r="Q786">
        <f t="shared" si="203"/>
        <v>3955.8160393640342</v>
      </c>
      <c r="R786">
        <f t="shared" si="204"/>
        <v>3.9558160393640343</v>
      </c>
    </row>
    <row r="787" spans="1:18" x14ac:dyDescent="0.3">
      <c r="A787">
        <v>1.5720000000000001</v>
      </c>
      <c r="B787" s="4"/>
      <c r="C787">
        <v>-37.019587764683301</v>
      </c>
      <c r="D787">
        <v>1.95</v>
      </c>
      <c r="E787">
        <f t="shared" si="205"/>
        <v>117.09646718834495</v>
      </c>
      <c r="F787">
        <f t="shared" si="194"/>
        <v>1.5836925618310321E-2</v>
      </c>
      <c r="G787">
        <f t="shared" si="195"/>
        <v>4.89801823246711E-2</v>
      </c>
      <c r="H787">
        <f t="shared" si="196"/>
        <v>64.140076751151398</v>
      </c>
      <c r="I787">
        <f t="shared" si="197"/>
        <v>1.0373696627470148</v>
      </c>
      <c r="J787">
        <f t="shared" si="198"/>
        <v>1.1458232327958409</v>
      </c>
      <c r="K787">
        <f t="shared" si="199"/>
        <v>0.55054381422098608</v>
      </c>
      <c r="L787">
        <f t="shared" si="200"/>
        <v>1.2624636477626947</v>
      </c>
      <c r="M787">
        <f t="shared" si="201"/>
        <v>1.0048320848036558</v>
      </c>
      <c r="N787">
        <f t="shared" si="202"/>
        <v>0.99111357763335106</v>
      </c>
      <c r="O787">
        <v>3.6653268479749064E-3</v>
      </c>
      <c r="P787">
        <v>6.6301851207024084E-3</v>
      </c>
      <c r="Q787">
        <f t="shared" si="203"/>
        <v>3955.8160393640342</v>
      </c>
      <c r="R787">
        <f t="shared" si="204"/>
        <v>3.9558160393640343</v>
      </c>
    </row>
    <row r="788" spans="1:18" x14ac:dyDescent="0.3">
      <c r="A788">
        <v>1.5740000000000001</v>
      </c>
      <c r="B788" s="4"/>
      <c r="C788">
        <v>-37.019587764683301</v>
      </c>
      <c r="D788">
        <v>1.95</v>
      </c>
      <c r="E788">
        <f t="shared" si="205"/>
        <v>117.09646718834495</v>
      </c>
      <c r="F788">
        <f t="shared" si="194"/>
        <v>1.5836925618310321E-2</v>
      </c>
      <c r="G788">
        <f t="shared" si="195"/>
        <v>4.89801823246711E-2</v>
      </c>
      <c r="H788">
        <f t="shared" si="196"/>
        <v>64.140076751151398</v>
      </c>
      <c r="I788">
        <f t="shared" si="197"/>
        <v>1.0373696627470148</v>
      </c>
      <c r="J788">
        <f t="shared" si="198"/>
        <v>1.1458232327958409</v>
      </c>
      <c r="K788">
        <f t="shared" si="199"/>
        <v>0.55054381422098608</v>
      </c>
      <c r="L788">
        <f t="shared" si="200"/>
        <v>1.2624636477626947</v>
      </c>
      <c r="M788">
        <f t="shared" si="201"/>
        <v>1.0027914403772877</v>
      </c>
      <c r="N788">
        <f t="shared" si="202"/>
        <v>0.99224208239060141</v>
      </c>
      <c r="O788">
        <v>3.7534199577009958E-3</v>
      </c>
      <c r="P788">
        <v>6.5754532250421223E-3</v>
      </c>
      <c r="Q788">
        <f t="shared" si="203"/>
        <v>3955.8160393640342</v>
      </c>
      <c r="R788">
        <f t="shared" si="204"/>
        <v>3.9558160393640343</v>
      </c>
    </row>
    <row r="789" spans="1:18" x14ac:dyDescent="0.3">
      <c r="A789">
        <v>1.5760000000000001</v>
      </c>
      <c r="B789" s="4"/>
      <c r="C789">
        <v>-37.019587764683301</v>
      </c>
      <c r="D789">
        <v>1.95</v>
      </c>
      <c r="E789">
        <f t="shared" si="205"/>
        <v>117.09646718834495</v>
      </c>
      <c r="F789">
        <f t="shared" si="194"/>
        <v>1.5836925618310321E-2</v>
      </c>
      <c r="G789">
        <f t="shared" si="195"/>
        <v>4.89801823246711E-2</v>
      </c>
      <c r="H789">
        <f t="shared" si="196"/>
        <v>64.140076751151398</v>
      </c>
      <c r="I789">
        <f t="shared" si="197"/>
        <v>1.0373696627470148</v>
      </c>
      <c r="J789">
        <f t="shared" si="198"/>
        <v>1.1458232327958409</v>
      </c>
      <c r="K789">
        <f t="shared" si="199"/>
        <v>0.55054381422098608</v>
      </c>
      <c r="L789">
        <f t="shared" si="200"/>
        <v>1.2624636477626947</v>
      </c>
      <c r="M789">
        <f t="shared" si="201"/>
        <v>1.0009346671230881</v>
      </c>
      <c r="N789">
        <f t="shared" si="202"/>
        <v>0.99360354410852203</v>
      </c>
      <c r="O789">
        <v>3.8708038547676776E-3</v>
      </c>
      <c r="P789">
        <v>6.501753004712155E-3</v>
      </c>
      <c r="Q789">
        <f t="shared" si="203"/>
        <v>3955.8160393640342</v>
      </c>
      <c r="R789">
        <f t="shared" si="204"/>
        <v>3.9558160393640343</v>
      </c>
    </row>
    <row r="790" spans="1:18" x14ac:dyDescent="0.3">
      <c r="A790">
        <v>1.5780000000000001</v>
      </c>
      <c r="B790" s="4"/>
      <c r="C790">
        <v>-37.019587764683301</v>
      </c>
      <c r="D790">
        <v>1.95</v>
      </c>
      <c r="E790">
        <f t="shared" si="205"/>
        <v>117.09646718834495</v>
      </c>
      <c r="F790">
        <f t="shared" si="194"/>
        <v>1.5836925618310321E-2</v>
      </c>
      <c r="G790">
        <f t="shared" si="195"/>
        <v>4.89801823246711E-2</v>
      </c>
      <c r="H790">
        <f t="shared" si="196"/>
        <v>64.140076751151398</v>
      </c>
      <c r="I790">
        <f t="shared" si="197"/>
        <v>1.0373696627470148</v>
      </c>
      <c r="J790">
        <f t="shared" si="198"/>
        <v>1.1458232327958409</v>
      </c>
      <c r="K790">
        <f t="shared" si="199"/>
        <v>0.55054381422098608</v>
      </c>
      <c r="L790">
        <f t="shared" si="200"/>
        <v>1.2624636477626947</v>
      </c>
      <c r="M790">
        <f t="shared" si="201"/>
        <v>0.9994845609397589</v>
      </c>
      <c r="N790">
        <f t="shared" si="202"/>
        <v>0.99506912568888839</v>
      </c>
      <c r="O790">
        <v>4.013914009508927E-3</v>
      </c>
      <c r="P790">
        <v>6.409535009428838E-3</v>
      </c>
      <c r="Q790">
        <f t="shared" si="203"/>
        <v>3955.8160393640342</v>
      </c>
      <c r="R790">
        <f t="shared" si="204"/>
        <v>3.9558160393640343</v>
      </c>
    </row>
    <row r="791" spans="1:18" x14ac:dyDescent="0.3">
      <c r="A791">
        <v>1.58</v>
      </c>
      <c r="B791" s="4"/>
      <c r="C791">
        <v>-37.019587764683301</v>
      </c>
      <c r="D791">
        <v>1.95</v>
      </c>
      <c r="E791">
        <f t="shared" si="205"/>
        <v>117.09646718834495</v>
      </c>
      <c r="F791">
        <f t="shared" si="194"/>
        <v>1.5836925618310321E-2</v>
      </c>
      <c r="G791">
        <f t="shared" si="195"/>
        <v>4.89801823246711E-2</v>
      </c>
      <c r="H791">
        <f t="shared" si="196"/>
        <v>64.140076751151398</v>
      </c>
      <c r="I791">
        <f t="shared" si="197"/>
        <v>1.0373696627470148</v>
      </c>
      <c r="J791">
        <f t="shared" si="198"/>
        <v>1.1458232327958409</v>
      </c>
      <c r="K791">
        <f t="shared" si="199"/>
        <v>0.55054381422098608</v>
      </c>
      <c r="L791">
        <f t="shared" si="200"/>
        <v>1.2624636477626947</v>
      </c>
      <c r="M791">
        <f t="shared" si="201"/>
        <v>1.0004139222790225</v>
      </c>
      <c r="N791">
        <f t="shared" si="202"/>
        <v>0.99650397613805364</v>
      </c>
      <c r="O791">
        <v>4.1846443212850554E-3</v>
      </c>
      <c r="P791">
        <v>6.299412241415398E-3</v>
      </c>
      <c r="Q791">
        <f t="shared" si="203"/>
        <v>3955.8160393640342</v>
      </c>
      <c r="R791">
        <f t="shared" si="204"/>
        <v>3.9558160393640343</v>
      </c>
    </row>
    <row r="792" spans="1:18" x14ac:dyDescent="0.3">
      <c r="A792">
        <v>1.5820000000000001</v>
      </c>
      <c r="B792" s="4"/>
      <c r="C792">
        <v>-37.019587764683301</v>
      </c>
      <c r="D792">
        <v>1.95</v>
      </c>
      <c r="E792">
        <f t="shared" si="205"/>
        <v>117.09646718834495</v>
      </c>
      <c r="F792">
        <f t="shared" si="194"/>
        <v>1.5836925618310321E-2</v>
      </c>
      <c r="G792">
        <f t="shared" si="195"/>
        <v>4.89801823246711E-2</v>
      </c>
      <c r="H792">
        <f t="shared" si="196"/>
        <v>64.140076751151398</v>
      </c>
      <c r="I792">
        <f t="shared" si="197"/>
        <v>1.0373696627470148</v>
      </c>
      <c r="J792">
        <f t="shared" si="198"/>
        <v>1.1458232327958409</v>
      </c>
      <c r="K792">
        <f t="shared" si="199"/>
        <v>0.55054381422098608</v>
      </c>
      <c r="L792">
        <f t="shared" si="200"/>
        <v>1.2624636477626947</v>
      </c>
      <c r="M792">
        <f t="shared" si="201"/>
        <v>1.0031930723646409</v>
      </c>
      <c r="N792">
        <f t="shared" si="202"/>
        <v>0.9977831221076453</v>
      </c>
      <c r="O792">
        <v>4.3756960690269986E-3</v>
      </c>
      <c r="P792">
        <v>6.1721899641362455E-3</v>
      </c>
      <c r="Q792">
        <f t="shared" si="203"/>
        <v>3955.8160393640342</v>
      </c>
      <c r="R792">
        <f t="shared" si="204"/>
        <v>3.9558160393640343</v>
      </c>
    </row>
    <row r="793" spans="1:18" x14ac:dyDescent="0.3">
      <c r="A793">
        <v>1.5840000000000001</v>
      </c>
      <c r="B793" s="4"/>
      <c r="C793">
        <v>-37.019587764683301</v>
      </c>
      <c r="D793">
        <v>1.95</v>
      </c>
      <c r="E793">
        <f t="shared" si="205"/>
        <v>117.09646718834495</v>
      </c>
      <c r="F793">
        <f t="shared" si="194"/>
        <v>1.5836925618310321E-2</v>
      </c>
      <c r="G793">
        <f t="shared" si="195"/>
        <v>4.89801823246711E-2</v>
      </c>
      <c r="H793">
        <f t="shared" si="196"/>
        <v>64.140076751151398</v>
      </c>
      <c r="I793">
        <f t="shared" si="197"/>
        <v>1.0373696627470148</v>
      </c>
      <c r="J793">
        <f t="shared" si="198"/>
        <v>1.1458232327958409</v>
      </c>
      <c r="K793">
        <f t="shared" si="199"/>
        <v>0.55054381422098608</v>
      </c>
      <c r="L793">
        <f t="shared" si="200"/>
        <v>1.2624636477626947</v>
      </c>
      <c r="M793">
        <f t="shared" si="201"/>
        <v>1.0009940021835511</v>
      </c>
      <c r="N793">
        <f t="shared" si="202"/>
        <v>0.99880719918940919</v>
      </c>
      <c r="O793">
        <v>4.5608144459189518E-3</v>
      </c>
      <c r="P793">
        <v>6.0289001754050336E-3</v>
      </c>
      <c r="Q793">
        <f t="shared" si="203"/>
        <v>3955.8160393640342</v>
      </c>
      <c r="R793">
        <f t="shared" si="204"/>
        <v>3.9558160393640343</v>
      </c>
    </row>
    <row r="794" spans="1:18" x14ac:dyDescent="0.3">
      <c r="A794">
        <v>1.5860000000000001</v>
      </c>
      <c r="B794" s="4"/>
      <c r="C794">
        <v>-37.019587764683301</v>
      </c>
      <c r="D794">
        <v>1.95</v>
      </c>
      <c r="E794">
        <f t="shared" si="205"/>
        <v>117.09646718834495</v>
      </c>
      <c r="F794">
        <f t="shared" si="194"/>
        <v>1.5836925618310321E-2</v>
      </c>
      <c r="G794">
        <f t="shared" si="195"/>
        <v>4.89801823246711E-2</v>
      </c>
      <c r="H794">
        <f t="shared" si="196"/>
        <v>64.140076751151398</v>
      </c>
      <c r="I794">
        <f t="shared" si="197"/>
        <v>1.0373696627470148</v>
      </c>
      <c r="J794">
        <f t="shared" si="198"/>
        <v>1.1458232327958409</v>
      </c>
      <c r="K794">
        <f t="shared" si="199"/>
        <v>0.55054381422098608</v>
      </c>
      <c r="L794">
        <f t="shared" si="200"/>
        <v>1.2624636477626947</v>
      </c>
      <c r="M794">
        <f t="shared" si="201"/>
        <v>1.0066187077345832</v>
      </c>
      <c r="N794">
        <f t="shared" si="202"/>
        <v>0.9995162103701547</v>
      </c>
      <c r="O794">
        <v>4.7759395661047671E-3</v>
      </c>
      <c r="P794">
        <v>5.8708393417900642E-3</v>
      </c>
      <c r="Q794">
        <f t="shared" si="203"/>
        <v>3955.8160393640342</v>
      </c>
      <c r="R794">
        <f t="shared" si="204"/>
        <v>3.9558160393640343</v>
      </c>
    </row>
    <row r="795" spans="1:18" x14ac:dyDescent="0.3">
      <c r="A795">
        <v>1.5880000000000001</v>
      </c>
      <c r="B795" s="4"/>
      <c r="C795">
        <v>-37.019587764683301</v>
      </c>
      <c r="D795">
        <v>1.95</v>
      </c>
      <c r="E795">
        <f t="shared" si="205"/>
        <v>117.09646718834495</v>
      </c>
      <c r="F795">
        <f t="shared" si="194"/>
        <v>1.5836925618310321E-2</v>
      </c>
      <c r="G795">
        <f t="shared" si="195"/>
        <v>4.89801823246711E-2</v>
      </c>
      <c r="H795">
        <f t="shared" si="196"/>
        <v>64.140076751151398</v>
      </c>
      <c r="I795">
        <f t="shared" si="197"/>
        <v>1.0373696627470148</v>
      </c>
      <c r="J795">
        <f t="shared" si="198"/>
        <v>1.1458232327958409</v>
      </c>
      <c r="K795">
        <f t="shared" si="199"/>
        <v>0.55054381422098608</v>
      </c>
      <c r="L795">
        <f t="shared" si="200"/>
        <v>1.2624636477626947</v>
      </c>
      <c r="M795">
        <f t="shared" si="201"/>
        <v>0.99923100252688357</v>
      </c>
      <c r="N795">
        <f t="shared" si="202"/>
        <v>1.0066952590749079</v>
      </c>
      <c r="O795">
        <v>4.9550824724506797E-3</v>
      </c>
      <c r="P795">
        <v>5.7166505904129609E-3</v>
      </c>
      <c r="Q795">
        <f t="shared" si="203"/>
        <v>3955.8160393640342</v>
      </c>
      <c r="R795">
        <f t="shared" si="204"/>
        <v>3.9558160393640343</v>
      </c>
    </row>
    <row r="796" spans="1:18" x14ac:dyDescent="0.3">
      <c r="A796">
        <v>1.59</v>
      </c>
      <c r="B796" s="4"/>
      <c r="C796">
        <v>-37.019587764683301</v>
      </c>
      <c r="D796">
        <v>1.95</v>
      </c>
      <c r="E796">
        <f t="shared" si="205"/>
        <v>117.09646718834495</v>
      </c>
      <c r="F796">
        <f t="shared" si="194"/>
        <v>1.5836925618310321E-2</v>
      </c>
      <c r="G796">
        <f t="shared" si="195"/>
        <v>4.89801823246711E-2</v>
      </c>
      <c r="H796">
        <f t="shared" si="196"/>
        <v>64.140076751151398</v>
      </c>
      <c r="I796">
        <f t="shared" si="197"/>
        <v>1.0373696627470148</v>
      </c>
      <c r="J796">
        <f t="shared" si="198"/>
        <v>1.1458232327958409</v>
      </c>
      <c r="K796">
        <f t="shared" si="199"/>
        <v>0.55054381422098608</v>
      </c>
      <c r="L796">
        <f t="shared" si="200"/>
        <v>1.2624636477626947</v>
      </c>
      <c r="M796">
        <f t="shared" si="201"/>
        <v>0.99801485252158406</v>
      </c>
      <c r="N796">
        <f t="shared" si="202"/>
        <v>1.0052019302119286</v>
      </c>
      <c r="O796">
        <v>5.152030457556773E-3</v>
      </c>
      <c r="P796">
        <v>5.5305989827073481E-3</v>
      </c>
      <c r="Q796">
        <f t="shared" si="203"/>
        <v>3955.8160393640342</v>
      </c>
      <c r="R796">
        <f t="shared" si="204"/>
        <v>3.9558160393640343</v>
      </c>
    </row>
    <row r="797" spans="1:18" x14ac:dyDescent="0.3">
      <c r="A797">
        <v>1.5920000000000001</v>
      </c>
      <c r="B797" s="4"/>
      <c r="C797">
        <v>-37.019587764683301</v>
      </c>
      <c r="D797">
        <v>1.95</v>
      </c>
      <c r="E797">
        <f t="shared" si="205"/>
        <v>117.09646718834495</v>
      </c>
      <c r="F797">
        <f t="shared" si="194"/>
        <v>1.5836925618310321E-2</v>
      </c>
      <c r="G797">
        <f t="shared" si="195"/>
        <v>4.89801823246711E-2</v>
      </c>
      <c r="H797">
        <f t="shared" si="196"/>
        <v>64.140076751151398</v>
      </c>
      <c r="I797">
        <f t="shared" si="197"/>
        <v>1.0373696627470148</v>
      </c>
      <c r="J797">
        <f t="shared" si="198"/>
        <v>1.1458232327958409</v>
      </c>
      <c r="K797">
        <f t="shared" si="199"/>
        <v>0.55054381422098608</v>
      </c>
      <c r="L797">
        <f t="shared" si="200"/>
        <v>1.2624636477626947</v>
      </c>
      <c r="M797">
        <f t="shared" si="201"/>
        <v>1.0013929586668826</v>
      </c>
      <c r="N797">
        <f t="shared" si="202"/>
        <v>0.99820224311506456</v>
      </c>
      <c r="O797">
        <v>5.3576843002134961E-3</v>
      </c>
      <c r="P797">
        <v>5.3211915930864205E-3</v>
      </c>
      <c r="Q797">
        <f t="shared" si="203"/>
        <v>3955.8160393640342</v>
      </c>
      <c r="R797">
        <f t="shared" si="204"/>
        <v>3.9558160393640343</v>
      </c>
    </row>
    <row r="798" spans="1:18" x14ac:dyDescent="0.3">
      <c r="A798">
        <v>1.5940000000000001</v>
      </c>
      <c r="B798" s="4"/>
      <c r="C798">
        <v>-37.019587764683301</v>
      </c>
      <c r="D798">
        <v>1.95</v>
      </c>
      <c r="E798">
        <f t="shared" si="205"/>
        <v>117.09646718834495</v>
      </c>
      <c r="F798">
        <f t="shared" si="194"/>
        <v>1.5836925618310321E-2</v>
      </c>
      <c r="G798">
        <f t="shared" si="195"/>
        <v>4.89801823246711E-2</v>
      </c>
      <c r="H798">
        <f t="shared" si="196"/>
        <v>64.140076751151398</v>
      </c>
      <c r="I798">
        <f t="shared" si="197"/>
        <v>1.0373696627470148</v>
      </c>
      <c r="J798">
        <f t="shared" si="198"/>
        <v>1.1458232327958409</v>
      </c>
      <c r="K798">
        <f t="shared" si="199"/>
        <v>0.55054381422098608</v>
      </c>
      <c r="L798">
        <f t="shared" si="200"/>
        <v>1.2624636477626947</v>
      </c>
      <c r="M798">
        <f t="shared" si="201"/>
        <v>1.0096231951843422</v>
      </c>
      <c r="N798">
        <f t="shared" si="202"/>
        <v>0.9993078372692844</v>
      </c>
      <c r="O798">
        <v>5.5687915422170699E-3</v>
      </c>
      <c r="P798">
        <v>5.1269090649593849E-3</v>
      </c>
      <c r="Q798">
        <f t="shared" si="203"/>
        <v>3955.8160393640342</v>
      </c>
      <c r="R798">
        <f t="shared" si="204"/>
        <v>3.9558160393640343</v>
      </c>
    </row>
    <row r="799" spans="1:18" x14ac:dyDescent="0.3">
      <c r="A799">
        <v>1.5960000000000001</v>
      </c>
      <c r="B799" s="4"/>
      <c r="C799">
        <v>-37.019587764683301</v>
      </c>
      <c r="D799">
        <v>1.95</v>
      </c>
      <c r="E799">
        <f t="shared" si="205"/>
        <v>117.09646718834495</v>
      </c>
      <c r="F799">
        <f t="shared" si="194"/>
        <v>1.5836925618310321E-2</v>
      </c>
      <c r="G799">
        <f t="shared" si="195"/>
        <v>4.89801823246711E-2</v>
      </c>
      <c r="H799">
        <f t="shared" si="196"/>
        <v>64.140076751151398</v>
      </c>
      <c r="I799">
        <f t="shared" si="197"/>
        <v>1.0373696627470148</v>
      </c>
      <c r="J799">
        <f t="shared" si="198"/>
        <v>1.1458232327958409</v>
      </c>
      <c r="K799">
        <f t="shared" si="199"/>
        <v>0.55054381422098608</v>
      </c>
      <c r="L799">
        <f t="shared" si="200"/>
        <v>1.2624636477626947</v>
      </c>
      <c r="M799">
        <f t="shared" si="201"/>
        <v>0.99922871197868257</v>
      </c>
      <c r="N799">
        <f t="shared" si="202"/>
        <v>1.0062483489368999</v>
      </c>
      <c r="O799">
        <v>5.7234321867135852E-3</v>
      </c>
      <c r="P799">
        <v>4.9462653769460976E-3</v>
      </c>
      <c r="Q799">
        <f t="shared" si="203"/>
        <v>3955.8160393640342</v>
      </c>
      <c r="R799">
        <f t="shared" si="204"/>
        <v>3.9558160393640343</v>
      </c>
    </row>
    <row r="800" spans="1:18" x14ac:dyDescent="0.3">
      <c r="A800">
        <v>1.5980000000000001</v>
      </c>
      <c r="B800" s="4"/>
      <c r="C800">
        <v>-37.019587764683301</v>
      </c>
      <c r="D800">
        <v>1.95</v>
      </c>
      <c r="E800">
        <f t="shared" si="205"/>
        <v>117.09646718834495</v>
      </c>
      <c r="F800">
        <f t="shared" si="194"/>
        <v>1.5836925618310321E-2</v>
      </c>
      <c r="G800">
        <f t="shared" si="195"/>
        <v>4.89801823246711E-2</v>
      </c>
      <c r="H800">
        <f t="shared" si="196"/>
        <v>64.140076751151398</v>
      </c>
      <c r="I800">
        <f t="shared" si="197"/>
        <v>1.0373696627470148</v>
      </c>
      <c r="J800">
        <f t="shared" si="198"/>
        <v>1.1458232327958409</v>
      </c>
      <c r="K800">
        <f t="shared" si="199"/>
        <v>0.55054381422098608</v>
      </c>
      <c r="L800">
        <f t="shared" si="200"/>
        <v>1.2624636477626947</v>
      </c>
      <c r="M800">
        <f t="shared" si="201"/>
        <v>0.99823306012815682</v>
      </c>
      <c r="N800">
        <f t="shared" si="202"/>
        <v>1.0007116683760913</v>
      </c>
      <c r="O800">
        <v>5.8915399282874446E-3</v>
      </c>
      <c r="P800">
        <v>4.7295508759196744E-3</v>
      </c>
      <c r="Q800">
        <f t="shared" si="203"/>
        <v>3955.8160393640342</v>
      </c>
      <c r="R800">
        <f t="shared" si="204"/>
        <v>3.9558160393640343</v>
      </c>
    </row>
    <row r="801" spans="1:18" x14ac:dyDescent="0.3">
      <c r="A801">
        <v>1.6</v>
      </c>
      <c r="B801" s="4"/>
      <c r="C801">
        <v>-37.019587764683301</v>
      </c>
      <c r="D801">
        <v>1.95</v>
      </c>
      <c r="E801">
        <f t="shared" si="205"/>
        <v>117.09646718834495</v>
      </c>
      <c r="F801">
        <f t="shared" si="194"/>
        <v>1.5836925618310321E-2</v>
      </c>
      <c r="G801">
        <f t="shared" si="195"/>
        <v>4.89801823246711E-2</v>
      </c>
      <c r="H801">
        <f t="shared" si="196"/>
        <v>64.140076751151398</v>
      </c>
      <c r="I801">
        <f t="shared" si="197"/>
        <v>1.0373696627470148</v>
      </c>
      <c r="J801">
        <f t="shared" si="198"/>
        <v>1.1458232327958409</v>
      </c>
      <c r="K801">
        <f t="shared" si="199"/>
        <v>0.55054381422098608</v>
      </c>
      <c r="L801">
        <f t="shared" si="200"/>
        <v>1.2624636477626947</v>
      </c>
      <c r="M801">
        <f t="shared" si="201"/>
        <v>0.99680510291771496</v>
      </c>
      <c r="N801">
        <f t="shared" si="202"/>
        <v>1.0030871736495059</v>
      </c>
      <c r="O801">
        <v>6.046036930909179E-3</v>
      </c>
      <c r="P801">
        <v>4.5391743187454857E-3</v>
      </c>
      <c r="Q801">
        <f t="shared" si="203"/>
        <v>3955.8160393640342</v>
      </c>
      <c r="R801">
        <f t="shared" si="204"/>
        <v>3.9558160393640343</v>
      </c>
    </row>
    <row r="802" spans="1:18" x14ac:dyDescent="0.3">
      <c r="A802">
        <v>1.6020000000000001</v>
      </c>
      <c r="B802" s="4"/>
      <c r="C802">
        <v>-37.019587764683301</v>
      </c>
      <c r="D802">
        <v>1.95</v>
      </c>
      <c r="E802">
        <f t="shared" si="205"/>
        <v>117.09646718834495</v>
      </c>
      <c r="F802">
        <f t="shared" si="194"/>
        <v>1.5836925618310321E-2</v>
      </c>
      <c r="G802">
        <f t="shared" si="195"/>
        <v>4.89801823246711E-2</v>
      </c>
      <c r="H802">
        <f t="shared" si="196"/>
        <v>64.140076751151398</v>
      </c>
      <c r="I802">
        <f t="shared" si="197"/>
        <v>1.0373696627470148</v>
      </c>
      <c r="J802">
        <f t="shared" si="198"/>
        <v>1.1458232327958409</v>
      </c>
      <c r="K802">
        <f t="shared" si="199"/>
        <v>0.55054381422098608</v>
      </c>
      <c r="L802">
        <f t="shared" si="200"/>
        <v>1.2624636477626947</v>
      </c>
      <c r="M802">
        <f t="shared" si="201"/>
        <v>0.99500219632698927</v>
      </c>
      <c r="N802">
        <f t="shared" si="202"/>
        <v>1.0003139983806579</v>
      </c>
      <c r="O802">
        <v>6.1854623692344669E-3</v>
      </c>
      <c r="P802">
        <v>4.3394304351894114E-3</v>
      </c>
      <c r="Q802">
        <f t="shared" si="203"/>
        <v>3955.8160393640342</v>
      </c>
      <c r="R802">
        <f t="shared" si="204"/>
        <v>3.9558160393640343</v>
      </c>
    </row>
    <row r="803" spans="1:18" x14ac:dyDescent="0.3">
      <c r="A803">
        <v>1.6040000000000001</v>
      </c>
      <c r="B803" s="4"/>
      <c r="C803">
        <v>-37.019587764683301</v>
      </c>
      <c r="D803">
        <v>1.95</v>
      </c>
      <c r="E803">
        <f t="shared" si="205"/>
        <v>117.09646718834495</v>
      </c>
      <c r="F803">
        <f t="shared" si="194"/>
        <v>1.5836925618310321E-2</v>
      </c>
      <c r="G803">
        <f t="shared" si="195"/>
        <v>4.89801823246711E-2</v>
      </c>
      <c r="H803">
        <f t="shared" si="196"/>
        <v>64.140076751151398</v>
      </c>
      <c r="I803">
        <f t="shared" si="197"/>
        <v>1.0373696627470148</v>
      </c>
      <c r="J803">
        <f t="shared" si="198"/>
        <v>1.1458232327958409</v>
      </c>
      <c r="K803">
        <f t="shared" si="199"/>
        <v>0.55054381422098608</v>
      </c>
      <c r="L803">
        <f t="shared" si="200"/>
        <v>1.2624636477626947</v>
      </c>
      <c r="M803">
        <f t="shared" si="201"/>
        <v>0.99293355016053308</v>
      </c>
      <c r="N803">
        <f t="shared" si="202"/>
        <v>1.0063603838951729</v>
      </c>
      <c r="O803">
        <v>6.3086515241929089E-3</v>
      </c>
      <c r="P803">
        <v>4.1796129716643315E-3</v>
      </c>
      <c r="Q803">
        <f t="shared" si="203"/>
        <v>3955.8160393640342</v>
      </c>
      <c r="R803">
        <f t="shared" si="204"/>
        <v>3.9558160393640343</v>
      </c>
    </row>
    <row r="804" spans="1:18" x14ac:dyDescent="0.3">
      <c r="A804">
        <v>1.6060000000000001</v>
      </c>
      <c r="B804" s="4"/>
      <c r="C804">
        <v>-37.019587764683301</v>
      </c>
      <c r="D804">
        <v>1.95</v>
      </c>
      <c r="E804">
        <f t="shared" si="205"/>
        <v>117.09646718834495</v>
      </c>
      <c r="F804">
        <f t="shared" si="194"/>
        <v>1.5836925618310321E-2</v>
      </c>
      <c r="G804">
        <f t="shared" si="195"/>
        <v>4.89801823246711E-2</v>
      </c>
      <c r="H804">
        <f t="shared" si="196"/>
        <v>64.140076751151398</v>
      </c>
      <c r="I804">
        <f t="shared" si="197"/>
        <v>1.0373696627470148</v>
      </c>
      <c r="J804">
        <f t="shared" si="198"/>
        <v>1.1458232327958409</v>
      </c>
      <c r="K804">
        <f t="shared" si="199"/>
        <v>0.55054381422098608</v>
      </c>
      <c r="L804">
        <f t="shared" si="200"/>
        <v>1.2624636477626947</v>
      </c>
      <c r="M804">
        <f t="shared" si="201"/>
        <v>0.99074674247516015</v>
      </c>
      <c r="N804">
        <f t="shared" si="202"/>
        <v>1.0014421590773379</v>
      </c>
      <c r="O804">
        <v>6.4146928342012806E-3</v>
      </c>
      <c r="P804">
        <v>3.9981395383527699E-3</v>
      </c>
      <c r="Q804">
        <f t="shared" si="203"/>
        <v>3955.8160393640342</v>
      </c>
      <c r="R804">
        <f t="shared" si="204"/>
        <v>3.9558160393640343</v>
      </c>
    </row>
    <row r="805" spans="1:18" x14ac:dyDescent="0.3">
      <c r="A805">
        <v>1.6080000000000001</v>
      </c>
      <c r="B805" s="4"/>
      <c r="C805">
        <v>-37.019587764683301</v>
      </c>
      <c r="D805">
        <v>1.95</v>
      </c>
      <c r="E805">
        <f t="shared" si="205"/>
        <v>117.09646718834495</v>
      </c>
      <c r="F805">
        <f t="shared" si="194"/>
        <v>1.5836925618310321E-2</v>
      </c>
      <c r="G805">
        <f t="shared" si="195"/>
        <v>4.89801823246711E-2</v>
      </c>
      <c r="H805">
        <f t="shared" si="196"/>
        <v>64.140076751151398</v>
      </c>
      <c r="I805">
        <f t="shared" si="197"/>
        <v>1.0373696627470148</v>
      </c>
      <c r="J805">
        <f t="shared" si="198"/>
        <v>1.1458232327958409</v>
      </c>
      <c r="K805">
        <f t="shared" si="199"/>
        <v>0.55054381422098608</v>
      </c>
      <c r="L805">
        <f t="shared" si="200"/>
        <v>1.2624636477626947</v>
      </c>
      <c r="M805">
        <f t="shared" si="201"/>
        <v>0.99978420421570102</v>
      </c>
      <c r="N805">
        <f t="shared" si="202"/>
        <v>1.0040489712680607</v>
      </c>
      <c r="O805">
        <v>6.5276907761934681E-3</v>
      </c>
      <c r="P805">
        <v>3.8626646814587857E-3</v>
      </c>
      <c r="Q805">
        <f t="shared" si="203"/>
        <v>3955.8160393640342</v>
      </c>
      <c r="R805">
        <f t="shared" si="204"/>
        <v>3.9558160393640343</v>
      </c>
    </row>
    <row r="806" spans="1:18" x14ac:dyDescent="0.3">
      <c r="A806">
        <v>1.61</v>
      </c>
      <c r="B806" s="4"/>
      <c r="C806">
        <v>-37.019587764683301</v>
      </c>
      <c r="D806">
        <v>1.95</v>
      </c>
      <c r="E806">
        <f t="shared" si="205"/>
        <v>117.09646718834495</v>
      </c>
      <c r="F806">
        <f t="shared" si="194"/>
        <v>1.5836925618310321E-2</v>
      </c>
      <c r="G806">
        <f t="shared" si="195"/>
        <v>4.89801823246711E-2</v>
      </c>
      <c r="H806">
        <f t="shared" si="196"/>
        <v>64.140076751151398</v>
      </c>
      <c r="I806">
        <f t="shared" si="197"/>
        <v>1.0373696627470148</v>
      </c>
      <c r="J806">
        <f t="shared" si="198"/>
        <v>1.1458232327958409</v>
      </c>
      <c r="K806">
        <f t="shared" si="199"/>
        <v>0.55054381422098608</v>
      </c>
      <c r="L806">
        <f t="shared" si="200"/>
        <v>1.2624636477626947</v>
      </c>
      <c r="M806">
        <f t="shared" si="201"/>
        <v>0.99972638615410525</v>
      </c>
      <c r="N806">
        <f t="shared" si="202"/>
        <v>1.0080375276423632</v>
      </c>
      <c r="O806">
        <v>6.6013464739648579E-3</v>
      </c>
      <c r="P806">
        <v>3.7574298432133889E-3</v>
      </c>
      <c r="Q806">
        <f t="shared" si="203"/>
        <v>3955.8160393640342</v>
      </c>
      <c r="R806">
        <f t="shared" si="204"/>
        <v>3.9558160393640343</v>
      </c>
    </row>
    <row r="807" spans="1:18" x14ac:dyDescent="0.3">
      <c r="A807">
        <v>1.6120000000000001</v>
      </c>
      <c r="B807" s="4">
        <v>65</v>
      </c>
      <c r="C807">
        <v>-36.4910444811727</v>
      </c>
      <c r="D807">
        <v>1.95</v>
      </c>
      <c r="E807">
        <f>$E$806+$R$806</f>
        <v>121.05228322770898</v>
      </c>
      <c r="F807">
        <f t="shared" si="194"/>
        <v>1.6102209520061622E-2</v>
      </c>
      <c r="G807">
        <f t="shared" si="195"/>
        <v>4.9800648000190587E-2</v>
      </c>
      <c r="H807">
        <f t="shared" si="196"/>
        <v>63.083368987041503</v>
      </c>
      <c r="I807">
        <f t="shared" si="197"/>
        <v>1.0361375536461086</v>
      </c>
      <c r="J807">
        <f t="shared" si="198"/>
        <v>1.1408964079395474</v>
      </c>
      <c r="K807">
        <f t="shared" si="199"/>
        <v>0.55158533781809416</v>
      </c>
      <c r="L807">
        <f t="shared" si="200"/>
        <v>1.2606876805288154</v>
      </c>
      <c r="M807">
        <f t="shared" si="201"/>
        <v>1.0047570156330086</v>
      </c>
      <c r="N807">
        <f t="shared" si="202"/>
        <v>0.99933439039843597</v>
      </c>
      <c r="O807">
        <v>4.7173288348280927E-3</v>
      </c>
      <c r="P807">
        <v>5.9208703056672094E-3</v>
      </c>
      <c r="Q807">
        <f t="shared" si="203"/>
        <v>3973.5414860639453</v>
      </c>
      <c r="R807">
        <f t="shared" si="204"/>
        <v>3.9735414860639451</v>
      </c>
    </row>
    <row r="808" spans="1:18" x14ac:dyDescent="0.3">
      <c r="A808">
        <v>1.6140000000000001</v>
      </c>
      <c r="B808" s="4"/>
      <c r="C808">
        <v>-36.4910444811727</v>
      </c>
      <c r="D808">
        <v>1.95</v>
      </c>
      <c r="E808">
        <f t="shared" ref="E808:E830" si="206">$E$806+$R$806</f>
        <v>121.05228322770898</v>
      </c>
      <c r="F808">
        <f t="shared" si="194"/>
        <v>1.6102209520061622E-2</v>
      </c>
      <c r="G808">
        <f t="shared" si="195"/>
        <v>4.9800648000190587E-2</v>
      </c>
      <c r="H808">
        <f t="shared" si="196"/>
        <v>63.083368987041503</v>
      </c>
      <c r="I808">
        <f t="shared" si="197"/>
        <v>1.0361375536461086</v>
      </c>
      <c r="J808">
        <f t="shared" si="198"/>
        <v>1.1408964079395474</v>
      </c>
      <c r="K808">
        <f t="shared" si="199"/>
        <v>0.55158533781809416</v>
      </c>
      <c r="L808">
        <f t="shared" si="200"/>
        <v>1.2606876805288154</v>
      </c>
      <c r="M808">
        <f t="shared" si="201"/>
        <v>0.99945116533451261</v>
      </c>
      <c r="N808">
        <f t="shared" si="202"/>
        <v>1.0095046047056149</v>
      </c>
      <c r="O808">
        <v>4.8991968095798951E-3</v>
      </c>
      <c r="P808">
        <v>5.7799099068735161E-3</v>
      </c>
      <c r="Q808">
        <f t="shared" si="203"/>
        <v>3973.5414860639453</v>
      </c>
      <c r="R808">
        <f t="shared" si="204"/>
        <v>3.9735414860639451</v>
      </c>
    </row>
    <row r="809" spans="1:18" x14ac:dyDescent="0.3">
      <c r="A809">
        <v>1.6160000000000001</v>
      </c>
      <c r="B809" s="4"/>
      <c r="C809">
        <v>-36.4910444811727</v>
      </c>
      <c r="D809">
        <v>1.95</v>
      </c>
      <c r="E809">
        <f t="shared" si="206"/>
        <v>121.05228322770898</v>
      </c>
      <c r="F809">
        <f t="shared" si="194"/>
        <v>1.6102209520061622E-2</v>
      </c>
      <c r="G809">
        <f t="shared" si="195"/>
        <v>4.9800648000190587E-2</v>
      </c>
      <c r="H809">
        <f t="shared" si="196"/>
        <v>63.083368987041503</v>
      </c>
      <c r="I809">
        <f t="shared" si="197"/>
        <v>1.0361375536461086</v>
      </c>
      <c r="J809">
        <f t="shared" si="198"/>
        <v>1.1408964079395474</v>
      </c>
      <c r="K809">
        <f t="shared" si="199"/>
        <v>0.55158533781809416</v>
      </c>
      <c r="L809">
        <f t="shared" si="200"/>
        <v>1.2606876805288154</v>
      </c>
      <c r="M809">
        <f t="shared" si="201"/>
        <v>0.99845325674942864</v>
      </c>
      <c r="N809">
        <f t="shared" si="202"/>
        <v>1.0016583424605701</v>
      </c>
      <c r="O809">
        <v>5.0943508343151899E-3</v>
      </c>
      <c r="P809">
        <v>5.5835123802779902E-3</v>
      </c>
      <c r="Q809">
        <f t="shared" si="203"/>
        <v>3973.5414860639453</v>
      </c>
      <c r="R809">
        <f t="shared" si="204"/>
        <v>3.9735414860639451</v>
      </c>
    </row>
    <row r="810" spans="1:18" x14ac:dyDescent="0.3">
      <c r="A810">
        <v>1.6180000000000001</v>
      </c>
      <c r="B810" s="4"/>
      <c r="C810">
        <v>-36.4910444811727</v>
      </c>
      <c r="D810">
        <v>1.95</v>
      </c>
      <c r="E810">
        <f t="shared" si="206"/>
        <v>121.05228322770898</v>
      </c>
      <c r="F810">
        <f t="shared" si="194"/>
        <v>1.6102209520061622E-2</v>
      </c>
      <c r="G810">
        <f t="shared" si="195"/>
        <v>4.9800648000190587E-2</v>
      </c>
      <c r="H810">
        <f t="shared" si="196"/>
        <v>63.083368987041503</v>
      </c>
      <c r="I810">
        <f t="shared" si="197"/>
        <v>1.0361375536461086</v>
      </c>
      <c r="J810">
        <f t="shared" si="198"/>
        <v>1.1408964079395474</v>
      </c>
      <c r="K810">
        <f t="shared" si="199"/>
        <v>0.55158533781809416</v>
      </c>
      <c r="L810">
        <f t="shared" si="200"/>
        <v>1.2606876805288154</v>
      </c>
      <c r="M810">
        <f t="shared" si="201"/>
        <v>1.0065406143277678</v>
      </c>
      <c r="N810">
        <f t="shared" si="202"/>
        <v>0.99765876616139082</v>
      </c>
      <c r="O810">
        <v>5.3113407600572666E-3</v>
      </c>
      <c r="P810">
        <v>5.3871780020386317E-3</v>
      </c>
      <c r="Q810">
        <f t="shared" si="203"/>
        <v>3973.5414860639453</v>
      </c>
      <c r="R810">
        <f t="shared" si="204"/>
        <v>3.9735414860639451</v>
      </c>
    </row>
    <row r="811" spans="1:18" x14ac:dyDescent="0.3">
      <c r="A811">
        <v>1.62</v>
      </c>
      <c r="B811" s="4"/>
      <c r="C811">
        <v>-36.4910444811727</v>
      </c>
      <c r="D811">
        <v>1.95</v>
      </c>
      <c r="E811">
        <f t="shared" si="206"/>
        <v>121.05228322770898</v>
      </c>
      <c r="F811">
        <f t="shared" si="194"/>
        <v>1.6102209520061622E-2</v>
      </c>
      <c r="G811">
        <f t="shared" si="195"/>
        <v>4.9800648000190587E-2</v>
      </c>
      <c r="H811">
        <f t="shared" si="196"/>
        <v>63.083368987041503</v>
      </c>
      <c r="I811">
        <f t="shared" si="197"/>
        <v>1.0361375536461086</v>
      </c>
      <c r="J811">
        <f t="shared" si="198"/>
        <v>1.1408964079395474</v>
      </c>
      <c r="K811">
        <f t="shared" si="199"/>
        <v>0.55158533781809416</v>
      </c>
      <c r="L811">
        <f t="shared" si="200"/>
        <v>1.2606876805288154</v>
      </c>
      <c r="M811">
        <f t="shared" si="201"/>
        <v>1.0066191794314729</v>
      </c>
      <c r="N811">
        <f t="shared" si="202"/>
        <v>0.99898307312954937</v>
      </c>
      <c r="O811">
        <v>5.5006131496951769E-3</v>
      </c>
      <c r="P811">
        <v>5.1980488766037117E-3</v>
      </c>
      <c r="Q811">
        <f t="shared" si="203"/>
        <v>3973.5414860639453</v>
      </c>
      <c r="R811">
        <f t="shared" si="204"/>
        <v>3.9735414860639451</v>
      </c>
    </row>
    <row r="812" spans="1:18" x14ac:dyDescent="0.3">
      <c r="A812">
        <v>1.6220000000000001</v>
      </c>
      <c r="B812" s="4"/>
      <c r="C812">
        <v>-36.4910444811727</v>
      </c>
      <c r="D812">
        <v>1.95</v>
      </c>
      <c r="E812">
        <f t="shared" si="206"/>
        <v>121.05228322770898</v>
      </c>
      <c r="F812">
        <f t="shared" si="194"/>
        <v>1.6102209520061622E-2</v>
      </c>
      <c r="G812">
        <f t="shared" si="195"/>
        <v>4.9800648000190587E-2</v>
      </c>
      <c r="H812">
        <f t="shared" si="196"/>
        <v>63.083368987041503</v>
      </c>
      <c r="I812">
        <f t="shared" si="197"/>
        <v>1.0361375536461086</v>
      </c>
      <c r="J812">
        <f t="shared" si="198"/>
        <v>1.1408964079395474</v>
      </c>
      <c r="K812">
        <f t="shared" si="199"/>
        <v>0.55158533781809416</v>
      </c>
      <c r="L812">
        <f t="shared" si="200"/>
        <v>1.2606876805288154</v>
      </c>
      <c r="M812">
        <f t="shared" si="201"/>
        <v>0.99946650946567739</v>
      </c>
      <c r="N812">
        <f t="shared" si="202"/>
        <v>1.0092673917994242</v>
      </c>
      <c r="O812">
        <v>5.6639215492049616E-3</v>
      </c>
      <c r="P812">
        <v>5.0303607783961013E-3</v>
      </c>
      <c r="Q812">
        <f t="shared" si="203"/>
        <v>3973.5414860639453</v>
      </c>
      <c r="R812">
        <f t="shared" si="204"/>
        <v>3.9735414860639451</v>
      </c>
    </row>
    <row r="813" spans="1:18" x14ac:dyDescent="0.3">
      <c r="A813">
        <v>1.6240000000000001</v>
      </c>
      <c r="B813" s="4"/>
      <c r="C813">
        <v>-36.4910444811727</v>
      </c>
      <c r="D813">
        <v>1.95</v>
      </c>
      <c r="E813">
        <f t="shared" si="206"/>
        <v>121.05228322770898</v>
      </c>
      <c r="F813">
        <f t="shared" si="194"/>
        <v>1.6102209520061622E-2</v>
      </c>
      <c r="G813">
        <f t="shared" si="195"/>
        <v>4.9800648000190587E-2</v>
      </c>
      <c r="H813">
        <f t="shared" si="196"/>
        <v>63.083368987041503</v>
      </c>
      <c r="I813">
        <f t="shared" si="197"/>
        <v>1.0361375536461086</v>
      </c>
      <c r="J813">
        <f t="shared" si="198"/>
        <v>1.1408964079395474</v>
      </c>
      <c r="K813">
        <f t="shared" si="199"/>
        <v>0.55158533781809416</v>
      </c>
      <c r="L813">
        <f t="shared" si="200"/>
        <v>1.2606876805288154</v>
      </c>
      <c r="M813">
        <f t="shared" si="201"/>
        <v>0.99863464893062026</v>
      </c>
      <c r="N813">
        <f t="shared" si="202"/>
        <v>1.0024526293310878</v>
      </c>
      <c r="O813">
        <v>5.8339822822431721E-3</v>
      </c>
      <c r="P813">
        <v>4.8130983493475847E-3</v>
      </c>
      <c r="Q813">
        <f t="shared" si="203"/>
        <v>3973.5414860639453</v>
      </c>
      <c r="R813">
        <f t="shared" si="204"/>
        <v>3.9735414860639451</v>
      </c>
    </row>
    <row r="814" spans="1:18" x14ac:dyDescent="0.3">
      <c r="A814">
        <v>1.6259999999999999</v>
      </c>
      <c r="B814" s="4"/>
      <c r="C814">
        <v>-36.4910444811727</v>
      </c>
      <c r="D814">
        <v>1.95</v>
      </c>
      <c r="E814">
        <f t="shared" si="206"/>
        <v>121.05228322770898</v>
      </c>
      <c r="F814">
        <f t="shared" si="194"/>
        <v>1.6102209520061622E-2</v>
      </c>
      <c r="G814">
        <f t="shared" si="195"/>
        <v>4.9800648000190587E-2</v>
      </c>
      <c r="H814">
        <f t="shared" si="196"/>
        <v>63.083368987041503</v>
      </c>
      <c r="I814">
        <f t="shared" si="197"/>
        <v>1.0361375536461086</v>
      </c>
      <c r="J814">
        <f t="shared" si="198"/>
        <v>1.1408964079395474</v>
      </c>
      <c r="K814">
        <f t="shared" si="199"/>
        <v>0.55158533781809416</v>
      </c>
      <c r="L814">
        <f t="shared" si="200"/>
        <v>1.2606876805288154</v>
      </c>
      <c r="M814">
        <f t="shared" si="201"/>
        <v>0.99737562182820061</v>
      </c>
      <c r="N814">
        <f t="shared" si="202"/>
        <v>1.005133539705519</v>
      </c>
      <c r="O814">
        <v>5.9914504904981332E-3</v>
      </c>
      <c r="P814">
        <v>4.6250032755632648E-3</v>
      </c>
      <c r="Q814">
        <f t="shared" si="203"/>
        <v>3973.5414860639453</v>
      </c>
      <c r="R814">
        <f t="shared" si="204"/>
        <v>3.9735414860639451</v>
      </c>
    </row>
    <row r="815" spans="1:18" x14ac:dyDescent="0.3">
      <c r="A815">
        <v>1.6279999999999999</v>
      </c>
      <c r="B815" s="4"/>
      <c r="C815">
        <v>-36.4910444811727</v>
      </c>
      <c r="D815">
        <v>1.95</v>
      </c>
      <c r="E815">
        <f t="shared" si="206"/>
        <v>121.05228322770898</v>
      </c>
      <c r="F815">
        <f t="shared" si="194"/>
        <v>1.6102209520061622E-2</v>
      </c>
      <c r="G815">
        <f t="shared" si="195"/>
        <v>4.9800648000190587E-2</v>
      </c>
      <c r="H815">
        <f t="shared" si="196"/>
        <v>63.083368987041503</v>
      </c>
      <c r="I815">
        <f t="shared" si="197"/>
        <v>1.0361375536461086</v>
      </c>
      <c r="J815">
        <f t="shared" si="198"/>
        <v>1.1408964079395474</v>
      </c>
      <c r="K815">
        <f t="shared" si="199"/>
        <v>0.55158533781809416</v>
      </c>
      <c r="L815">
        <f t="shared" si="200"/>
        <v>1.2606876805288154</v>
      </c>
      <c r="M815">
        <f t="shared" si="201"/>
        <v>0.9957233776293849</v>
      </c>
      <c r="N815">
        <f t="shared" si="202"/>
        <v>1.001107109104447</v>
      </c>
      <c r="O815">
        <v>6.1348218935636306E-3</v>
      </c>
      <c r="P815">
        <v>4.421198588045289E-3</v>
      </c>
      <c r="Q815">
        <f t="shared" si="203"/>
        <v>3973.5414860639453</v>
      </c>
      <c r="R815">
        <f t="shared" si="204"/>
        <v>3.9735414860639451</v>
      </c>
    </row>
    <row r="816" spans="1:18" x14ac:dyDescent="0.3">
      <c r="A816">
        <v>1.63</v>
      </c>
      <c r="B816" s="4"/>
      <c r="C816">
        <v>-36.4910444811727</v>
      </c>
      <c r="D816">
        <v>1.95</v>
      </c>
      <c r="E816">
        <f t="shared" si="206"/>
        <v>121.05228322770898</v>
      </c>
      <c r="F816">
        <f t="shared" si="194"/>
        <v>1.6102209520061622E-2</v>
      </c>
      <c r="G816">
        <f t="shared" si="195"/>
        <v>4.9800648000190587E-2</v>
      </c>
      <c r="H816">
        <f t="shared" si="196"/>
        <v>63.083368987041503</v>
      </c>
      <c r="I816">
        <f t="shared" si="197"/>
        <v>1.0361375536461086</v>
      </c>
      <c r="J816">
        <f t="shared" si="198"/>
        <v>1.1408964079395474</v>
      </c>
      <c r="K816">
        <f t="shared" si="199"/>
        <v>0.55158533781809416</v>
      </c>
      <c r="L816">
        <f t="shared" si="200"/>
        <v>1.2606876805288154</v>
      </c>
      <c r="M816">
        <f t="shared" si="201"/>
        <v>0.99376426544362007</v>
      </c>
      <c r="N816">
        <f t="shared" si="202"/>
        <v>0.99610065027520567</v>
      </c>
      <c r="O816">
        <v>6.2628857948571768E-3</v>
      </c>
      <c r="P816">
        <v>4.2218312845094261E-3</v>
      </c>
      <c r="Q816">
        <f t="shared" si="203"/>
        <v>3973.5414860639453</v>
      </c>
      <c r="R816">
        <f t="shared" si="204"/>
        <v>3.9735414860639451</v>
      </c>
    </row>
    <row r="817" spans="1:18" x14ac:dyDescent="0.3">
      <c r="A817">
        <v>1.6319999999999999</v>
      </c>
      <c r="B817" s="4"/>
      <c r="C817">
        <v>-36.4910444811727</v>
      </c>
      <c r="D817">
        <v>1.95</v>
      </c>
      <c r="E817">
        <f t="shared" si="206"/>
        <v>121.05228322770898</v>
      </c>
      <c r="F817">
        <f t="shared" si="194"/>
        <v>1.6102209520061622E-2</v>
      </c>
      <c r="G817">
        <f t="shared" si="195"/>
        <v>4.9800648000190587E-2</v>
      </c>
      <c r="H817">
        <f t="shared" si="196"/>
        <v>63.083368987041503</v>
      </c>
      <c r="I817">
        <f t="shared" si="197"/>
        <v>1.0361375536461086</v>
      </c>
      <c r="J817">
        <f t="shared" si="198"/>
        <v>1.1408964079395474</v>
      </c>
      <c r="K817">
        <f t="shared" si="199"/>
        <v>0.55158533781809416</v>
      </c>
      <c r="L817">
        <f t="shared" si="200"/>
        <v>1.2606876805288154</v>
      </c>
      <c r="M817">
        <f t="shared" si="201"/>
        <v>0.9916262932808525</v>
      </c>
      <c r="N817">
        <f t="shared" si="202"/>
        <v>1.0006169362730002</v>
      </c>
      <c r="O817">
        <v>6.3746848409971602E-3</v>
      </c>
      <c r="P817">
        <v>4.0671090976984519E-3</v>
      </c>
      <c r="Q817">
        <f t="shared" si="203"/>
        <v>3973.5414860639453</v>
      </c>
      <c r="R817">
        <f t="shared" si="204"/>
        <v>3.9735414860639451</v>
      </c>
    </row>
    <row r="818" spans="1:18" x14ac:dyDescent="0.3">
      <c r="A818">
        <v>1.6339999999999999</v>
      </c>
      <c r="B818" s="4"/>
      <c r="C818">
        <v>-36.4910444811727</v>
      </c>
      <c r="D818">
        <v>1.95</v>
      </c>
      <c r="E818">
        <f t="shared" si="206"/>
        <v>121.05228322770898</v>
      </c>
      <c r="F818">
        <f t="shared" si="194"/>
        <v>1.6102209520061622E-2</v>
      </c>
      <c r="G818">
        <f t="shared" si="195"/>
        <v>4.9800648000190587E-2</v>
      </c>
      <c r="H818">
        <f t="shared" si="196"/>
        <v>63.083368987041503</v>
      </c>
      <c r="I818">
        <f t="shared" si="197"/>
        <v>1.0361375536461086</v>
      </c>
      <c r="J818">
        <f t="shared" si="198"/>
        <v>1.1408964079395474</v>
      </c>
      <c r="K818">
        <f t="shared" si="199"/>
        <v>0.55158533781809416</v>
      </c>
      <c r="L818">
        <f t="shared" si="200"/>
        <v>1.2606876805288154</v>
      </c>
      <c r="M818">
        <f t="shared" si="201"/>
        <v>0.99980835785807609</v>
      </c>
      <c r="N818">
        <f t="shared" si="202"/>
        <v>1.0027373866487064</v>
      </c>
      <c r="O818">
        <v>6.4925700107222751E-3</v>
      </c>
      <c r="P818">
        <v>3.9221775316957965E-3</v>
      </c>
      <c r="Q818">
        <f t="shared" si="203"/>
        <v>3973.5414860639453</v>
      </c>
      <c r="R818">
        <f t="shared" si="204"/>
        <v>3.9735414860639451</v>
      </c>
    </row>
    <row r="819" spans="1:18" x14ac:dyDescent="0.3">
      <c r="A819">
        <v>1.6359999999999999</v>
      </c>
      <c r="B819" s="4"/>
      <c r="C819">
        <v>-36.4910444811727</v>
      </c>
      <c r="D819">
        <v>1.95</v>
      </c>
      <c r="E819">
        <f t="shared" si="206"/>
        <v>121.05228322770898</v>
      </c>
      <c r="F819">
        <f t="shared" si="194"/>
        <v>1.6102209520061622E-2</v>
      </c>
      <c r="G819">
        <f t="shared" si="195"/>
        <v>4.9800648000190587E-2</v>
      </c>
      <c r="H819">
        <f t="shared" si="196"/>
        <v>63.083368987041503</v>
      </c>
      <c r="I819">
        <f t="shared" si="197"/>
        <v>1.0361375536461086</v>
      </c>
      <c r="J819">
        <f t="shared" si="198"/>
        <v>1.1408964079395474</v>
      </c>
      <c r="K819">
        <f t="shared" si="199"/>
        <v>0.55158533781809416</v>
      </c>
      <c r="L819">
        <f t="shared" si="200"/>
        <v>1.2606876805288154</v>
      </c>
      <c r="M819">
        <f t="shared" si="201"/>
        <v>0.99974938567917193</v>
      </c>
      <c r="N819">
        <f t="shared" si="202"/>
        <v>1.0056231771798645</v>
      </c>
      <c r="O819">
        <v>6.5738638354965384E-3</v>
      </c>
      <c r="P819">
        <v>3.8022858798184111E-3</v>
      </c>
      <c r="Q819">
        <f t="shared" si="203"/>
        <v>3973.5414860639453</v>
      </c>
      <c r="R819">
        <f t="shared" si="204"/>
        <v>3.9735414860639451</v>
      </c>
    </row>
    <row r="820" spans="1:18" x14ac:dyDescent="0.3">
      <c r="A820">
        <v>1.6379999999999999</v>
      </c>
      <c r="B820" s="4"/>
      <c r="C820">
        <v>-36.4910444811727</v>
      </c>
      <c r="D820">
        <v>1.95</v>
      </c>
      <c r="E820">
        <f t="shared" si="206"/>
        <v>121.05228322770898</v>
      </c>
      <c r="F820">
        <f t="shared" si="194"/>
        <v>1.6102209520061622E-2</v>
      </c>
      <c r="G820">
        <f t="shared" si="195"/>
        <v>4.9800648000190587E-2</v>
      </c>
      <c r="H820">
        <f t="shared" si="196"/>
        <v>63.083368987041503</v>
      </c>
      <c r="I820">
        <f t="shared" si="197"/>
        <v>1.0361375536461086</v>
      </c>
      <c r="J820">
        <f t="shared" si="198"/>
        <v>1.1408964079395474</v>
      </c>
      <c r="K820">
        <f t="shared" si="199"/>
        <v>0.55158533781809416</v>
      </c>
      <c r="L820">
        <f t="shared" si="200"/>
        <v>1.2606876805288154</v>
      </c>
      <c r="M820">
        <f t="shared" si="201"/>
        <v>0.99969511357859875</v>
      </c>
      <c r="N820">
        <f t="shared" si="202"/>
        <v>1.0013413107317994</v>
      </c>
      <c r="O820">
        <v>6.6365110285793042E-3</v>
      </c>
      <c r="P820">
        <v>3.6816549960576274E-3</v>
      </c>
      <c r="Q820">
        <f t="shared" si="203"/>
        <v>3973.5414860639453</v>
      </c>
      <c r="R820">
        <f t="shared" si="204"/>
        <v>3.9735414860639451</v>
      </c>
    </row>
    <row r="821" spans="1:18" x14ac:dyDescent="0.3">
      <c r="A821">
        <v>1.64</v>
      </c>
      <c r="B821" s="4"/>
      <c r="C821">
        <v>-36.4910444811727</v>
      </c>
      <c r="D821">
        <v>1.95</v>
      </c>
      <c r="E821">
        <f t="shared" si="206"/>
        <v>121.05228322770898</v>
      </c>
      <c r="F821">
        <f t="shared" si="194"/>
        <v>1.6102209520061622E-2</v>
      </c>
      <c r="G821">
        <f t="shared" si="195"/>
        <v>4.9800648000190587E-2</v>
      </c>
      <c r="H821">
        <f t="shared" si="196"/>
        <v>63.083368987041503</v>
      </c>
      <c r="I821">
        <f t="shared" si="197"/>
        <v>1.0361375536461086</v>
      </c>
      <c r="J821">
        <f t="shared" si="198"/>
        <v>1.1408964079395474</v>
      </c>
      <c r="K821">
        <f t="shared" si="199"/>
        <v>0.55158533781809416</v>
      </c>
      <c r="L821">
        <f t="shared" si="200"/>
        <v>1.2606876805288154</v>
      </c>
      <c r="M821">
        <f t="shared" si="201"/>
        <v>0.99975880689506769</v>
      </c>
      <c r="N821">
        <f t="shared" si="202"/>
        <v>1.0029131904981212</v>
      </c>
      <c r="O821">
        <v>6.6802078980683988E-3</v>
      </c>
      <c r="P821">
        <v>3.612899897191216E-3</v>
      </c>
      <c r="Q821">
        <f t="shared" si="203"/>
        <v>3973.5414860639453</v>
      </c>
      <c r="R821">
        <f t="shared" si="204"/>
        <v>3.9735414860639451</v>
      </c>
    </row>
    <row r="822" spans="1:18" x14ac:dyDescent="0.3">
      <c r="A822">
        <v>1.6419999999999999</v>
      </c>
      <c r="B822" s="4"/>
      <c r="C822">
        <v>-36.4910444811727</v>
      </c>
      <c r="D822">
        <v>1.95</v>
      </c>
      <c r="E822">
        <f t="shared" si="206"/>
        <v>121.05228322770898</v>
      </c>
      <c r="F822">
        <f t="shared" si="194"/>
        <v>1.6102209520061622E-2</v>
      </c>
      <c r="G822">
        <f t="shared" si="195"/>
        <v>4.9800648000190587E-2</v>
      </c>
      <c r="H822">
        <f t="shared" si="196"/>
        <v>63.083368987041503</v>
      </c>
      <c r="I822">
        <f t="shared" si="197"/>
        <v>1.0361375536461086</v>
      </c>
      <c r="J822">
        <f t="shared" si="198"/>
        <v>1.1408964079395474</v>
      </c>
      <c r="K822">
        <f t="shared" si="199"/>
        <v>0.55158533781809416</v>
      </c>
      <c r="L822">
        <f t="shared" si="200"/>
        <v>1.2606876805288154</v>
      </c>
      <c r="M822">
        <f t="shared" si="201"/>
        <v>0.99979872319677643</v>
      </c>
      <c r="N822">
        <f t="shared" si="202"/>
        <v>1.0039260718720535</v>
      </c>
      <c r="O822">
        <v>6.7042667060546656E-3</v>
      </c>
      <c r="P822">
        <v>3.5749333008890756E-3</v>
      </c>
      <c r="Q822">
        <f t="shared" si="203"/>
        <v>3973.5414860639453</v>
      </c>
      <c r="R822">
        <f t="shared" si="204"/>
        <v>3.9735414860639451</v>
      </c>
    </row>
    <row r="823" spans="1:18" x14ac:dyDescent="0.3">
      <c r="A823">
        <v>1.6439999999999999</v>
      </c>
      <c r="B823" s="4"/>
      <c r="C823">
        <v>-36.4910444811727</v>
      </c>
      <c r="D823">
        <v>1.95</v>
      </c>
      <c r="E823">
        <f t="shared" si="206"/>
        <v>121.05228322770898</v>
      </c>
      <c r="F823">
        <f t="shared" si="194"/>
        <v>1.6102209520061622E-2</v>
      </c>
      <c r="G823">
        <f t="shared" si="195"/>
        <v>4.9800648000190587E-2</v>
      </c>
      <c r="H823">
        <f t="shared" si="196"/>
        <v>63.083368987041503</v>
      </c>
      <c r="I823">
        <f t="shared" si="197"/>
        <v>1.0361375536461086</v>
      </c>
      <c r="J823">
        <f t="shared" si="198"/>
        <v>1.1408964079395474</v>
      </c>
      <c r="K823">
        <f t="shared" si="199"/>
        <v>0.55158533781809416</v>
      </c>
      <c r="L823">
        <f t="shared" si="200"/>
        <v>1.2606876805288154</v>
      </c>
      <c r="M823">
        <f t="shared" si="201"/>
        <v>0.99980539628551524</v>
      </c>
      <c r="N823">
        <f t="shared" si="202"/>
        <v>1.0041135262439493</v>
      </c>
      <c r="O823">
        <v>6.7084614414772582E-3</v>
      </c>
      <c r="P823">
        <v>3.5683034637813763E-3</v>
      </c>
      <c r="Q823">
        <f t="shared" si="203"/>
        <v>3973.5414860639453</v>
      </c>
      <c r="R823">
        <f t="shared" si="204"/>
        <v>3.9735414860639451</v>
      </c>
    </row>
    <row r="824" spans="1:18" x14ac:dyDescent="0.3">
      <c r="A824">
        <v>1.6459999999999999</v>
      </c>
      <c r="B824" s="4"/>
      <c r="C824">
        <v>-36.4910444811727</v>
      </c>
      <c r="D824">
        <v>1.95</v>
      </c>
      <c r="E824">
        <f t="shared" si="206"/>
        <v>121.05228322770898</v>
      </c>
      <c r="F824">
        <f t="shared" si="194"/>
        <v>1.6102209520061622E-2</v>
      </c>
      <c r="G824">
        <f t="shared" si="195"/>
        <v>4.9800648000190587E-2</v>
      </c>
      <c r="H824">
        <f t="shared" si="196"/>
        <v>63.083368987041503</v>
      </c>
      <c r="I824">
        <f t="shared" si="197"/>
        <v>1.0361375536461086</v>
      </c>
      <c r="J824">
        <f t="shared" si="198"/>
        <v>1.1408964079395474</v>
      </c>
      <c r="K824">
        <f t="shared" si="199"/>
        <v>0.55158533781809416</v>
      </c>
      <c r="L824">
        <f t="shared" si="200"/>
        <v>1.2606876805288154</v>
      </c>
      <c r="M824">
        <f t="shared" si="201"/>
        <v>0.99977997283668274</v>
      </c>
      <c r="N824">
        <f t="shared" si="202"/>
        <v>1.0034283843752767</v>
      </c>
      <c r="O824">
        <v>6.692758848002852E-3</v>
      </c>
      <c r="P824">
        <v>3.5931060188156738E-3</v>
      </c>
      <c r="Q824">
        <f t="shared" si="203"/>
        <v>3973.5414860639453</v>
      </c>
      <c r="R824">
        <f t="shared" si="204"/>
        <v>3.9735414860639451</v>
      </c>
    </row>
    <row r="825" spans="1:18" x14ac:dyDescent="0.3">
      <c r="A825">
        <v>1.6479999999999999</v>
      </c>
      <c r="B825" s="4"/>
      <c r="C825">
        <v>-36.4910444811727</v>
      </c>
      <c r="D825">
        <v>1.95</v>
      </c>
      <c r="E825">
        <f t="shared" si="206"/>
        <v>121.05228322770898</v>
      </c>
      <c r="F825">
        <f t="shared" si="194"/>
        <v>1.6102209520061622E-2</v>
      </c>
      <c r="G825">
        <f t="shared" si="195"/>
        <v>4.9800648000190587E-2</v>
      </c>
      <c r="H825">
        <f t="shared" si="196"/>
        <v>63.083368987041503</v>
      </c>
      <c r="I825">
        <f t="shared" si="197"/>
        <v>1.0361375536461086</v>
      </c>
      <c r="J825">
        <f t="shared" si="198"/>
        <v>1.1408964079395474</v>
      </c>
      <c r="K825">
        <f t="shared" si="199"/>
        <v>0.55158533781809416</v>
      </c>
      <c r="L825">
        <f t="shared" si="200"/>
        <v>1.2606876805288154</v>
      </c>
      <c r="M825">
        <f t="shared" si="201"/>
        <v>0.99971833042870839</v>
      </c>
      <c r="N825">
        <f t="shared" si="202"/>
        <v>1.0020461259895734</v>
      </c>
      <c r="O825">
        <v>6.6572838473930264E-3</v>
      </c>
      <c r="P825">
        <v>3.648983037933476E-3</v>
      </c>
      <c r="Q825">
        <f t="shared" si="203"/>
        <v>3973.5414860639453</v>
      </c>
      <c r="R825">
        <f t="shared" si="204"/>
        <v>3.9735414860639451</v>
      </c>
    </row>
    <row r="826" spans="1:18" x14ac:dyDescent="0.3">
      <c r="A826">
        <v>1.65</v>
      </c>
      <c r="B826" s="4"/>
      <c r="C826">
        <v>-36.4910444811727</v>
      </c>
      <c r="D826">
        <v>1.95</v>
      </c>
      <c r="E826">
        <f t="shared" si="206"/>
        <v>121.05228322770898</v>
      </c>
      <c r="F826">
        <f t="shared" si="194"/>
        <v>1.6102209520061622E-2</v>
      </c>
      <c r="G826">
        <f t="shared" si="195"/>
        <v>4.9800648000190587E-2</v>
      </c>
      <c r="H826">
        <f t="shared" si="196"/>
        <v>63.083368987041503</v>
      </c>
      <c r="I826">
        <f t="shared" si="197"/>
        <v>1.0361375536461086</v>
      </c>
      <c r="J826">
        <f t="shared" si="198"/>
        <v>1.1408964079395474</v>
      </c>
      <c r="K826">
        <f t="shared" si="199"/>
        <v>0.55158533781809416</v>
      </c>
      <c r="L826">
        <f t="shared" si="200"/>
        <v>1.2606876805288154</v>
      </c>
      <c r="M826">
        <f t="shared" si="201"/>
        <v>0.99972553172574141</v>
      </c>
      <c r="N826">
        <f t="shared" si="202"/>
        <v>1.0068954298596897</v>
      </c>
      <c r="O826">
        <v>6.6025703141378445E-3</v>
      </c>
      <c r="P826">
        <v>3.7597016517421219E-3</v>
      </c>
      <c r="Q826">
        <f t="shared" si="203"/>
        <v>3973.5414860639453</v>
      </c>
      <c r="R826">
        <f t="shared" si="204"/>
        <v>3.9735414860639451</v>
      </c>
    </row>
    <row r="827" spans="1:18" x14ac:dyDescent="0.3">
      <c r="A827">
        <v>1.6519999999999999</v>
      </c>
      <c r="B827" s="4"/>
      <c r="C827">
        <v>-36.4910444811727</v>
      </c>
      <c r="D827">
        <v>1.95</v>
      </c>
      <c r="E827">
        <f t="shared" si="206"/>
        <v>121.05228322770898</v>
      </c>
      <c r="F827">
        <f t="shared" si="194"/>
        <v>1.6102209520061622E-2</v>
      </c>
      <c r="G827">
        <f t="shared" si="195"/>
        <v>4.9800648000190587E-2</v>
      </c>
      <c r="H827">
        <f t="shared" si="196"/>
        <v>63.083368987041503</v>
      </c>
      <c r="I827">
        <f t="shared" si="197"/>
        <v>1.0361375536461086</v>
      </c>
      <c r="J827">
        <f t="shared" si="198"/>
        <v>1.1408964079395474</v>
      </c>
      <c r="K827">
        <f t="shared" si="199"/>
        <v>0.55158533781809416</v>
      </c>
      <c r="L827">
        <f t="shared" si="200"/>
        <v>1.2606876805288154</v>
      </c>
      <c r="M827">
        <f t="shared" si="201"/>
        <v>0.9997833906618474</v>
      </c>
      <c r="N827">
        <f t="shared" si="202"/>
        <v>1.0039026411834437</v>
      </c>
      <c r="O827">
        <v>6.5290578000778733E-3</v>
      </c>
      <c r="P827">
        <v>3.8684943689036091E-3</v>
      </c>
      <c r="Q827">
        <f t="shared" si="203"/>
        <v>3973.5414860639453</v>
      </c>
      <c r="R827">
        <f t="shared" si="204"/>
        <v>3.9735414860639451</v>
      </c>
    </row>
    <row r="828" spans="1:18" x14ac:dyDescent="0.3">
      <c r="A828">
        <v>1.6539999999999999</v>
      </c>
      <c r="B828" s="4"/>
      <c r="C828">
        <v>-36.4910444811727</v>
      </c>
      <c r="D828">
        <v>1.95</v>
      </c>
      <c r="E828">
        <f t="shared" si="206"/>
        <v>121.05228322770898</v>
      </c>
      <c r="F828">
        <f t="shared" si="194"/>
        <v>1.6102209520061622E-2</v>
      </c>
      <c r="G828">
        <f t="shared" si="195"/>
        <v>4.9800648000190587E-2</v>
      </c>
      <c r="H828">
        <f t="shared" si="196"/>
        <v>63.083368987041503</v>
      </c>
      <c r="I828">
        <f t="shared" si="197"/>
        <v>1.0361375536461086</v>
      </c>
      <c r="J828">
        <f t="shared" si="198"/>
        <v>1.1408964079395474</v>
      </c>
      <c r="K828">
        <f t="shared" si="199"/>
        <v>0.55158533781809416</v>
      </c>
      <c r="L828">
        <f t="shared" si="200"/>
        <v>1.2606876805288154</v>
      </c>
      <c r="M828">
        <f t="shared" si="201"/>
        <v>0.99070876186925383</v>
      </c>
      <c r="N828">
        <f t="shared" si="202"/>
        <v>1.0013689348600601</v>
      </c>
      <c r="O828">
        <v>6.4167380890331966E-3</v>
      </c>
      <c r="P828">
        <v>4.003113056758845E-3</v>
      </c>
      <c r="Q828">
        <f t="shared" si="203"/>
        <v>3973.5414860639453</v>
      </c>
      <c r="R828">
        <f t="shared" si="204"/>
        <v>3.9735414860639451</v>
      </c>
    </row>
    <row r="829" spans="1:18" x14ac:dyDescent="0.3">
      <c r="A829">
        <v>1.6559999999999999</v>
      </c>
      <c r="B829" s="4"/>
      <c r="C829">
        <v>-36.4910444811727</v>
      </c>
      <c r="D829">
        <v>1.95</v>
      </c>
      <c r="E829">
        <f t="shared" si="206"/>
        <v>121.05228322770898</v>
      </c>
      <c r="F829">
        <f t="shared" si="194"/>
        <v>1.6102209520061622E-2</v>
      </c>
      <c r="G829">
        <f t="shared" si="195"/>
        <v>4.9800648000190587E-2</v>
      </c>
      <c r="H829">
        <f t="shared" si="196"/>
        <v>63.083368987041503</v>
      </c>
      <c r="I829">
        <f t="shared" si="197"/>
        <v>1.0361375536461086</v>
      </c>
      <c r="J829">
        <f t="shared" si="198"/>
        <v>1.1408964079395474</v>
      </c>
      <c r="K829">
        <f t="shared" si="199"/>
        <v>0.55158533781809416</v>
      </c>
      <c r="L829">
        <f t="shared" si="200"/>
        <v>1.2606876805288154</v>
      </c>
      <c r="M829">
        <f t="shared" si="201"/>
        <v>0.99287664367456219</v>
      </c>
      <c r="N829">
        <f t="shared" si="202"/>
        <v>1.0053635993820029</v>
      </c>
      <c r="O829">
        <v>6.3120263545124169E-3</v>
      </c>
      <c r="P829">
        <v>4.1796129716643315E-3</v>
      </c>
      <c r="Q829">
        <f t="shared" si="203"/>
        <v>3973.5414860639453</v>
      </c>
      <c r="R829">
        <f t="shared" si="204"/>
        <v>3.9735414860639451</v>
      </c>
    </row>
    <row r="830" spans="1:18" x14ac:dyDescent="0.3">
      <c r="A830">
        <v>1.6579999999999999</v>
      </c>
      <c r="B830" s="4"/>
      <c r="C830">
        <v>-36.4910444811727</v>
      </c>
      <c r="D830">
        <v>1.95</v>
      </c>
      <c r="E830">
        <f t="shared" si="206"/>
        <v>121.05228322770898</v>
      </c>
      <c r="F830">
        <f t="shared" si="194"/>
        <v>1.6102209520061622E-2</v>
      </c>
      <c r="G830">
        <f t="shared" si="195"/>
        <v>4.9800648000190587E-2</v>
      </c>
      <c r="H830">
        <f t="shared" si="196"/>
        <v>63.083368987041503</v>
      </c>
      <c r="I830">
        <f t="shared" si="197"/>
        <v>1.0361375536461086</v>
      </c>
      <c r="J830">
        <f t="shared" si="198"/>
        <v>1.1408964079395474</v>
      </c>
      <c r="K830">
        <f t="shared" si="199"/>
        <v>0.55158533781809416</v>
      </c>
      <c r="L830">
        <f t="shared" si="200"/>
        <v>1.2606876805288154</v>
      </c>
      <c r="M830">
        <f t="shared" si="201"/>
        <v>0.99492865846182199</v>
      </c>
      <c r="N830">
        <f t="shared" si="202"/>
        <v>1.0003198933918567</v>
      </c>
      <c r="O830">
        <v>6.1907127386971903E-3</v>
      </c>
      <c r="P830">
        <v>4.3403680889833023E-3</v>
      </c>
      <c r="Q830">
        <f t="shared" si="203"/>
        <v>3973.5414860639453</v>
      </c>
      <c r="R830">
        <f t="shared" si="204"/>
        <v>3.9735414860639451</v>
      </c>
    </row>
    <row r="831" spans="1:18" x14ac:dyDescent="0.3">
      <c r="A831">
        <v>1.66</v>
      </c>
      <c r="B831" s="4">
        <v>66</v>
      </c>
      <c r="C831">
        <v>-35.936967705705101</v>
      </c>
      <c r="D831">
        <v>1.95</v>
      </c>
      <c r="E831">
        <f>$E$830+$R$830</f>
        <v>125.02582471377293</v>
      </c>
      <c r="F831">
        <f t="shared" si="194"/>
        <v>1.6364353205759109E-2</v>
      </c>
      <c r="G831">
        <f t="shared" si="195"/>
        <v>5.0611401667296219E-2</v>
      </c>
      <c r="H831">
        <f t="shared" si="196"/>
        <v>62.072824503886622</v>
      </c>
      <c r="I831">
        <f t="shared" si="197"/>
        <v>1.0349790925720925</v>
      </c>
      <c r="J831">
        <f t="shared" si="198"/>
        <v>1.1362714832390792</v>
      </c>
      <c r="K831">
        <f t="shared" si="199"/>
        <v>0.55256739957540513</v>
      </c>
      <c r="L831">
        <f t="shared" si="200"/>
        <v>1.2590171224401057</v>
      </c>
      <c r="M831">
        <f t="shared" si="201"/>
        <v>0.99982286321008429</v>
      </c>
      <c r="N831">
        <f t="shared" si="202"/>
        <v>1.0019849763525264</v>
      </c>
      <c r="O831">
        <v>6.4698744432710063E-3</v>
      </c>
      <c r="P831">
        <v>3.9630289964507738E-3</v>
      </c>
      <c r="Q831">
        <f t="shared" si="203"/>
        <v>3992.653444361657</v>
      </c>
      <c r="R831">
        <f t="shared" si="204"/>
        <v>3.992653444361657</v>
      </c>
    </row>
    <row r="832" spans="1:18" x14ac:dyDescent="0.3">
      <c r="A832">
        <v>1.6619999999999999</v>
      </c>
      <c r="B832" s="4"/>
      <c r="C832">
        <v>-35.936967705705101</v>
      </c>
      <c r="D832">
        <v>1.95</v>
      </c>
      <c r="E832">
        <f t="shared" ref="E832:E855" si="207">$E$830+$R$830</f>
        <v>125.02582471377293</v>
      </c>
      <c r="F832">
        <f t="shared" si="194"/>
        <v>1.6364353205759109E-2</v>
      </c>
      <c r="G832">
        <f t="shared" si="195"/>
        <v>5.0611401667296219E-2</v>
      </c>
      <c r="H832">
        <f t="shared" si="196"/>
        <v>62.072824503886622</v>
      </c>
      <c r="I832">
        <f t="shared" si="197"/>
        <v>1.0349790925720925</v>
      </c>
      <c r="J832">
        <f t="shared" si="198"/>
        <v>1.1362714832390792</v>
      </c>
      <c r="K832">
        <f t="shared" si="199"/>
        <v>0.55256739957540513</v>
      </c>
      <c r="L832">
        <f t="shared" si="200"/>
        <v>1.2590171224401057</v>
      </c>
      <c r="M832">
        <f t="shared" si="201"/>
        <v>0.99976405120184197</v>
      </c>
      <c r="N832">
        <f t="shared" si="202"/>
        <v>1.0046742231463524</v>
      </c>
      <c r="O832">
        <v>6.5553724512970226E-3</v>
      </c>
      <c r="P832">
        <v>3.836987518560553E-3</v>
      </c>
      <c r="Q832">
        <f t="shared" si="203"/>
        <v>3992.653444361657</v>
      </c>
      <c r="R832">
        <f t="shared" si="204"/>
        <v>3.992653444361657</v>
      </c>
    </row>
    <row r="833" spans="1:18" x14ac:dyDescent="0.3">
      <c r="A833">
        <v>1.6639999999999999</v>
      </c>
      <c r="B833" s="4"/>
      <c r="C833">
        <v>-35.936967705705101</v>
      </c>
      <c r="D833">
        <v>1.95</v>
      </c>
      <c r="E833">
        <f t="shared" si="207"/>
        <v>125.02582471377293</v>
      </c>
      <c r="F833">
        <f t="shared" si="194"/>
        <v>1.6364353205759109E-2</v>
      </c>
      <c r="G833">
        <f t="shared" si="195"/>
        <v>5.0611401667296219E-2</v>
      </c>
      <c r="H833">
        <f t="shared" si="196"/>
        <v>62.072824503886622</v>
      </c>
      <c r="I833">
        <f t="shared" si="197"/>
        <v>1.0349790925720925</v>
      </c>
      <c r="J833">
        <f t="shared" si="198"/>
        <v>1.1362714832390792</v>
      </c>
      <c r="K833">
        <f t="shared" si="199"/>
        <v>0.55256739957540513</v>
      </c>
      <c r="L833">
        <f t="shared" si="200"/>
        <v>1.2590171224401057</v>
      </c>
      <c r="M833">
        <f t="shared" si="201"/>
        <v>0.99970771941452274</v>
      </c>
      <c r="N833">
        <f t="shared" si="202"/>
        <v>1.0007803767281875</v>
      </c>
      <c r="O833">
        <v>6.6229949159446258E-3</v>
      </c>
      <c r="P833">
        <v>3.7105363998035682E-3</v>
      </c>
      <c r="Q833">
        <f t="shared" si="203"/>
        <v>3992.653444361657</v>
      </c>
      <c r="R833">
        <f t="shared" si="204"/>
        <v>3.992653444361657</v>
      </c>
    </row>
    <row r="834" spans="1:18" x14ac:dyDescent="0.3">
      <c r="A834">
        <v>1.6659999999999999</v>
      </c>
      <c r="B834" s="4"/>
      <c r="C834">
        <v>-35.936967705705101</v>
      </c>
      <c r="D834">
        <v>1.95</v>
      </c>
      <c r="E834">
        <f t="shared" si="207"/>
        <v>125.02582471377293</v>
      </c>
      <c r="F834">
        <f t="shared" si="194"/>
        <v>1.6364353205759109E-2</v>
      </c>
      <c r="G834">
        <f t="shared" si="195"/>
        <v>5.0611401667296219E-2</v>
      </c>
      <c r="H834">
        <f t="shared" si="196"/>
        <v>62.072824503886622</v>
      </c>
      <c r="I834">
        <f t="shared" si="197"/>
        <v>1.0349790925720925</v>
      </c>
      <c r="J834">
        <f t="shared" si="198"/>
        <v>1.1362714832390792</v>
      </c>
      <c r="K834">
        <f t="shared" si="199"/>
        <v>0.55256739957540513</v>
      </c>
      <c r="L834">
        <f t="shared" si="200"/>
        <v>1.2590171224401057</v>
      </c>
      <c r="M834">
        <f t="shared" si="201"/>
        <v>0.99974540208586349</v>
      </c>
      <c r="N834">
        <f t="shared" si="202"/>
        <v>1.0024225351115712</v>
      </c>
      <c r="O834">
        <v>6.6723675959989561E-3</v>
      </c>
      <c r="P834">
        <v>3.6326592887905192E-3</v>
      </c>
      <c r="Q834">
        <f t="shared" si="203"/>
        <v>3992.653444361657</v>
      </c>
      <c r="R834">
        <f t="shared" si="204"/>
        <v>3.992653444361657</v>
      </c>
    </row>
    <row r="835" spans="1:18" x14ac:dyDescent="0.3">
      <c r="A835">
        <v>1.6679999999999999</v>
      </c>
      <c r="B835" s="4"/>
      <c r="C835">
        <v>-35.936967705705101</v>
      </c>
      <c r="D835">
        <v>1.95</v>
      </c>
      <c r="E835">
        <f t="shared" si="207"/>
        <v>125.02582471377293</v>
      </c>
      <c r="F835">
        <f t="shared" ref="F835:F898" si="208">0.0462806*SQRT(E835/1000)</f>
        <v>1.6364353205759109E-2</v>
      </c>
      <c r="G835">
        <f t="shared" ref="G835:G898" si="209">$U$3*F835/2</f>
        <v>5.0611401667296219E-2</v>
      </c>
      <c r="H835">
        <f t="shared" ref="H835:H898" si="210">PI()/G835</f>
        <v>62.072824503886622</v>
      </c>
      <c r="I835">
        <f t="shared" ref="I835:I898" si="211">BESSELI(H835*$Y$5,0)</f>
        <v>1.0349790925720925</v>
      </c>
      <c r="J835">
        <f t="shared" ref="J835:J898" si="212">BESSELI(H835*D835*$Y$5,0)</f>
        <v>1.1362714832390792</v>
      </c>
      <c r="K835">
        <f t="shared" ref="K835:K898" si="213">(D835^2-1)/(D835^2*I835+J835)</f>
        <v>0.55256739957540513</v>
      </c>
      <c r="L835">
        <f t="shared" ref="L835:L898" si="214">I835+J835/(D835^2*I835+J835)</f>
        <v>1.2590171224401057</v>
      </c>
      <c r="M835">
        <f t="shared" ref="M835:M898" si="215">((L835*O835^2)/$Y$5^2)+(K835*BESSELI(O835*H835,0)*COS(H835*A835))</f>
        <v>0.99979667225724378</v>
      </c>
      <c r="N835">
        <f t="shared" ref="N835:N898" si="216">((L835*P835^2)/$Y$5^2)-(K835*BESSELI(P835*H835,0)*COS(H835*A835))</f>
        <v>1.0036572851864496</v>
      </c>
      <c r="O835">
        <v>6.7029002431171414E-3</v>
      </c>
      <c r="P835">
        <v>3.5844007707487328E-3</v>
      </c>
      <c r="Q835">
        <f t="shared" ref="Q835:Q898" si="217">PI()*K835*$U$4*J835*COS(C835*$Y$7)/(4*$Y$6)</f>
        <v>3992.653444361657</v>
      </c>
      <c r="R835">
        <f t="shared" ref="R835:R898" si="218">Q835/1000</f>
        <v>3.992653444361657</v>
      </c>
    </row>
    <row r="836" spans="1:18" x14ac:dyDescent="0.3">
      <c r="A836">
        <v>1.67</v>
      </c>
      <c r="B836" s="4"/>
      <c r="C836">
        <v>-35.936967705705101</v>
      </c>
      <c r="D836">
        <v>1.95</v>
      </c>
      <c r="E836">
        <f t="shared" si="207"/>
        <v>125.02582471377293</v>
      </c>
      <c r="F836">
        <f t="shared" si="208"/>
        <v>1.6364353205759109E-2</v>
      </c>
      <c r="G836">
        <f t="shared" si="209"/>
        <v>5.0611401667296219E-2</v>
      </c>
      <c r="H836">
        <f t="shared" si="210"/>
        <v>62.072824503886622</v>
      </c>
      <c r="I836">
        <f t="shared" si="211"/>
        <v>1.0349790925720925</v>
      </c>
      <c r="J836">
        <f t="shared" si="212"/>
        <v>1.1362714832390792</v>
      </c>
      <c r="K836">
        <f t="shared" si="213"/>
        <v>0.55256739957540513</v>
      </c>
      <c r="L836">
        <f t="shared" si="214"/>
        <v>1.2590171224401057</v>
      </c>
      <c r="M836">
        <f t="shared" si="215"/>
        <v>0.99981457016895636</v>
      </c>
      <c r="N836">
        <f t="shared" si="216"/>
        <v>1.0041593629356598</v>
      </c>
      <c r="O836">
        <v>6.7142387284283506E-3</v>
      </c>
      <c r="P836">
        <v>3.5664380293367053E-3</v>
      </c>
      <c r="Q836">
        <f t="shared" si="217"/>
        <v>3992.653444361657</v>
      </c>
      <c r="R836">
        <f t="shared" si="218"/>
        <v>3.992653444361657</v>
      </c>
    </row>
    <row r="837" spans="1:18" x14ac:dyDescent="0.3">
      <c r="A837">
        <v>1.6719999999999999</v>
      </c>
      <c r="B837" s="4"/>
      <c r="C837">
        <v>-35.936967705705101</v>
      </c>
      <c r="D837">
        <v>1.95</v>
      </c>
      <c r="E837">
        <f t="shared" si="207"/>
        <v>125.02582471377293</v>
      </c>
      <c r="F837">
        <f t="shared" si="208"/>
        <v>1.6364353205759109E-2</v>
      </c>
      <c r="G837">
        <f t="shared" si="209"/>
        <v>5.0611401667296219E-2</v>
      </c>
      <c r="H837">
        <f t="shared" si="210"/>
        <v>62.072824503886622</v>
      </c>
      <c r="I837">
        <f t="shared" si="211"/>
        <v>1.0349790925720925</v>
      </c>
      <c r="J837">
        <f t="shared" si="212"/>
        <v>1.1362714832390792</v>
      </c>
      <c r="K837">
        <f t="shared" si="213"/>
        <v>0.55256739957540513</v>
      </c>
      <c r="L837">
        <f t="shared" si="214"/>
        <v>1.2590171224401057</v>
      </c>
      <c r="M837">
        <f t="shared" si="215"/>
        <v>0.99980210078201515</v>
      </c>
      <c r="N837">
        <f t="shared" si="216"/>
        <v>1.0038051891870805</v>
      </c>
      <c r="O837">
        <v>6.7062964808560143E-3</v>
      </c>
      <c r="P837">
        <v>3.5790227276850726E-3</v>
      </c>
      <c r="Q837">
        <f t="shared" si="217"/>
        <v>3992.653444361657</v>
      </c>
      <c r="R837">
        <f t="shared" si="218"/>
        <v>3.992653444361657</v>
      </c>
    </row>
    <row r="838" spans="1:18" x14ac:dyDescent="0.3">
      <c r="A838">
        <v>1.6739999999999999</v>
      </c>
      <c r="B838" s="4"/>
      <c r="C838">
        <v>-35.936967705705101</v>
      </c>
      <c r="D838">
        <v>1.95</v>
      </c>
      <c r="E838">
        <f t="shared" si="207"/>
        <v>125.02582471377293</v>
      </c>
      <c r="F838">
        <f t="shared" si="208"/>
        <v>1.6364353205759109E-2</v>
      </c>
      <c r="G838">
        <f t="shared" si="209"/>
        <v>5.0611401667296219E-2</v>
      </c>
      <c r="H838">
        <f t="shared" si="210"/>
        <v>62.072824503886622</v>
      </c>
      <c r="I838">
        <f t="shared" si="211"/>
        <v>1.0349790925720925</v>
      </c>
      <c r="J838">
        <f t="shared" si="212"/>
        <v>1.1362714832390792</v>
      </c>
      <c r="K838">
        <f t="shared" si="213"/>
        <v>0.55256739957540513</v>
      </c>
      <c r="L838">
        <f t="shared" si="214"/>
        <v>1.2590171224401057</v>
      </c>
      <c r="M838">
        <f t="shared" si="215"/>
        <v>0.99975713455608761</v>
      </c>
      <c r="N838">
        <f t="shared" si="216"/>
        <v>1.0026814863021272</v>
      </c>
      <c r="O838">
        <v>6.6791340782796039E-3</v>
      </c>
      <c r="P838">
        <v>3.6219785731942331E-3</v>
      </c>
      <c r="Q838">
        <f t="shared" si="217"/>
        <v>3992.653444361657</v>
      </c>
      <c r="R838">
        <f t="shared" si="218"/>
        <v>3.992653444361657</v>
      </c>
    </row>
    <row r="839" spans="1:18" x14ac:dyDescent="0.3">
      <c r="A839">
        <v>1.6759999999999999</v>
      </c>
      <c r="B839" s="4"/>
      <c r="C839">
        <v>-35.936967705705101</v>
      </c>
      <c r="D839">
        <v>1.95</v>
      </c>
      <c r="E839">
        <f t="shared" si="207"/>
        <v>125.02582471377293</v>
      </c>
      <c r="F839">
        <f t="shared" si="208"/>
        <v>1.6364353205759109E-2</v>
      </c>
      <c r="G839">
        <f t="shared" si="209"/>
        <v>5.0611401667296219E-2</v>
      </c>
      <c r="H839">
        <f t="shared" si="210"/>
        <v>62.072824503886622</v>
      </c>
      <c r="I839">
        <f t="shared" si="211"/>
        <v>1.0349790925720925</v>
      </c>
      <c r="J839">
        <f t="shared" si="212"/>
        <v>1.1362714832390792</v>
      </c>
      <c r="K839">
        <f t="shared" si="213"/>
        <v>0.55256739957540513</v>
      </c>
      <c r="L839">
        <f t="shared" si="214"/>
        <v>1.2590171224401057</v>
      </c>
      <c r="M839">
        <f t="shared" si="215"/>
        <v>0.99969856161957193</v>
      </c>
      <c r="N839">
        <f t="shared" si="216"/>
        <v>1.0010792336273855</v>
      </c>
      <c r="O839">
        <v>6.6330162588435129E-3</v>
      </c>
      <c r="P839">
        <v>3.6947030221081171E-3</v>
      </c>
      <c r="Q839">
        <f t="shared" si="217"/>
        <v>3992.653444361657</v>
      </c>
      <c r="R839">
        <f t="shared" si="218"/>
        <v>3.992653444361657</v>
      </c>
    </row>
    <row r="840" spans="1:18" x14ac:dyDescent="0.3">
      <c r="A840">
        <v>1.6779999999999999</v>
      </c>
      <c r="B840" s="4"/>
      <c r="C840">
        <v>-35.936967705705101</v>
      </c>
      <c r="D840">
        <v>1.95</v>
      </c>
      <c r="E840">
        <f t="shared" si="207"/>
        <v>125.02582471377293</v>
      </c>
      <c r="F840">
        <f t="shared" si="208"/>
        <v>1.6364353205759109E-2</v>
      </c>
      <c r="G840">
        <f t="shared" si="209"/>
        <v>5.0611401667296219E-2</v>
      </c>
      <c r="H840">
        <f t="shared" si="210"/>
        <v>62.072824503886622</v>
      </c>
      <c r="I840">
        <f t="shared" si="211"/>
        <v>1.0349790925720925</v>
      </c>
      <c r="J840">
        <f t="shared" si="212"/>
        <v>1.1362714832390792</v>
      </c>
      <c r="K840">
        <f t="shared" si="213"/>
        <v>0.55256739957540513</v>
      </c>
      <c r="L840">
        <f t="shared" si="214"/>
        <v>1.2590171224401057</v>
      </c>
      <c r="M840">
        <f t="shared" si="215"/>
        <v>0.99975374853707533</v>
      </c>
      <c r="N840">
        <f t="shared" si="216"/>
        <v>1.005194520647732</v>
      </c>
      <c r="O840">
        <v>6.5686068885336176E-3</v>
      </c>
      <c r="P840">
        <v>3.8173726330921736E-3</v>
      </c>
      <c r="Q840">
        <f t="shared" si="217"/>
        <v>3992.653444361657</v>
      </c>
      <c r="R840">
        <f t="shared" si="218"/>
        <v>3.992653444361657</v>
      </c>
    </row>
    <row r="841" spans="1:18" x14ac:dyDescent="0.3">
      <c r="A841">
        <v>1.68</v>
      </c>
      <c r="B841" s="4"/>
      <c r="C841">
        <v>-35.936967705705101</v>
      </c>
      <c r="D841">
        <v>1.95</v>
      </c>
      <c r="E841">
        <f t="shared" si="207"/>
        <v>125.02582471377293</v>
      </c>
      <c r="F841">
        <f t="shared" si="208"/>
        <v>1.6364353205759109E-2</v>
      </c>
      <c r="G841">
        <f t="shared" si="209"/>
        <v>5.0611401667296219E-2</v>
      </c>
      <c r="H841">
        <f t="shared" si="210"/>
        <v>62.072824503886622</v>
      </c>
      <c r="I841">
        <f t="shared" si="211"/>
        <v>1.0349790925720925</v>
      </c>
      <c r="J841">
        <f t="shared" si="212"/>
        <v>1.1362714832390792</v>
      </c>
      <c r="K841">
        <f t="shared" si="213"/>
        <v>0.55256739957540513</v>
      </c>
      <c r="L841">
        <f t="shared" si="214"/>
        <v>1.2590171224401057</v>
      </c>
      <c r="M841">
        <f t="shared" si="215"/>
        <v>0.99981261161585899</v>
      </c>
      <c r="N841">
        <f t="shared" si="216"/>
        <v>1.0024097674578389</v>
      </c>
      <c r="O841">
        <v>6.4862119225034473E-3</v>
      </c>
      <c r="P841">
        <v>3.939034979972565E-3</v>
      </c>
      <c r="Q841">
        <f t="shared" si="217"/>
        <v>3992.653444361657</v>
      </c>
      <c r="R841">
        <f t="shared" si="218"/>
        <v>3.992653444361657</v>
      </c>
    </row>
    <row r="842" spans="1:18" x14ac:dyDescent="0.3">
      <c r="A842">
        <v>1.6819999999999999</v>
      </c>
      <c r="B842" s="4"/>
      <c r="C842">
        <v>-35.936967705705101</v>
      </c>
      <c r="D842">
        <v>1.95</v>
      </c>
      <c r="E842">
        <f t="shared" si="207"/>
        <v>125.02582471377293</v>
      </c>
      <c r="F842">
        <f t="shared" si="208"/>
        <v>1.6364353205759109E-2</v>
      </c>
      <c r="G842">
        <f t="shared" si="209"/>
        <v>5.0611401667296219E-2</v>
      </c>
      <c r="H842">
        <f t="shared" si="210"/>
        <v>62.072824503886622</v>
      </c>
      <c r="I842">
        <f t="shared" si="211"/>
        <v>1.0349790925720925</v>
      </c>
      <c r="J842">
        <f t="shared" si="212"/>
        <v>1.1362714832390792</v>
      </c>
      <c r="K842">
        <f t="shared" si="213"/>
        <v>0.55256739957540513</v>
      </c>
      <c r="L842">
        <f t="shared" si="214"/>
        <v>1.2590171224401057</v>
      </c>
      <c r="M842">
        <f t="shared" si="215"/>
        <v>0.99177007288453822</v>
      </c>
      <c r="N842">
        <f t="shared" si="216"/>
        <v>1.0004598688868422</v>
      </c>
      <c r="O842">
        <v>6.3681551092358612E-3</v>
      </c>
      <c r="P842">
        <v>4.0847722691133292E-3</v>
      </c>
      <c r="Q842">
        <f t="shared" si="217"/>
        <v>3992.653444361657</v>
      </c>
      <c r="R842">
        <f t="shared" si="218"/>
        <v>3.992653444361657</v>
      </c>
    </row>
    <row r="843" spans="1:18" x14ac:dyDescent="0.3">
      <c r="A843">
        <v>1.6839999999999999</v>
      </c>
      <c r="B843" s="4"/>
      <c r="C843">
        <v>-35.936967705705101</v>
      </c>
      <c r="D843">
        <v>1.95</v>
      </c>
      <c r="E843">
        <f t="shared" si="207"/>
        <v>125.02582471377293</v>
      </c>
      <c r="F843">
        <f t="shared" si="208"/>
        <v>1.6364353205759109E-2</v>
      </c>
      <c r="G843">
        <f t="shared" si="209"/>
        <v>5.0611401667296219E-2</v>
      </c>
      <c r="H843">
        <f t="shared" si="210"/>
        <v>62.072824503886622</v>
      </c>
      <c r="I843">
        <f t="shared" si="211"/>
        <v>1.0349790925720925</v>
      </c>
      <c r="J843">
        <f t="shared" si="212"/>
        <v>1.1362714832390792</v>
      </c>
      <c r="K843">
        <f t="shared" si="213"/>
        <v>0.55256739957540513</v>
      </c>
      <c r="L843">
        <f t="shared" si="214"/>
        <v>1.2590171224401057</v>
      </c>
      <c r="M843">
        <f t="shared" si="215"/>
        <v>0.99387988900354829</v>
      </c>
      <c r="N843">
        <f t="shared" si="216"/>
        <v>0.99089810361500796</v>
      </c>
      <c r="O843">
        <v>6.2564724942251598E-3</v>
      </c>
      <c r="P843">
        <v>4.2218312845094261E-3</v>
      </c>
      <c r="Q843">
        <f t="shared" si="217"/>
        <v>3992.653444361657</v>
      </c>
      <c r="R843">
        <f t="shared" si="218"/>
        <v>3.992653444361657</v>
      </c>
    </row>
    <row r="844" spans="1:18" x14ac:dyDescent="0.3">
      <c r="A844">
        <v>1.6859999999999999</v>
      </c>
      <c r="B844" s="4"/>
      <c r="C844">
        <v>-35.936967705705101</v>
      </c>
      <c r="D844">
        <v>1.95</v>
      </c>
      <c r="E844">
        <f t="shared" si="207"/>
        <v>125.02582471377293</v>
      </c>
      <c r="F844">
        <f t="shared" si="208"/>
        <v>1.6364353205759109E-2</v>
      </c>
      <c r="G844">
        <f t="shared" si="209"/>
        <v>5.0611401667296219E-2</v>
      </c>
      <c r="H844">
        <f t="shared" si="210"/>
        <v>62.072824503886622</v>
      </c>
      <c r="I844">
        <f t="shared" si="211"/>
        <v>1.0349790925720925</v>
      </c>
      <c r="J844">
        <f t="shared" si="212"/>
        <v>1.1362714832390792</v>
      </c>
      <c r="K844">
        <f t="shared" si="213"/>
        <v>0.55256739957540513</v>
      </c>
      <c r="L844">
        <f t="shared" si="214"/>
        <v>1.2590171224401057</v>
      </c>
      <c r="M844">
        <f t="shared" si="215"/>
        <v>0.99580389457504359</v>
      </c>
      <c r="N844">
        <f t="shared" si="216"/>
        <v>1.0013214701937274</v>
      </c>
      <c r="O844">
        <v>6.1290919867787201E-3</v>
      </c>
      <c r="P844">
        <v>4.4376358713026504E-3</v>
      </c>
      <c r="Q844">
        <f t="shared" si="217"/>
        <v>3992.653444361657</v>
      </c>
      <c r="R844">
        <f t="shared" si="218"/>
        <v>3.992653444361657</v>
      </c>
    </row>
    <row r="845" spans="1:18" x14ac:dyDescent="0.3">
      <c r="A845">
        <v>1.6879999999999999</v>
      </c>
      <c r="B845" s="4"/>
      <c r="C845">
        <v>-35.936967705705101</v>
      </c>
      <c r="D845">
        <v>1.95</v>
      </c>
      <c r="E845">
        <f t="shared" si="207"/>
        <v>125.02582471377293</v>
      </c>
      <c r="F845">
        <f t="shared" si="208"/>
        <v>1.6364353205759109E-2</v>
      </c>
      <c r="G845">
        <f t="shared" si="209"/>
        <v>5.0611401667296219E-2</v>
      </c>
      <c r="H845">
        <f t="shared" si="210"/>
        <v>62.072824503886622</v>
      </c>
      <c r="I845">
        <f t="shared" si="211"/>
        <v>1.0349790925720925</v>
      </c>
      <c r="J845">
        <f t="shared" si="212"/>
        <v>1.1362714832390792</v>
      </c>
      <c r="K845">
        <f t="shared" si="213"/>
        <v>0.55256739957540513</v>
      </c>
      <c r="L845">
        <f t="shared" si="214"/>
        <v>1.2590171224401057</v>
      </c>
      <c r="M845">
        <f t="shared" si="215"/>
        <v>0.99742194873630685</v>
      </c>
      <c r="N845">
        <f t="shared" si="216"/>
        <v>1.0055299227319558</v>
      </c>
      <c r="O845">
        <v>5.986938791744857E-3</v>
      </c>
      <c r="P845">
        <v>4.6397610026913906E-3</v>
      </c>
      <c r="Q845">
        <f t="shared" si="217"/>
        <v>3992.653444361657</v>
      </c>
      <c r="R845">
        <f t="shared" si="218"/>
        <v>3.992653444361657</v>
      </c>
    </row>
    <row r="846" spans="1:18" x14ac:dyDescent="0.3">
      <c r="A846">
        <v>1.69</v>
      </c>
      <c r="B846" s="4"/>
      <c r="C846">
        <v>-35.936967705705101</v>
      </c>
      <c r="D846">
        <v>1.95</v>
      </c>
      <c r="E846">
        <f t="shared" si="207"/>
        <v>125.02582471377293</v>
      </c>
      <c r="F846">
        <f t="shared" si="208"/>
        <v>1.6364353205759109E-2</v>
      </c>
      <c r="G846">
        <f t="shared" si="209"/>
        <v>5.0611401667296219E-2</v>
      </c>
      <c r="H846">
        <f t="shared" si="210"/>
        <v>62.072824503886622</v>
      </c>
      <c r="I846">
        <f t="shared" si="211"/>
        <v>1.0349790925720925</v>
      </c>
      <c r="J846">
        <f t="shared" si="212"/>
        <v>1.1362714832390792</v>
      </c>
      <c r="K846">
        <f t="shared" si="213"/>
        <v>0.55256739957540513</v>
      </c>
      <c r="L846">
        <f t="shared" si="214"/>
        <v>1.2590171224401057</v>
      </c>
      <c r="M846">
        <f t="shared" si="215"/>
        <v>0.99865393778778633</v>
      </c>
      <c r="N846">
        <f t="shared" si="216"/>
        <v>1.0027343299837106</v>
      </c>
      <c r="O846">
        <v>5.8311785189043095E-3</v>
      </c>
      <c r="P846">
        <v>4.8249084658862585E-3</v>
      </c>
      <c r="Q846">
        <f t="shared" si="217"/>
        <v>3992.653444361657</v>
      </c>
      <c r="R846">
        <f t="shared" si="218"/>
        <v>3.992653444361657</v>
      </c>
    </row>
    <row r="847" spans="1:18" x14ac:dyDescent="0.3">
      <c r="A847">
        <v>1.6919999999999999</v>
      </c>
      <c r="B847" s="4"/>
      <c r="C847">
        <v>-35.936967705705101</v>
      </c>
      <c r="D847">
        <v>1.95</v>
      </c>
      <c r="E847">
        <f t="shared" si="207"/>
        <v>125.02582471377293</v>
      </c>
      <c r="F847">
        <f t="shared" si="208"/>
        <v>1.6364353205759109E-2</v>
      </c>
      <c r="G847">
        <f t="shared" si="209"/>
        <v>5.0611401667296219E-2</v>
      </c>
      <c r="H847">
        <f t="shared" si="210"/>
        <v>62.072824503886622</v>
      </c>
      <c r="I847">
        <f t="shared" si="211"/>
        <v>1.0349790925720925</v>
      </c>
      <c r="J847">
        <f t="shared" si="212"/>
        <v>1.1362714832390792</v>
      </c>
      <c r="K847">
        <f t="shared" si="213"/>
        <v>0.55256739957540513</v>
      </c>
      <c r="L847">
        <f t="shared" si="214"/>
        <v>1.2590171224401057</v>
      </c>
      <c r="M847">
        <f t="shared" si="215"/>
        <v>0.99946948264235047</v>
      </c>
      <c r="N847">
        <f t="shared" si="216"/>
        <v>1.0096137796127247</v>
      </c>
      <c r="O847">
        <v>5.6632547045457936E-3</v>
      </c>
      <c r="P847">
        <v>5.0395266591869992E-3</v>
      </c>
      <c r="Q847">
        <f t="shared" si="217"/>
        <v>3992.653444361657</v>
      </c>
      <c r="R847">
        <f t="shared" si="218"/>
        <v>3.992653444361657</v>
      </c>
    </row>
    <row r="848" spans="1:18" x14ac:dyDescent="0.3">
      <c r="A848">
        <v>1.694</v>
      </c>
      <c r="B848" s="4"/>
      <c r="C848">
        <v>-35.936967705705101</v>
      </c>
      <c r="D848">
        <v>1.95</v>
      </c>
      <c r="E848">
        <f t="shared" si="207"/>
        <v>125.02582471377293</v>
      </c>
      <c r="F848">
        <f t="shared" si="208"/>
        <v>1.6364353205759109E-2</v>
      </c>
      <c r="G848">
        <f t="shared" si="209"/>
        <v>5.0611401667296219E-2</v>
      </c>
      <c r="H848">
        <f t="shared" si="210"/>
        <v>62.072824503886622</v>
      </c>
      <c r="I848">
        <f t="shared" si="211"/>
        <v>1.0349790925720925</v>
      </c>
      <c r="J848">
        <f t="shared" si="212"/>
        <v>1.1362714832390792</v>
      </c>
      <c r="K848">
        <f t="shared" si="213"/>
        <v>0.55256739957540513</v>
      </c>
      <c r="L848">
        <f t="shared" si="214"/>
        <v>1.2590171224401057</v>
      </c>
      <c r="M848">
        <f t="shared" si="215"/>
        <v>1.0066957951225868</v>
      </c>
      <c r="N848">
        <f t="shared" si="216"/>
        <v>0.99895701661751302</v>
      </c>
      <c r="O848">
        <v>5.5026547897613987E-3</v>
      </c>
      <c r="P848">
        <v>5.2033099803174016E-3</v>
      </c>
      <c r="Q848">
        <f t="shared" si="217"/>
        <v>3992.653444361657</v>
      </c>
      <c r="R848">
        <f t="shared" si="218"/>
        <v>3.992653444361657</v>
      </c>
    </row>
    <row r="849" spans="1:18" x14ac:dyDescent="0.3">
      <c r="A849">
        <v>1.696</v>
      </c>
      <c r="B849" s="4"/>
      <c r="C849">
        <v>-35.936967705705101</v>
      </c>
      <c r="D849">
        <v>1.95</v>
      </c>
      <c r="E849">
        <f t="shared" si="207"/>
        <v>125.02582471377293</v>
      </c>
      <c r="F849">
        <f t="shared" si="208"/>
        <v>1.6364353205759109E-2</v>
      </c>
      <c r="G849">
        <f t="shared" si="209"/>
        <v>5.0611401667296219E-2</v>
      </c>
      <c r="H849">
        <f t="shared" si="210"/>
        <v>62.072824503886622</v>
      </c>
      <c r="I849">
        <f t="shared" si="211"/>
        <v>1.0349790925720925</v>
      </c>
      <c r="J849">
        <f t="shared" si="212"/>
        <v>1.1362714832390792</v>
      </c>
      <c r="K849">
        <f t="shared" si="213"/>
        <v>0.55256739957540513</v>
      </c>
      <c r="L849">
        <f t="shared" si="214"/>
        <v>1.2590171224401057</v>
      </c>
      <c r="M849">
        <f t="shared" si="215"/>
        <v>1.0048433194958679</v>
      </c>
      <c r="N849">
        <f t="shared" si="216"/>
        <v>0.99763922199197075</v>
      </c>
      <c r="O849">
        <v>5.3113407600572666E-3</v>
      </c>
      <c r="P849">
        <v>5.3896685584196701E-3</v>
      </c>
      <c r="Q849">
        <f t="shared" si="217"/>
        <v>3992.653444361657</v>
      </c>
      <c r="R849">
        <f t="shared" si="218"/>
        <v>3.992653444361657</v>
      </c>
    </row>
    <row r="850" spans="1:18" x14ac:dyDescent="0.3">
      <c r="A850">
        <v>1.698</v>
      </c>
      <c r="B850" s="4"/>
      <c r="C850">
        <v>-35.936967705705101</v>
      </c>
      <c r="D850">
        <v>1.95</v>
      </c>
      <c r="E850">
        <f t="shared" si="207"/>
        <v>125.02582471377293</v>
      </c>
      <c r="F850">
        <f t="shared" si="208"/>
        <v>1.6364353205759109E-2</v>
      </c>
      <c r="G850">
        <f t="shared" si="209"/>
        <v>5.0611401667296219E-2</v>
      </c>
      <c r="H850">
        <f t="shared" si="210"/>
        <v>62.072824503886622</v>
      </c>
      <c r="I850">
        <f t="shared" si="211"/>
        <v>1.0349790925720925</v>
      </c>
      <c r="J850">
        <f t="shared" si="212"/>
        <v>1.1362714832390792</v>
      </c>
      <c r="K850">
        <f t="shared" si="213"/>
        <v>0.55256739957540513</v>
      </c>
      <c r="L850">
        <f t="shared" si="214"/>
        <v>1.2590171224401057</v>
      </c>
      <c r="M850">
        <f t="shared" si="215"/>
        <v>0.99840448790636982</v>
      </c>
      <c r="N850">
        <f t="shared" si="216"/>
        <v>1.0016544751753904</v>
      </c>
      <c r="O850">
        <v>5.1016211645802658E-3</v>
      </c>
      <c r="P850">
        <v>5.5834559748641445E-3</v>
      </c>
      <c r="Q850">
        <f t="shared" si="217"/>
        <v>3992.653444361657</v>
      </c>
      <c r="R850">
        <f t="shared" si="218"/>
        <v>3.992653444361657</v>
      </c>
    </row>
    <row r="851" spans="1:18" x14ac:dyDescent="0.3">
      <c r="A851">
        <v>1.7</v>
      </c>
      <c r="B851" s="4"/>
      <c r="C851">
        <v>-35.936967705705101</v>
      </c>
      <c r="D851">
        <v>1.95</v>
      </c>
      <c r="E851">
        <f t="shared" si="207"/>
        <v>125.02582471377293</v>
      </c>
      <c r="F851">
        <f t="shared" si="208"/>
        <v>1.6364353205759109E-2</v>
      </c>
      <c r="G851">
        <f t="shared" si="209"/>
        <v>5.0611401667296219E-2</v>
      </c>
      <c r="H851">
        <f t="shared" si="210"/>
        <v>62.072824503886622</v>
      </c>
      <c r="I851">
        <f t="shared" si="211"/>
        <v>1.0349790925720925</v>
      </c>
      <c r="J851">
        <f t="shared" si="212"/>
        <v>1.1362714832390792</v>
      </c>
      <c r="K851">
        <f t="shared" si="213"/>
        <v>0.55256739957540513</v>
      </c>
      <c r="L851">
        <f t="shared" si="214"/>
        <v>1.2590171224401057</v>
      </c>
      <c r="M851">
        <f t="shared" si="215"/>
        <v>0.99941575519892778</v>
      </c>
      <c r="N851">
        <f t="shared" si="216"/>
        <v>1.0093697823895169</v>
      </c>
      <c r="O851">
        <v>4.9093481815942622E-3</v>
      </c>
      <c r="P851">
        <v>5.7772478507186111E-3</v>
      </c>
      <c r="Q851">
        <f t="shared" si="217"/>
        <v>3992.653444361657</v>
      </c>
      <c r="R851">
        <f t="shared" si="218"/>
        <v>3.992653444361657</v>
      </c>
    </row>
    <row r="852" spans="1:18" x14ac:dyDescent="0.3">
      <c r="A852">
        <v>1.702</v>
      </c>
      <c r="B852" s="4"/>
      <c r="C852">
        <v>-35.936967705705101</v>
      </c>
      <c r="D852">
        <v>1.95</v>
      </c>
      <c r="E852">
        <f t="shared" si="207"/>
        <v>125.02582471377293</v>
      </c>
      <c r="F852">
        <f t="shared" si="208"/>
        <v>1.6364353205759109E-2</v>
      </c>
      <c r="G852">
        <f t="shared" si="209"/>
        <v>5.0611401667296219E-2</v>
      </c>
      <c r="H852">
        <f t="shared" si="210"/>
        <v>62.072824503886622</v>
      </c>
      <c r="I852">
        <f t="shared" si="211"/>
        <v>1.0349790925720925</v>
      </c>
      <c r="J852">
        <f t="shared" si="212"/>
        <v>1.1362714832390792</v>
      </c>
      <c r="K852">
        <f t="shared" si="213"/>
        <v>0.55256739957540513</v>
      </c>
      <c r="L852">
        <f t="shared" si="214"/>
        <v>1.2590171224401057</v>
      </c>
      <c r="M852">
        <f t="shared" si="215"/>
        <v>1.0051755501862942</v>
      </c>
      <c r="N852">
        <f t="shared" si="216"/>
        <v>0.99935202290106651</v>
      </c>
      <c r="O852">
        <v>4.7315214902709946E-3</v>
      </c>
      <c r="P852">
        <v>5.916610720067458E-3</v>
      </c>
      <c r="Q852">
        <f t="shared" si="217"/>
        <v>3992.653444361657</v>
      </c>
      <c r="R852">
        <f t="shared" si="218"/>
        <v>3.992653444361657</v>
      </c>
    </row>
    <row r="853" spans="1:18" x14ac:dyDescent="0.3">
      <c r="A853">
        <v>1.704</v>
      </c>
      <c r="B853" s="4"/>
      <c r="C853">
        <v>-35.936967705705101</v>
      </c>
      <c r="D853">
        <v>1.95</v>
      </c>
      <c r="E853">
        <f t="shared" si="207"/>
        <v>125.02582471377293</v>
      </c>
      <c r="F853">
        <f t="shared" si="208"/>
        <v>1.6364353205759109E-2</v>
      </c>
      <c r="G853">
        <f t="shared" si="209"/>
        <v>5.0611401667296219E-2</v>
      </c>
      <c r="H853">
        <f t="shared" si="210"/>
        <v>62.072824503886622</v>
      </c>
      <c r="I853">
        <f t="shared" si="211"/>
        <v>1.0349790925720925</v>
      </c>
      <c r="J853">
        <f t="shared" si="212"/>
        <v>1.1362714832390792</v>
      </c>
      <c r="K853">
        <f t="shared" si="213"/>
        <v>0.55256739957540513</v>
      </c>
      <c r="L853">
        <f t="shared" si="214"/>
        <v>1.2590171224401057</v>
      </c>
      <c r="M853">
        <f t="shared" si="215"/>
        <v>0.99254309486329184</v>
      </c>
      <c r="N853">
        <f t="shared" si="216"/>
        <v>0.99857673792216506</v>
      </c>
      <c r="O853">
        <v>4.5004490409645539E-3</v>
      </c>
      <c r="P853">
        <v>6.0669890859667407E-3</v>
      </c>
      <c r="Q853">
        <f t="shared" si="217"/>
        <v>3992.653444361657</v>
      </c>
      <c r="R853">
        <f t="shared" si="218"/>
        <v>3.992653444361657</v>
      </c>
    </row>
    <row r="854" spans="1:18" x14ac:dyDescent="0.3">
      <c r="A854">
        <v>1.706</v>
      </c>
      <c r="B854" s="4"/>
      <c r="C854">
        <v>-35.936967705705101</v>
      </c>
      <c r="D854">
        <v>1.95</v>
      </c>
      <c r="E854">
        <f t="shared" si="207"/>
        <v>125.02582471377293</v>
      </c>
      <c r="F854">
        <f t="shared" si="208"/>
        <v>1.6364353205759109E-2</v>
      </c>
      <c r="G854">
        <f t="shared" si="209"/>
        <v>5.0611401667296219E-2</v>
      </c>
      <c r="H854">
        <f t="shared" si="210"/>
        <v>62.072824503886622</v>
      </c>
      <c r="I854">
        <f t="shared" si="211"/>
        <v>1.0349790925720925</v>
      </c>
      <c r="J854">
        <f t="shared" si="212"/>
        <v>1.1362714832390792</v>
      </c>
      <c r="K854">
        <f t="shared" si="213"/>
        <v>0.55256739957540513</v>
      </c>
      <c r="L854">
        <f t="shared" si="214"/>
        <v>1.2590171224401057</v>
      </c>
      <c r="M854">
        <f t="shared" si="215"/>
        <v>1.0025980997757165</v>
      </c>
      <c r="N854">
        <f t="shared" si="216"/>
        <v>0.99751052617054592</v>
      </c>
      <c r="O854">
        <v>4.34676545017157E-3</v>
      </c>
      <c r="P854">
        <v>6.2032083847076746E-3</v>
      </c>
      <c r="Q854">
        <f t="shared" si="217"/>
        <v>3992.653444361657</v>
      </c>
      <c r="R854">
        <f t="shared" si="218"/>
        <v>3.992653444361657</v>
      </c>
    </row>
    <row r="855" spans="1:18" x14ac:dyDescent="0.3">
      <c r="A855">
        <v>1.708</v>
      </c>
      <c r="B855" s="4"/>
      <c r="C855">
        <v>-35.936967705705101</v>
      </c>
      <c r="D855">
        <v>1.95</v>
      </c>
      <c r="E855">
        <f t="shared" si="207"/>
        <v>125.02582471377293</v>
      </c>
      <c r="F855">
        <f t="shared" si="208"/>
        <v>1.6364353205759109E-2</v>
      </c>
      <c r="G855">
        <f t="shared" si="209"/>
        <v>5.0611401667296219E-2</v>
      </c>
      <c r="H855">
        <f t="shared" si="210"/>
        <v>62.072824503886622</v>
      </c>
      <c r="I855">
        <f t="shared" si="211"/>
        <v>1.0349790925720925</v>
      </c>
      <c r="J855">
        <f t="shared" si="212"/>
        <v>1.1362714832390792</v>
      </c>
      <c r="K855">
        <f t="shared" si="213"/>
        <v>0.55256739957540513</v>
      </c>
      <c r="L855">
        <f t="shared" si="214"/>
        <v>1.2590171224401057</v>
      </c>
      <c r="M855">
        <f t="shared" si="215"/>
        <v>1.0002659045144369</v>
      </c>
      <c r="N855">
        <f t="shared" si="216"/>
        <v>0.99621655296047185</v>
      </c>
      <c r="O855">
        <v>4.1637923682540318E-3</v>
      </c>
      <c r="P855">
        <v>6.324149185195067E-3</v>
      </c>
      <c r="Q855">
        <f t="shared" si="217"/>
        <v>3992.653444361657</v>
      </c>
      <c r="R855">
        <f t="shared" si="218"/>
        <v>3.992653444361657</v>
      </c>
    </row>
    <row r="856" spans="1:18" x14ac:dyDescent="0.3">
      <c r="A856">
        <v>1.71</v>
      </c>
      <c r="B856" s="4">
        <v>67</v>
      </c>
      <c r="C856">
        <v>-35.365017485867497</v>
      </c>
      <c r="D856">
        <v>1.95</v>
      </c>
      <c r="E856">
        <f>$E$855+$R$855</f>
        <v>129.0184781581346</v>
      </c>
      <c r="F856">
        <f t="shared" si="208"/>
        <v>1.6623594558497375E-2</v>
      </c>
      <c r="G856">
        <f t="shared" si="209"/>
        <v>5.1413179046899099E-2</v>
      </c>
      <c r="H856">
        <f t="shared" si="210"/>
        <v>61.104812264653631</v>
      </c>
      <c r="I856">
        <f t="shared" si="211"/>
        <v>1.0338875324740904</v>
      </c>
      <c r="J856">
        <f t="shared" si="212"/>
        <v>1.1319202131915249</v>
      </c>
      <c r="K856">
        <f t="shared" si="213"/>
        <v>0.5534952349190696</v>
      </c>
      <c r="L856">
        <f t="shared" si="214"/>
        <v>1.2574423743331757</v>
      </c>
      <c r="M856">
        <f t="shared" si="215"/>
        <v>0.99311708403632526</v>
      </c>
      <c r="N856">
        <f t="shared" si="216"/>
        <v>1.0078510428542988</v>
      </c>
      <c r="O856">
        <v>6.2997891769659489E-3</v>
      </c>
      <c r="P856">
        <v>4.2218312845094261E-3</v>
      </c>
      <c r="Q856">
        <f t="shared" si="217"/>
        <v>4012.6714826161829</v>
      </c>
      <c r="R856">
        <f t="shared" si="218"/>
        <v>4.0126714826161827</v>
      </c>
    </row>
    <row r="857" spans="1:18" x14ac:dyDescent="0.3">
      <c r="A857">
        <v>1.712</v>
      </c>
      <c r="B857" s="4"/>
      <c r="C857">
        <v>-35.365017485867497</v>
      </c>
      <c r="D857">
        <v>1.95</v>
      </c>
      <c r="E857">
        <f t="shared" ref="E857:E881" si="219">$E$855+$R$855</f>
        <v>129.0184781581346</v>
      </c>
      <c r="F857">
        <f t="shared" si="208"/>
        <v>1.6623594558497375E-2</v>
      </c>
      <c r="G857">
        <f t="shared" si="209"/>
        <v>5.1413179046899099E-2</v>
      </c>
      <c r="H857">
        <f t="shared" si="210"/>
        <v>61.104812264653631</v>
      </c>
      <c r="I857">
        <f t="shared" si="211"/>
        <v>1.0338875324740904</v>
      </c>
      <c r="J857">
        <f t="shared" si="212"/>
        <v>1.1319202131915249</v>
      </c>
      <c r="K857">
        <f t="shared" si="213"/>
        <v>0.5534952349190696</v>
      </c>
      <c r="L857">
        <f t="shared" si="214"/>
        <v>1.2574423743331757</v>
      </c>
      <c r="M857">
        <f t="shared" si="215"/>
        <v>0.99510430449646159</v>
      </c>
      <c r="N857">
        <f t="shared" si="216"/>
        <v>1.0005750029517275</v>
      </c>
      <c r="O857">
        <v>6.17950591660956E-3</v>
      </c>
      <c r="P857">
        <v>4.3724063682786052E-3</v>
      </c>
      <c r="Q857">
        <f t="shared" si="217"/>
        <v>4012.6714826161829</v>
      </c>
      <c r="R857">
        <f t="shared" si="218"/>
        <v>4.0126714826161827</v>
      </c>
    </row>
    <row r="858" spans="1:18" x14ac:dyDescent="0.3">
      <c r="A858">
        <v>1.714</v>
      </c>
      <c r="B858" s="4"/>
      <c r="C858">
        <v>-35.365017485867497</v>
      </c>
      <c r="D858">
        <v>1.95</v>
      </c>
      <c r="E858">
        <f t="shared" si="219"/>
        <v>129.0184781581346</v>
      </c>
      <c r="F858">
        <f t="shared" si="208"/>
        <v>1.6623594558497375E-2</v>
      </c>
      <c r="G858">
        <f t="shared" si="209"/>
        <v>5.1413179046899099E-2</v>
      </c>
      <c r="H858">
        <f t="shared" si="210"/>
        <v>61.104812264653631</v>
      </c>
      <c r="I858">
        <f t="shared" si="211"/>
        <v>1.0338875324740904</v>
      </c>
      <c r="J858">
        <f t="shared" si="212"/>
        <v>1.1319202131915249</v>
      </c>
      <c r="K858">
        <f t="shared" si="213"/>
        <v>0.5534952349190696</v>
      </c>
      <c r="L858">
        <f t="shared" si="214"/>
        <v>1.2574423743331757</v>
      </c>
      <c r="M858">
        <f t="shared" si="215"/>
        <v>0.99683121230169935</v>
      </c>
      <c r="N858">
        <f t="shared" si="216"/>
        <v>1.0036645985789248</v>
      </c>
      <c r="O858">
        <v>6.0445437414535855E-3</v>
      </c>
      <c r="P858">
        <v>4.5663437874842753E-3</v>
      </c>
      <c r="Q858">
        <f t="shared" si="217"/>
        <v>4012.6714826161829</v>
      </c>
      <c r="R858">
        <f t="shared" si="218"/>
        <v>4.0126714826161827</v>
      </c>
    </row>
    <row r="859" spans="1:18" x14ac:dyDescent="0.3">
      <c r="A859">
        <v>1.716</v>
      </c>
      <c r="B859" s="4"/>
      <c r="C859">
        <v>-35.365017485867497</v>
      </c>
      <c r="D859">
        <v>1.95</v>
      </c>
      <c r="E859">
        <f t="shared" si="219"/>
        <v>129.0184781581346</v>
      </c>
      <c r="F859">
        <f t="shared" si="208"/>
        <v>1.6623594558497375E-2</v>
      </c>
      <c r="G859">
        <f t="shared" si="209"/>
        <v>5.1413179046899099E-2</v>
      </c>
      <c r="H859">
        <f t="shared" si="210"/>
        <v>61.104812264653631</v>
      </c>
      <c r="I859">
        <f t="shared" si="211"/>
        <v>1.0338875324740904</v>
      </c>
      <c r="J859">
        <f t="shared" si="212"/>
        <v>1.1319202131915249</v>
      </c>
      <c r="K859">
        <f t="shared" si="213"/>
        <v>0.5534952349190696</v>
      </c>
      <c r="L859">
        <f t="shared" si="214"/>
        <v>1.2574423743331757</v>
      </c>
      <c r="M859">
        <f t="shared" si="215"/>
        <v>0.99820563882186564</v>
      </c>
      <c r="N859">
        <f t="shared" si="216"/>
        <v>1.0010534519695233</v>
      </c>
      <c r="O859">
        <v>5.8959238192838109E-3</v>
      </c>
      <c r="P859">
        <v>4.7481740604642846E-3</v>
      </c>
      <c r="Q859">
        <f t="shared" si="217"/>
        <v>4012.6714826161829</v>
      </c>
      <c r="R859">
        <f t="shared" si="218"/>
        <v>4.0126714826161827</v>
      </c>
    </row>
    <row r="860" spans="1:18" x14ac:dyDescent="0.3">
      <c r="A860">
        <v>1.718</v>
      </c>
      <c r="B860" s="4"/>
      <c r="C860">
        <v>-35.365017485867497</v>
      </c>
      <c r="D860">
        <v>1.95</v>
      </c>
      <c r="E860">
        <f t="shared" si="219"/>
        <v>129.0184781581346</v>
      </c>
      <c r="F860">
        <f t="shared" si="208"/>
        <v>1.6623594558497375E-2</v>
      </c>
      <c r="G860">
        <f t="shared" si="209"/>
        <v>5.1413179046899099E-2</v>
      </c>
      <c r="H860">
        <f t="shared" si="210"/>
        <v>61.104812264653631</v>
      </c>
      <c r="I860">
        <f t="shared" si="211"/>
        <v>1.0338875324740904</v>
      </c>
      <c r="J860">
        <f t="shared" si="212"/>
        <v>1.1319202131915249</v>
      </c>
      <c r="K860">
        <f t="shared" si="213"/>
        <v>0.5534952349190696</v>
      </c>
      <c r="L860">
        <f t="shared" si="214"/>
        <v>1.2574423743331757</v>
      </c>
      <c r="M860">
        <f t="shared" si="215"/>
        <v>0.99917939842600512</v>
      </c>
      <c r="N860">
        <f t="shared" si="216"/>
        <v>1.0065631271739139</v>
      </c>
      <c r="O860">
        <v>5.7349157730044592E-3</v>
      </c>
      <c r="P860">
        <v>4.9565050453464713E-3</v>
      </c>
      <c r="Q860">
        <f t="shared" si="217"/>
        <v>4012.6714826161829</v>
      </c>
      <c r="R860">
        <f t="shared" si="218"/>
        <v>4.0126714826161827</v>
      </c>
    </row>
    <row r="861" spans="1:18" x14ac:dyDescent="0.3">
      <c r="A861">
        <v>1.72</v>
      </c>
      <c r="B861" s="4"/>
      <c r="C861">
        <v>-35.365017485867497</v>
      </c>
      <c r="D861">
        <v>1.95</v>
      </c>
      <c r="E861">
        <f t="shared" si="219"/>
        <v>129.0184781581346</v>
      </c>
      <c r="F861">
        <f t="shared" si="208"/>
        <v>1.6623594558497375E-2</v>
      </c>
      <c r="G861">
        <f t="shared" si="209"/>
        <v>5.1413179046899099E-2</v>
      </c>
      <c r="H861">
        <f t="shared" si="210"/>
        <v>61.104812264653631</v>
      </c>
      <c r="I861">
        <f t="shared" si="211"/>
        <v>1.0338875324740904</v>
      </c>
      <c r="J861">
        <f t="shared" si="212"/>
        <v>1.1319202131915249</v>
      </c>
      <c r="K861">
        <f t="shared" si="213"/>
        <v>0.5534952349190696</v>
      </c>
      <c r="L861">
        <f t="shared" si="214"/>
        <v>1.2574423743331757</v>
      </c>
      <c r="M861">
        <f t="shared" si="215"/>
        <v>0.99975452949741384</v>
      </c>
      <c r="N861">
        <f t="shared" si="216"/>
        <v>0.99930707472917757</v>
      </c>
      <c r="O861">
        <v>5.563072312765649E-3</v>
      </c>
      <c r="P861">
        <v>5.1278057772770648E-3</v>
      </c>
      <c r="Q861">
        <f t="shared" si="217"/>
        <v>4012.6714826161829</v>
      </c>
      <c r="R861">
        <f t="shared" si="218"/>
        <v>4.0126714826161827</v>
      </c>
    </row>
    <row r="862" spans="1:18" x14ac:dyDescent="0.3">
      <c r="A862">
        <v>1.722</v>
      </c>
      <c r="B862" s="4"/>
      <c r="C862">
        <v>-35.365017485867497</v>
      </c>
      <c r="D862">
        <v>1.95</v>
      </c>
      <c r="E862">
        <f t="shared" si="219"/>
        <v>129.0184781581346</v>
      </c>
      <c r="F862">
        <f t="shared" si="208"/>
        <v>1.6623594558497375E-2</v>
      </c>
      <c r="G862">
        <f t="shared" si="209"/>
        <v>5.1413179046899099E-2</v>
      </c>
      <c r="H862">
        <f t="shared" si="210"/>
        <v>61.104812264653631</v>
      </c>
      <c r="I862">
        <f t="shared" si="211"/>
        <v>1.0338875324740904</v>
      </c>
      <c r="J862">
        <f t="shared" si="212"/>
        <v>1.1319202131915249</v>
      </c>
      <c r="K862">
        <f t="shared" si="213"/>
        <v>0.5534952349190696</v>
      </c>
      <c r="L862">
        <f t="shared" si="214"/>
        <v>1.2574423743331757</v>
      </c>
      <c r="M862">
        <f t="shared" si="215"/>
        <v>1.0023987172030799</v>
      </c>
      <c r="N862">
        <f t="shared" si="216"/>
        <v>0.99826161631667432</v>
      </c>
      <c r="O862">
        <v>5.3886810769253838E-3</v>
      </c>
      <c r="P862">
        <v>5.3141655896681034E-3</v>
      </c>
      <c r="Q862">
        <f t="shared" si="217"/>
        <v>4012.6714826161829</v>
      </c>
      <c r="R862">
        <f t="shared" si="218"/>
        <v>4.0126714826161827</v>
      </c>
    </row>
    <row r="863" spans="1:18" x14ac:dyDescent="0.3">
      <c r="A863">
        <v>1.724</v>
      </c>
      <c r="B863" s="4"/>
      <c r="C863">
        <v>-35.365017485867497</v>
      </c>
      <c r="D863">
        <v>1.95</v>
      </c>
      <c r="E863">
        <f t="shared" si="219"/>
        <v>129.0184781581346</v>
      </c>
      <c r="F863">
        <f t="shared" si="208"/>
        <v>1.6623594558497375E-2</v>
      </c>
      <c r="G863">
        <f t="shared" si="209"/>
        <v>5.1413179046899099E-2</v>
      </c>
      <c r="H863">
        <f t="shared" si="210"/>
        <v>61.104812264653631</v>
      </c>
      <c r="I863">
        <f t="shared" si="211"/>
        <v>1.0338875324740904</v>
      </c>
      <c r="J863">
        <f t="shared" si="212"/>
        <v>1.1319202131915249</v>
      </c>
      <c r="K863">
        <f t="shared" si="213"/>
        <v>0.5534952349190696</v>
      </c>
      <c r="L863">
        <f t="shared" si="214"/>
        <v>1.2574423743331757</v>
      </c>
      <c r="M863">
        <f t="shared" si="215"/>
        <v>0.99770988871073651</v>
      </c>
      <c r="N863">
        <f t="shared" si="216"/>
        <v>0.99914078304961484</v>
      </c>
      <c r="O863">
        <v>5.1884758569115683E-3</v>
      </c>
      <c r="P863">
        <v>5.5003358814596382E-3</v>
      </c>
      <c r="Q863">
        <f t="shared" si="217"/>
        <v>4012.6714826161829</v>
      </c>
      <c r="R863">
        <f t="shared" si="218"/>
        <v>4.0126714826161827</v>
      </c>
    </row>
    <row r="864" spans="1:18" x14ac:dyDescent="0.3">
      <c r="A864">
        <v>1.726</v>
      </c>
      <c r="B864" s="4"/>
      <c r="C864">
        <v>-35.365017485867497</v>
      </c>
      <c r="D864">
        <v>1.95</v>
      </c>
      <c r="E864">
        <f t="shared" si="219"/>
        <v>129.0184781581346</v>
      </c>
      <c r="F864">
        <f t="shared" si="208"/>
        <v>1.6623594558497375E-2</v>
      </c>
      <c r="G864">
        <f t="shared" si="209"/>
        <v>5.1413179046899099E-2</v>
      </c>
      <c r="H864">
        <f t="shared" si="210"/>
        <v>61.104812264653631</v>
      </c>
      <c r="I864">
        <f t="shared" si="211"/>
        <v>1.0338875324740904</v>
      </c>
      <c r="J864">
        <f t="shared" si="212"/>
        <v>1.1319202131915249</v>
      </c>
      <c r="K864">
        <f t="shared" si="213"/>
        <v>0.5534952349190696</v>
      </c>
      <c r="L864">
        <f t="shared" si="214"/>
        <v>1.2574423743331757</v>
      </c>
      <c r="M864">
        <f t="shared" si="215"/>
        <v>0.99901921109216296</v>
      </c>
      <c r="N864">
        <f t="shared" si="216"/>
        <v>1.0057008798769245</v>
      </c>
      <c r="O864">
        <v>5.0005938158381889E-3</v>
      </c>
      <c r="P864">
        <v>5.6932325507400953E-3</v>
      </c>
      <c r="Q864">
        <f t="shared" si="217"/>
        <v>4012.6714826161829</v>
      </c>
      <c r="R864">
        <f t="shared" si="218"/>
        <v>4.0126714826161827</v>
      </c>
    </row>
    <row r="865" spans="1:18" x14ac:dyDescent="0.3">
      <c r="A865">
        <v>1.728</v>
      </c>
      <c r="B865" s="4"/>
      <c r="C865">
        <v>-35.365017485867497</v>
      </c>
      <c r="D865">
        <v>1.95</v>
      </c>
      <c r="E865">
        <f t="shared" si="219"/>
        <v>129.0184781581346</v>
      </c>
      <c r="F865">
        <f t="shared" si="208"/>
        <v>1.6623594558497375E-2</v>
      </c>
      <c r="G865">
        <f t="shared" si="209"/>
        <v>5.1413179046899099E-2</v>
      </c>
      <c r="H865">
        <f t="shared" si="210"/>
        <v>61.104812264653631</v>
      </c>
      <c r="I865">
        <f t="shared" si="211"/>
        <v>1.0338875324740904</v>
      </c>
      <c r="J865">
        <f t="shared" si="212"/>
        <v>1.1319202131915249</v>
      </c>
      <c r="K865">
        <f t="shared" si="213"/>
        <v>0.5534952349190696</v>
      </c>
      <c r="L865">
        <f t="shared" si="214"/>
        <v>1.2574423743331757</v>
      </c>
      <c r="M865">
        <f t="shared" si="215"/>
        <v>1.0087477854875861</v>
      </c>
      <c r="N865">
        <f t="shared" si="216"/>
        <v>0.99959886299540579</v>
      </c>
      <c r="O865">
        <v>4.8364814622142488E-3</v>
      </c>
      <c r="P865">
        <v>5.8447592677740431E-3</v>
      </c>
      <c r="Q865">
        <f t="shared" si="217"/>
        <v>4012.6714826161829</v>
      </c>
      <c r="R865">
        <f t="shared" si="218"/>
        <v>4.0126714826161827</v>
      </c>
    </row>
    <row r="866" spans="1:18" x14ac:dyDescent="0.3">
      <c r="A866">
        <v>1.73</v>
      </c>
      <c r="B866" s="4"/>
      <c r="C866">
        <v>-35.365017485867497</v>
      </c>
      <c r="D866">
        <v>1.95</v>
      </c>
      <c r="E866">
        <f t="shared" si="219"/>
        <v>129.0184781581346</v>
      </c>
      <c r="F866">
        <f t="shared" si="208"/>
        <v>1.6623594558497375E-2</v>
      </c>
      <c r="G866">
        <f t="shared" si="209"/>
        <v>5.1413179046899099E-2</v>
      </c>
      <c r="H866">
        <f t="shared" si="210"/>
        <v>61.104812264653631</v>
      </c>
      <c r="I866">
        <f t="shared" si="211"/>
        <v>1.0338875324740904</v>
      </c>
      <c r="J866">
        <f t="shared" si="212"/>
        <v>1.1319202131915249</v>
      </c>
      <c r="K866">
        <f t="shared" si="213"/>
        <v>0.5534952349190696</v>
      </c>
      <c r="L866">
        <f t="shared" si="214"/>
        <v>1.2574423743331757</v>
      </c>
      <c r="M866">
        <f t="shared" si="215"/>
        <v>1.0023589691284602</v>
      </c>
      <c r="N866">
        <f t="shared" si="216"/>
        <v>0.99897446149125224</v>
      </c>
      <c r="O866">
        <v>4.6266227569585787E-3</v>
      </c>
      <c r="P866">
        <v>5.9991868902027042E-3</v>
      </c>
      <c r="Q866">
        <f t="shared" si="217"/>
        <v>4012.6714826161829</v>
      </c>
      <c r="R866">
        <f t="shared" si="218"/>
        <v>4.0126714826161827</v>
      </c>
    </row>
    <row r="867" spans="1:18" x14ac:dyDescent="0.3">
      <c r="A867">
        <v>1.732</v>
      </c>
      <c r="B867" s="4"/>
      <c r="C867">
        <v>-35.365017485867497</v>
      </c>
      <c r="D867">
        <v>1.95</v>
      </c>
      <c r="E867">
        <f t="shared" si="219"/>
        <v>129.0184781581346</v>
      </c>
      <c r="F867">
        <f t="shared" si="208"/>
        <v>1.6623594558497375E-2</v>
      </c>
      <c r="G867">
        <f t="shared" si="209"/>
        <v>5.1413179046899099E-2</v>
      </c>
      <c r="H867">
        <f t="shared" si="210"/>
        <v>61.104812264653631</v>
      </c>
      <c r="I867">
        <f t="shared" si="211"/>
        <v>1.0338875324740904</v>
      </c>
      <c r="J867">
        <f t="shared" si="212"/>
        <v>1.1319202131915249</v>
      </c>
      <c r="K867">
        <f t="shared" si="213"/>
        <v>0.5534952349190696</v>
      </c>
      <c r="L867">
        <f t="shared" si="214"/>
        <v>1.2574423743331757</v>
      </c>
      <c r="M867">
        <f t="shared" si="215"/>
        <v>1.0049017350113147</v>
      </c>
      <c r="N867">
        <f t="shared" si="216"/>
        <v>0.99805085308717467</v>
      </c>
      <c r="O867">
        <v>4.4483234933047336E-3</v>
      </c>
      <c r="P867">
        <v>6.1404819710822031E-3</v>
      </c>
      <c r="Q867">
        <f t="shared" si="217"/>
        <v>4012.6714826161829</v>
      </c>
      <c r="R867">
        <f t="shared" si="218"/>
        <v>4.0126714826161827</v>
      </c>
    </row>
    <row r="868" spans="1:18" x14ac:dyDescent="0.3">
      <c r="A868">
        <v>1.734</v>
      </c>
      <c r="B868" s="4"/>
      <c r="C868">
        <v>-35.365017485867497</v>
      </c>
      <c r="D868">
        <v>1.95</v>
      </c>
      <c r="E868">
        <f t="shared" si="219"/>
        <v>129.0184781581346</v>
      </c>
      <c r="F868">
        <f t="shared" si="208"/>
        <v>1.6623594558497375E-2</v>
      </c>
      <c r="G868">
        <f t="shared" si="209"/>
        <v>5.1413179046899099E-2</v>
      </c>
      <c r="H868">
        <f t="shared" si="210"/>
        <v>61.104812264653631</v>
      </c>
      <c r="I868">
        <f t="shared" si="211"/>
        <v>1.0338875324740904</v>
      </c>
      <c r="J868">
        <f t="shared" si="212"/>
        <v>1.1319202131915249</v>
      </c>
      <c r="K868">
        <f t="shared" si="213"/>
        <v>0.5534952349190696</v>
      </c>
      <c r="L868">
        <f t="shared" si="214"/>
        <v>1.2574423743331757</v>
      </c>
      <c r="M868">
        <f t="shared" si="215"/>
        <v>1.0011680715538662</v>
      </c>
      <c r="N868">
        <f t="shared" si="216"/>
        <v>0.99686985552668983</v>
      </c>
      <c r="O868">
        <v>4.2578277440288755E-3</v>
      </c>
      <c r="P868">
        <v>6.2674617039474969E-3</v>
      </c>
      <c r="Q868">
        <f t="shared" si="217"/>
        <v>4012.6714826161829</v>
      </c>
      <c r="R868">
        <f t="shared" si="218"/>
        <v>4.0126714826161827</v>
      </c>
    </row>
    <row r="869" spans="1:18" x14ac:dyDescent="0.3">
      <c r="A869">
        <v>1.736</v>
      </c>
      <c r="B869" s="4"/>
      <c r="C869">
        <v>-35.365017485867497</v>
      </c>
      <c r="D869">
        <v>1.95</v>
      </c>
      <c r="E869">
        <f t="shared" si="219"/>
        <v>129.0184781581346</v>
      </c>
      <c r="F869">
        <f t="shared" si="208"/>
        <v>1.6623594558497375E-2</v>
      </c>
      <c r="G869">
        <f t="shared" si="209"/>
        <v>5.1413179046899099E-2</v>
      </c>
      <c r="H869">
        <f t="shared" si="210"/>
        <v>61.104812264653631</v>
      </c>
      <c r="I869">
        <f t="shared" si="211"/>
        <v>1.0338875324740904</v>
      </c>
      <c r="J869">
        <f t="shared" si="212"/>
        <v>1.1319202131915249</v>
      </c>
      <c r="K869">
        <f t="shared" si="213"/>
        <v>0.5534952349190696</v>
      </c>
      <c r="L869">
        <f t="shared" si="214"/>
        <v>1.2574423743331757</v>
      </c>
      <c r="M869">
        <f t="shared" si="215"/>
        <v>0.99065772015048714</v>
      </c>
      <c r="N869">
        <f t="shared" si="216"/>
        <v>0.99550908292323004</v>
      </c>
      <c r="O869">
        <v>4.0544585954635625E-3</v>
      </c>
      <c r="P869">
        <v>6.3791721510245494E-3</v>
      </c>
      <c r="Q869">
        <f t="shared" si="217"/>
        <v>4012.6714826161829</v>
      </c>
      <c r="R869">
        <f t="shared" si="218"/>
        <v>4.0126714826161827</v>
      </c>
    </row>
    <row r="870" spans="1:18" x14ac:dyDescent="0.3">
      <c r="A870">
        <v>1.738</v>
      </c>
      <c r="B870" s="4"/>
      <c r="C870">
        <v>-35.365017485867497</v>
      </c>
      <c r="D870">
        <v>1.95</v>
      </c>
      <c r="E870">
        <f t="shared" si="219"/>
        <v>129.0184781581346</v>
      </c>
      <c r="F870">
        <f t="shared" si="208"/>
        <v>1.6623594558497375E-2</v>
      </c>
      <c r="G870">
        <f t="shared" si="209"/>
        <v>5.1413179046899099E-2</v>
      </c>
      <c r="H870">
        <f t="shared" si="210"/>
        <v>61.104812264653631</v>
      </c>
      <c r="I870">
        <f t="shared" si="211"/>
        <v>1.0338875324740904</v>
      </c>
      <c r="J870">
        <f t="shared" si="212"/>
        <v>1.1319202131915249</v>
      </c>
      <c r="K870">
        <f t="shared" si="213"/>
        <v>0.5534952349190696</v>
      </c>
      <c r="L870">
        <f t="shared" si="214"/>
        <v>1.2574423743331757</v>
      </c>
      <c r="M870">
        <f t="shared" si="215"/>
        <v>1.0003206908251057</v>
      </c>
      <c r="N870">
        <f t="shared" si="216"/>
        <v>0.99407182614786782</v>
      </c>
      <c r="O870">
        <v>3.9368205908134951E-3</v>
      </c>
      <c r="P870">
        <v>6.4748571616191205E-3</v>
      </c>
      <c r="Q870">
        <f t="shared" si="217"/>
        <v>4012.6714826161829</v>
      </c>
      <c r="R870">
        <f t="shared" si="218"/>
        <v>4.0126714826161827</v>
      </c>
    </row>
    <row r="871" spans="1:18" x14ac:dyDescent="0.3">
      <c r="A871">
        <v>1.74</v>
      </c>
      <c r="B871" s="4"/>
      <c r="C871">
        <v>-35.365017485867497</v>
      </c>
      <c r="D871">
        <v>1.95</v>
      </c>
      <c r="E871">
        <f t="shared" si="219"/>
        <v>129.0184781581346</v>
      </c>
      <c r="F871">
        <f t="shared" si="208"/>
        <v>1.6623594558497375E-2</v>
      </c>
      <c r="G871">
        <f t="shared" si="209"/>
        <v>5.1413179046899099E-2</v>
      </c>
      <c r="H871">
        <f t="shared" si="210"/>
        <v>61.104812264653631</v>
      </c>
      <c r="I871">
        <f t="shared" si="211"/>
        <v>1.0338875324740904</v>
      </c>
      <c r="J871">
        <f t="shared" si="212"/>
        <v>1.1319202131915249</v>
      </c>
      <c r="K871">
        <f t="shared" si="213"/>
        <v>0.5534952349190696</v>
      </c>
      <c r="L871">
        <f t="shared" si="214"/>
        <v>1.2574423743331757</v>
      </c>
      <c r="M871">
        <f t="shared" si="215"/>
        <v>1.0017535263869866</v>
      </c>
      <c r="N871">
        <f t="shared" si="216"/>
        <v>0.99267495711565223</v>
      </c>
      <c r="O871">
        <v>3.8106837153094228E-3</v>
      </c>
      <c r="P871">
        <v>6.5539293919926276E-3</v>
      </c>
      <c r="Q871">
        <f t="shared" si="217"/>
        <v>4012.6714826161829</v>
      </c>
      <c r="R871">
        <f t="shared" si="218"/>
        <v>4.0126714826161827</v>
      </c>
    </row>
    <row r="872" spans="1:18" x14ac:dyDescent="0.3">
      <c r="A872">
        <v>1.742</v>
      </c>
      <c r="B872" s="4"/>
      <c r="C872">
        <v>-35.365017485867497</v>
      </c>
      <c r="D872">
        <v>1.95</v>
      </c>
      <c r="E872">
        <f t="shared" si="219"/>
        <v>129.0184781581346</v>
      </c>
      <c r="F872">
        <f t="shared" si="208"/>
        <v>1.6623594558497375E-2</v>
      </c>
      <c r="G872">
        <f t="shared" si="209"/>
        <v>5.1413179046899099E-2</v>
      </c>
      <c r="H872">
        <f t="shared" si="210"/>
        <v>61.104812264653631</v>
      </c>
      <c r="I872">
        <f t="shared" si="211"/>
        <v>1.0338875324740904</v>
      </c>
      <c r="J872">
        <f t="shared" si="212"/>
        <v>1.1319202131915249</v>
      </c>
      <c r="K872">
        <f t="shared" si="213"/>
        <v>0.5534952349190696</v>
      </c>
      <c r="L872">
        <f t="shared" si="214"/>
        <v>1.2574423743331757</v>
      </c>
      <c r="M872">
        <f t="shared" si="215"/>
        <v>1.00369487554855</v>
      </c>
      <c r="N872">
        <f t="shared" si="216"/>
        <v>0.99143619593498966</v>
      </c>
      <c r="O872">
        <v>3.7105760724302985E-3</v>
      </c>
      <c r="P872">
        <v>6.6159445861280475E-3</v>
      </c>
      <c r="Q872">
        <f t="shared" si="217"/>
        <v>4012.6714826161829</v>
      </c>
      <c r="R872">
        <f t="shared" si="218"/>
        <v>4.0126714826161827</v>
      </c>
    </row>
    <row r="873" spans="1:18" x14ac:dyDescent="0.3">
      <c r="A873">
        <v>1.744</v>
      </c>
      <c r="B873" s="4"/>
      <c r="C873">
        <v>-35.365017485867497</v>
      </c>
      <c r="D873">
        <v>1.95</v>
      </c>
      <c r="E873">
        <f t="shared" si="219"/>
        <v>129.0184781581346</v>
      </c>
      <c r="F873">
        <f t="shared" si="208"/>
        <v>1.6623594558497375E-2</v>
      </c>
      <c r="G873">
        <f t="shared" si="209"/>
        <v>5.1413179046899099E-2</v>
      </c>
      <c r="H873">
        <f t="shared" si="210"/>
        <v>61.104812264653631</v>
      </c>
      <c r="I873">
        <f t="shared" si="211"/>
        <v>1.0338875324740904</v>
      </c>
      <c r="J873">
        <f t="shared" si="212"/>
        <v>1.1319202131915249</v>
      </c>
      <c r="K873">
        <f t="shared" si="213"/>
        <v>0.5534952349190696</v>
      </c>
      <c r="L873">
        <f t="shared" si="214"/>
        <v>1.2574423743331757</v>
      </c>
      <c r="M873">
        <f t="shared" si="215"/>
        <v>1.0055519262806878</v>
      </c>
      <c r="N873">
        <f t="shared" si="216"/>
        <v>0.99046195333105214</v>
      </c>
      <c r="O873">
        <v>3.6378716538807577E-3</v>
      </c>
      <c r="P873">
        <v>6.6605798794811457E-3</v>
      </c>
      <c r="Q873">
        <f t="shared" si="217"/>
        <v>4012.6714826161829</v>
      </c>
      <c r="R873">
        <f t="shared" si="218"/>
        <v>4.0126714826161827</v>
      </c>
    </row>
    <row r="874" spans="1:18" x14ac:dyDescent="0.3">
      <c r="A874">
        <v>1.746</v>
      </c>
      <c r="B874" s="4"/>
      <c r="C874">
        <v>-35.365017485867497</v>
      </c>
      <c r="D874">
        <v>1.95</v>
      </c>
      <c r="E874">
        <f t="shared" si="219"/>
        <v>129.0184781581346</v>
      </c>
      <c r="F874">
        <f t="shared" si="208"/>
        <v>1.6623594558497375E-2</v>
      </c>
      <c r="G874">
        <f t="shared" si="209"/>
        <v>5.1413179046899099E-2</v>
      </c>
      <c r="H874">
        <f t="shared" si="210"/>
        <v>61.104812264653631</v>
      </c>
      <c r="I874">
        <f t="shared" si="211"/>
        <v>1.0338875324740904</v>
      </c>
      <c r="J874">
        <f t="shared" si="212"/>
        <v>1.1319202131915249</v>
      </c>
      <c r="K874">
        <f t="shared" si="213"/>
        <v>0.5534952349190696</v>
      </c>
      <c r="L874">
        <f t="shared" si="214"/>
        <v>1.2574423743331757</v>
      </c>
      <c r="M874">
        <f t="shared" si="215"/>
        <v>1.0006231421055527</v>
      </c>
      <c r="N874">
        <f t="shared" si="216"/>
        <v>0.99982580595808124</v>
      </c>
      <c r="O874">
        <v>3.5689642302345437E-3</v>
      </c>
      <c r="P874">
        <v>6.7092881804497089E-3</v>
      </c>
      <c r="Q874">
        <f t="shared" si="217"/>
        <v>4012.6714826161829</v>
      </c>
      <c r="R874">
        <f t="shared" si="218"/>
        <v>4.0126714826161827</v>
      </c>
    </row>
    <row r="875" spans="1:18" x14ac:dyDescent="0.3">
      <c r="A875">
        <v>1.748</v>
      </c>
      <c r="B875" s="4"/>
      <c r="C875">
        <v>-35.365017485867497</v>
      </c>
      <c r="D875">
        <v>1.95</v>
      </c>
      <c r="E875">
        <f t="shared" si="219"/>
        <v>129.0184781581346</v>
      </c>
      <c r="F875">
        <f t="shared" si="208"/>
        <v>1.6623594558497375E-2</v>
      </c>
      <c r="G875">
        <f t="shared" si="209"/>
        <v>5.1413179046899099E-2</v>
      </c>
      <c r="H875">
        <f t="shared" si="210"/>
        <v>61.104812264653631</v>
      </c>
      <c r="I875">
        <f t="shared" si="211"/>
        <v>1.0338875324740904</v>
      </c>
      <c r="J875">
        <f t="shared" si="212"/>
        <v>1.1319202131915249</v>
      </c>
      <c r="K875">
        <f t="shared" si="213"/>
        <v>0.5534952349190696</v>
      </c>
      <c r="L875">
        <f t="shared" si="214"/>
        <v>1.2574423743331757</v>
      </c>
      <c r="M875">
        <f t="shared" si="215"/>
        <v>1.0009108181392981</v>
      </c>
      <c r="N875">
        <f t="shared" si="216"/>
        <v>0.99981995764219556</v>
      </c>
      <c r="O875">
        <v>3.5527621799481667E-3</v>
      </c>
      <c r="P875">
        <v>6.7190386268021528E-3</v>
      </c>
      <c r="Q875">
        <f t="shared" si="217"/>
        <v>4012.6714826161829</v>
      </c>
      <c r="R875">
        <f t="shared" si="218"/>
        <v>4.0126714826161827</v>
      </c>
    </row>
    <row r="876" spans="1:18" x14ac:dyDescent="0.3">
      <c r="A876">
        <v>1.75</v>
      </c>
      <c r="B876" s="4"/>
      <c r="C876">
        <v>-35.365017485867497</v>
      </c>
      <c r="D876">
        <v>1.95</v>
      </c>
      <c r="E876">
        <f t="shared" si="219"/>
        <v>129.0184781581346</v>
      </c>
      <c r="F876">
        <f t="shared" si="208"/>
        <v>1.6623594558497375E-2</v>
      </c>
      <c r="G876">
        <f t="shared" si="209"/>
        <v>5.1413179046899099E-2</v>
      </c>
      <c r="H876">
        <f t="shared" si="210"/>
        <v>61.104812264653631</v>
      </c>
      <c r="I876">
        <f t="shared" si="211"/>
        <v>1.0338875324740904</v>
      </c>
      <c r="J876">
        <f t="shared" si="212"/>
        <v>1.1319202131915249</v>
      </c>
      <c r="K876">
        <f t="shared" si="213"/>
        <v>0.5534952349190696</v>
      </c>
      <c r="L876">
        <f t="shared" si="214"/>
        <v>1.2574423743331757</v>
      </c>
      <c r="M876">
        <f t="shared" si="215"/>
        <v>1.0006487338331032</v>
      </c>
      <c r="N876">
        <f t="shared" si="216"/>
        <v>0.9998252758152345</v>
      </c>
      <c r="O876">
        <v>3.5674790960337132E-3</v>
      </c>
      <c r="P876">
        <v>6.7101823506747474E-3</v>
      </c>
      <c r="Q876">
        <f t="shared" si="217"/>
        <v>4012.6714826161829</v>
      </c>
      <c r="R876">
        <f t="shared" si="218"/>
        <v>4.0126714826161827</v>
      </c>
    </row>
    <row r="877" spans="1:18" x14ac:dyDescent="0.3">
      <c r="A877">
        <v>1.752</v>
      </c>
      <c r="B877" s="4"/>
      <c r="C877">
        <v>-35.365017485867497</v>
      </c>
      <c r="D877">
        <v>1.95</v>
      </c>
      <c r="E877">
        <f t="shared" si="219"/>
        <v>129.0184781581346</v>
      </c>
      <c r="F877">
        <f t="shared" si="208"/>
        <v>1.6623594558497375E-2</v>
      </c>
      <c r="G877">
        <f t="shared" si="209"/>
        <v>5.1413179046899099E-2</v>
      </c>
      <c r="H877">
        <f t="shared" si="210"/>
        <v>61.104812264653631</v>
      </c>
      <c r="I877">
        <f t="shared" si="211"/>
        <v>1.0338875324740904</v>
      </c>
      <c r="J877">
        <f t="shared" si="212"/>
        <v>1.1319202131915249</v>
      </c>
      <c r="K877">
        <f t="shared" si="213"/>
        <v>0.5534952349190696</v>
      </c>
      <c r="L877">
        <f t="shared" si="214"/>
        <v>1.2574423743331757</v>
      </c>
      <c r="M877">
        <f t="shared" si="215"/>
        <v>1.0056306085882052</v>
      </c>
      <c r="N877">
        <f t="shared" si="216"/>
        <v>0.990423336849792</v>
      </c>
      <c r="O877">
        <v>3.6350847166867041E-3</v>
      </c>
      <c r="P877">
        <v>6.6622841561035694E-3</v>
      </c>
      <c r="Q877">
        <f t="shared" si="217"/>
        <v>4012.6714826161829</v>
      </c>
      <c r="R877">
        <f t="shared" si="218"/>
        <v>4.0126714826161827</v>
      </c>
    </row>
    <row r="878" spans="1:18" x14ac:dyDescent="0.3">
      <c r="A878">
        <v>1.754</v>
      </c>
      <c r="B878" s="4"/>
      <c r="C878">
        <v>-35.365017485867497</v>
      </c>
      <c r="D878">
        <v>1.95</v>
      </c>
      <c r="E878">
        <f t="shared" si="219"/>
        <v>129.0184781581346</v>
      </c>
      <c r="F878">
        <f t="shared" si="208"/>
        <v>1.6623594558497375E-2</v>
      </c>
      <c r="G878">
        <f t="shared" si="209"/>
        <v>5.1413179046899099E-2</v>
      </c>
      <c r="H878">
        <f t="shared" si="210"/>
        <v>61.104812264653631</v>
      </c>
      <c r="I878">
        <f t="shared" si="211"/>
        <v>1.0338875324740904</v>
      </c>
      <c r="J878">
        <f t="shared" si="212"/>
        <v>1.1319202131915249</v>
      </c>
      <c r="K878">
        <f t="shared" si="213"/>
        <v>0.5534952349190696</v>
      </c>
      <c r="L878">
        <f t="shared" si="214"/>
        <v>1.2574423743331757</v>
      </c>
      <c r="M878">
        <f t="shared" si="215"/>
        <v>1.0037903450157786</v>
      </c>
      <c r="N878">
        <f t="shared" si="216"/>
        <v>0.99138251626062013</v>
      </c>
      <c r="O878">
        <v>3.7064432492753359E-3</v>
      </c>
      <c r="P878">
        <v>6.6184909054328939E-3</v>
      </c>
      <c r="Q878">
        <f t="shared" si="217"/>
        <v>4012.6714826161829</v>
      </c>
      <c r="R878">
        <f t="shared" si="218"/>
        <v>4.0126714826161827</v>
      </c>
    </row>
    <row r="879" spans="1:18" x14ac:dyDescent="0.3">
      <c r="A879">
        <v>1.756</v>
      </c>
      <c r="B879" s="4"/>
      <c r="C879">
        <v>-35.365017485867497</v>
      </c>
      <c r="D879">
        <v>1.95</v>
      </c>
      <c r="E879">
        <f t="shared" si="219"/>
        <v>129.0184781581346</v>
      </c>
      <c r="F879">
        <f t="shared" si="208"/>
        <v>1.6623594558497375E-2</v>
      </c>
      <c r="G879">
        <f t="shared" si="209"/>
        <v>5.1413179046899099E-2</v>
      </c>
      <c r="H879">
        <f t="shared" si="210"/>
        <v>61.104812264653631</v>
      </c>
      <c r="I879">
        <f t="shared" si="211"/>
        <v>1.0338875324740904</v>
      </c>
      <c r="J879">
        <f t="shared" si="212"/>
        <v>1.1319202131915249</v>
      </c>
      <c r="K879">
        <f t="shared" si="213"/>
        <v>0.5534952349190696</v>
      </c>
      <c r="L879">
        <f t="shared" si="214"/>
        <v>1.2574423743331757</v>
      </c>
      <c r="M879">
        <f t="shared" si="215"/>
        <v>1.0018404283475557</v>
      </c>
      <c r="N879">
        <f t="shared" si="216"/>
        <v>0.99261085592119658</v>
      </c>
      <c r="O879">
        <v>3.8052615918065581E-3</v>
      </c>
      <c r="P879">
        <v>6.5573049720938715E-3</v>
      </c>
      <c r="Q879">
        <f t="shared" si="217"/>
        <v>4012.6714826161829</v>
      </c>
      <c r="R879">
        <f t="shared" si="218"/>
        <v>4.0126714826161827</v>
      </c>
    </row>
    <row r="880" spans="1:18" x14ac:dyDescent="0.3">
      <c r="A880">
        <v>1.758</v>
      </c>
      <c r="B880" s="4"/>
      <c r="C880">
        <v>-35.365017485867497</v>
      </c>
      <c r="D880">
        <v>1.95</v>
      </c>
      <c r="E880">
        <f t="shared" si="219"/>
        <v>129.0184781581346</v>
      </c>
      <c r="F880">
        <f t="shared" si="208"/>
        <v>1.6623594558497375E-2</v>
      </c>
      <c r="G880">
        <f t="shared" si="209"/>
        <v>5.1413179046899099E-2</v>
      </c>
      <c r="H880">
        <f t="shared" si="210"/>
        <v>61.104812264653631</v>
      </c>
      <c r="I880">
        <f t="shared" si="211"/>
        <v>1.0338875324740904</v>
      </c>
      <c r="J880">
        <f t="shared" si="212"/>
        <v>1.1319202131915249</v>
      </c>
      <c r="K880">
        <f t="shared" si="213"/>
        <v>0.5534952349190696</v>
      </c>
      <c r="L880">
        <f t="shared" si="214"/>
        <v>1.2574423743331757</v>
      </c>
      <c r="M880">
        <f t="shared" si="215"/>
        <v>1.0003679670986563</v>
      </c>
      <c r="N880">
        <f t="shared" si="216"/>
        <v>0.99400277144012383</v>
      </c>
      <c r="O880">
        <v>3.9301837508894195E-3</v>
      </c>
      <c r="P880">
        <v>6.4790438540317163E-3</v>
      </c>
      <c r="Q880">
        <f t="shared" si="217"/>
        <v>4012.6714826161829</v>
      </c>
      <c r="R880">
        <f t="shared" si="218"/>
        <v>4.0126714826161827</v>
      </c>
    </row>
    <row r="881" spans="1:18" x14ac:dyDescent="0.3">
      <c r="A881">
        <v>1.76</v>
      </c>
      <c r="B881" s="4"/>
      <c r="C881">
        <v>-35.365017485867497</v>
      </c>
      <c r="D881">
        <v>1.95</v>
      </c>
      <c r="E881">
        <f t="shared" si="219"/>
        <v>129.0184781581346</v>
      </c>
      <c r="F881">
        <f t="shared" si="208"/>
        <v>1.6623594558497375E-2</v>
      </c>
      <c r="G881">
        <f t="shared" si="209"/>
        <v>5.1413179046899099E-2</v>
      </c>
      <c r="H881">
        <f t="shared" si="210"/>
        <v>61.104812264653631</v>
      </c>
      <c r="I881">
        <f t="shared" si="211"/>
        <v>1.0338875324740904</v>
      </c>
      <c r="J881">
        <f t="shared" si="212"/>
        <v>1.1319202131915249</v>
      </c>
      <c r="K881">
        <f t="shared" si="213"/>
        <v>0.5534952349190696</v>
      </c>
      <c r="L881">
        <f t="shared" si="214"/>
        <v>1.2574423743331757</v>
      </c>
      <c r="M881">
        <f t="shared" si="215"/>
        <v>0.99286830477601629</v>
      </c>
      <c r="N881">
        <f t="shared" si="216"/>
        <v>0.99544081742467305</v>
      </c>
      <c r="O881">
        <v>4.0544585954635625E-3</v>
      </c>
      <c r="P881">
        <v>6.3841455077398215E-3</v>
      </c>
      <c r="Q881">
        <f t="shared" si="217"/>
        <v>4012.6714826161829</v>
      </c>
      <c r="R881">
        <f t="shared" si="218"/>
        <v>4.0126714826161827</v>
      </c>
    </row>
    <row r="882" spans="1:18" x14ac:dyDescent="0.3">
      <c r="A882">
        <v>1.762</v>
      </c>
      <c r="B882" s="4">
        <v>68</v>
      </c>
      <c r="C882">
        <v>-34.805834012008503</v>
      </c>
      <c r="D882">
        <v>1.95</v>
      </c>
      <c r="E882">
        <f>$E$881+$R$881</f>
        <v>133.03114964075078</v>
      </c>
      <c r="F882">
        <f t="shared" si="208"/>
        <v>1.6880124785158546E-2</v>
      </c>
      <c r="G882">
        <f t="shared" si="209"/>
        <v>5.2206571500490351E-2</v>
      </c>
      <c r="H882">
        <f t="shared" si="210"/>
        <v>60.176191680395746</v>
      </c>
      <c r="I882">
        <f t="shared" si="211"/>
        <v>1.032857049750783</v>
      </c>
      <c r="J882">
        <f t="shared" si="212"/>
        <v>1.1278182602784532</v>
      </c>
      <c r="K882">
        <f t="shared" si="213"/>
        <v>0.554373376780807</v>
      </c>
      <c r="L882">
        <f t="shared" si="214"/>
        <v>1.2559551469303087</v>
      </c>
      <c r="M882">
        <f t="shared" si="215"/>
        <v>1.0001949602189546</v>
      </c>
      <c r="N882">
        <f t="shared" si="216"/>
        <v>0.99600448859198509</v>
      </c>
      <c r="O882">
        <v>4.151812356356018E-3</v>
      </c>
      <c r="P882">
        <v>6.3417357960211885E-3</v>
      </c>
      <c r="Q882">
        <f t="shared" si="217"/>
        <v>4032.0202999437647</v>
      </c>
      <c r="R882">
        <f t="shared" si="218"/>
        <v>4.0320202999437651</v>
      </c>
    </row>
    <row r="883" spans="1:18" x14ac:dyDescent="0.3">
      <c r="A883">
        <v>1.764</v>
      </c>
      <c r="B883" s="4"/>
      <c r="C883">
        <v>-34.805834012008503</v>
      </c>
      <c r="D883">
        <v>1.95</v>
      </c>
      <c r="E883">
        <f t="shared" ref="E883:E907" si="220">$E$881+$R$881</f>
        <v>133.03114964075078</v>
      </c>
      <c r="F883">
        <f t="shared" si="208"/>
        <v>1.6880124785158546E-2</v>
      </c>
      <c r="G883">
        <f t="shared" si="209"/>
        <v>5.2206571500490351E-2</v>
      </c>
      <c r="H883">
        <f t="shared" si="210"/>
        <v>60.176191680395746</v>
      </c>
      <c r="I883">
        <f t="shared" si="211"/>
        <v>1.032857049750783</v>
      </c>
      <c r="J883">
        <f t="shared" si="212"/>
        <v>1.1278182602784532</v>
      </c>
      <c r="K883">
        <f t="shared" si="213"/>
        <v>0.554373376780807</v>
      </c>
      <c r="L883">
        <f t="shared" si="214"/>
        <v>1.2559551469303087</v>
      </c>
      <c r="M883">
        <f t="shared" si="215"/>
        <v>1.0052970853545482</v>
      </c>
      <c r="N883">
        <f t="shared" si="216"/>
        <v>0.99459407220129981</v>
      </c>
      <c r="O883">
        <v>4.013914009508927E-3</v>
      </c>
      <c r="P883">
        <v>6.4423479975277672E-3</v>
      </c>
      <c r="Q883">
        <f t="shared" si="217"/>
        <v>4032.0202999437647</v>
      </c>
      <c r="R883">
        <f t="shared" si="218"/>
        <v>4.0320202999437651</v>
      </c>
    </row>
    <row r="884" spans="1:18" x14ac:dyDescent="0.3">
      <c r="A884">
        <v>1.766</v>
      </c>
      <c r="B884" s="4"/>
      <c r="C884">
        <v>-34.805834012008503</v>
      </c>
      <c r="D884">
        <v>1.95</v>
      </c>
      <c r="E884">
        <f t="shared" si="220"/>
        <v>133.03114964075078</v>
      </c>
      <c r="F884">
        <f t="shared" si="208"/>
        <v>1.6880124785158546E-2</v>
      </c>
      <c r="G884">
        <f t="shared" si="209"/>
        <v>5.2206571500490351E-2</v>
      </c>
      <c r="H884">
        <f t="shared" si="210"/>
        <v>60.176191680395746</v>
      </c>
      <c r="I884">
        <f t="shared" si="211"/>
        <v>1.032857049750783</v>
      </c>
      <c r="J884">
        <f t="shared" si="212"/>
        <v>1.1278182602784532</v>
      </c>
      <c r="K884">
        <f t="shared" si="213"/>
        <v>0.554373376780807</v>
      </c>
      <c r="L884">
        <f t="shared" si="214"/>
        <v>1.2559551469303087</v>
      </c>
      <c r="M884">
        <f t="shared" si="215"/>
        <v>1.0010492703147897</v>
      </c>
      <c r="N884">
        <f t="shared" si="216"/>
        <v>0.99317701356958821</v>
      </c>
      <c r="O884">
        <v>3.8606554291185495E-3</v>
      </c>
      <c r="P884">
        <v>6.5270455850745873E-3</v>
      </c>
      <c r="Q884">
        <f t="shared" si="217"/>
        <v>4032.0202999437647</v>
      </c>
      <c r="R884">
        <f t="shared" si="218"/>
        <v>4.0320202999437651</v>
      </c>
    </row>
    <row r="885" spans="1:18" x14ac:dyDescent="0.3">
      <c r="A885">
        <v>1.768</v>
      </c>
      <c r="B885" s="4"/>
      <c r="C885">
        <v>-34.805834012008503</v>
      </c>
      <c r="D885">
        <v>1.95</v>
      </c>
      <c r="E885">
        <f t="shared" si="220"/>
        <v>133.03114964075078</v>
      </c>
      <c r="F885">
        <f t="shared" si="208"/>
        <v>1.6880124785158546E-2</v>
      </c>
      <c r="G885">
        <f t="shared" si="209"/>
        <v>5.2206571500490351E-2</v>
      </c>
      <c r="H885">
        <f t="shared" si="210"/>
        <v>60.176191680395746</v>
      </c>
      <c r="I885">
        <f t="shared" si="211"/>
        <v>1.032857049750783</v>
      </c>
      <c r="J885">
        <f t="shared" si="212"/>
        <v>1.1278182602784532</v>
      </c>
      <c r="K885">
        <f t="shared" si="213"/>
        <v>0.554373376780807</v>
      </c>
      <c r="L885">
        <f t="shared" si="214"/>
        <v>1.2559551469303087</v>
      </c>
      <c r="M885">
        <f t="shared" si="215"/>
        <v>1.0028279038173697</v>
      </c>
      <c r="N885">
        <f t="shared" si="216"/>
        <v>0.99186750357311759</v>
      </c>
      <c r="O885">
        <v>3.7506429367255372E-3</v>
      </c>
      <c r="P885">
        <v>6.5953542866484692E-3</v>
      </c>
      <c r="Q885">
        <f t="shared" si="217"/>
        <v>4032.0202999437647</v>
      </c>
      <c r="R885">
        <f t="shared" si="218"/>
        <v>4.0320202999437651</v>
      </c>
    </row>
    <row r="886" spans="1:18" x14ac:dyDescent="0.3">
      <c r="A886">
        <v>1.77</v>
      </c>
      <c r="B886" s="4"/>
      <c r="C886">
        <v>-34.805834012008503</v>
      </c>
      <c r="D886">
        <v>1.95</v>
      </c>
      <c r="E886">
        <f t="shared" si="220"/>
        <v>133.03114964075078</v>
      </c>
      <c r="F886">
        <f t="shared" si="208"/>
        <v>1.6880124785158546E-2</v>
      </c>
      <c r="G886">
        <f t="shared" si="209"/>
        <v>5.2206571500490351E-2</v>
      </c>
      <c r="H886">
        <f t="shared" si="210"/>
        <v>60.176191680395746</v>
      </c>
      <c r="I886">
        <f t="shared" si="211"/>
        <v>1.032857049750783</v>
      </c>
      <c r="J886">
        <f t="shared" si="212"/>
        <v>1.1278182602784532</v>
      </c>
      <c r="K886">
        <f t="shared" si="213"/>
        <v>0.554373376780807</v>
      </c>
      <c r="L886">
        <f t="shared" si="214"/>
        <v>1.2559551469303087</v>
      </c>
      <c r="M886">
        <f t="shared" si="215"/>
        <v>1.0047618746697891</v>
      </c>
      <c r="N886">
        <f t="shared" si="216"/>
        <v>0.99077366122962152</v>
      </c>
      <c r="O886">
        <v>3.6667416355507902E-3</v>
      </c>
      <c r="P886">
        <v>6.6469215036258633E-3</v>
      </c>
      <c r="Q886">
        <f t="shared" si="217"/>
        <v>4032.0202999437647</v>
      </c>
      <c r="R886">
        <f t="shared" si="218"/>
        <v>4.0320202999437651</v>
      </c>
    </row>
    <row r="887" spans="1:18" x14ac:dyDescent="0.3">
      <c r="A887">
        <v>1.772</v>
      </c>
      <c r="B887" s="4"/>
      <c r="C887">
        <v>-34.805834012008503</v>
      </c>
      <c r="D887">
        <v>1.95</v>
      </c>
      <c r="E887">
        <f t="shared" si="220"/>
        <v>133.03114964075078</v>
      </c>
      <c r="F887">
        <f t="shared" si="208"/>
        <v>1.6880124785158546E-2</v>
      </c>
      <c r="G887">
        <f t="shared" si="209"/>
        <v>5.2206571500490351E-2</v>
      </c>
      <c r="H887">
        <f t="shared" si="210"/>
        <v>60.176191680395746</v>
      </c>
      <c r="I887">
        <f t="shared" si="211"/>
        <v>1.032857049750783</v>
      </c>
      <c r="J887">
        <f t="shared" si="212"/>
        <v>1.1278182602784532</v>
      </c>
      <c r="K887">
        <f t="shared" si="213"/>
        <v>0.554373376780807</v>
      </c>
      <c r="L887">
        <f t="shared" si="214"/>
        <v>1.2559551469303087</v>
      </c>
      <c r="M887">
        <f t="shared" si="215"/>
        <v>1.0063515242047869</v>
      </c>
      <c r="N887">
        <f t="shared" si="216"/>
        <v>0.99982966319155331</v>
      </c>
      <c r="O887">
        <v>3.6100684103568658E-3</v>
      </c>
      <c r="P887">
        <v>6.7028858742838307E-3</v>
      </c>
      <c r="Q887">
        <f t="shared" si="217"/>
        <v>4032.0202999437647</v>
      </c>
      <c r="R887">
        <f t="shared" si="218"/>
        <v>4.0320202999437651</v>
      </c>
    </row>
    <row r="888" spans="1:18" x14ac:dyDescent="0.3">
      <c r="A888">
        <v>1.774</v>
      </c>
      <c r="B888" s="4"/>
      <c r="C888">
        <v>-34.805834012008503</v>
      </c>
      <c r="D888">
        <v>1.95</v>
      </c>
      <c r="E888">
        <f t="shared" si="220"/>
        <v>133.03114964075078</v>
      </c>
      <c r="F888">
        <f t="shared" si="208"/>
        <v>1.6880124785158546E-2</v>
      </c>
      <c r="G888">
        <f t="shared" si="209"/>
        <v>5.2206571500490351E-2</v>
      </c>
      <c r="H888">
        <f t="shared" si="210"/>
        <v>60.176191680395746</v>
      </c>
      <c r="I888">
        <f t="shared" si="211"/>
        <v>1.032857049750783</v>
      </c>
      <c r="J888">
        <f t="shared" si="212"/>
        <v>1.1278182602784532</v>
      </c>
      <c r="K888">
        <f t="shared" si="213"/>
        <v>0.554373376780807</v>
      </c>
      <c r="L888">
        <f t="shared" si="214"/>
        <v>1.2559551469303087</v>
      </c>
      <c r="M888">
        <f t="shared" si="215"/>
        <v>1.0008493475200395</v>
      </c>
      <c r="N888">
        <f t="shared" si="216"/>
        <v>0.99981878337137076</v>
      </c>
      <c r="O888">
        <v>3.556062135598924E-3</v>
      </c>
      <c r="P888">
        <v>6.7211339894909343E-3</v>
      </c>
      <c r="Q888">
        <f t="shared" si="217"/>
        <v>4032.0202999437647</v>
      </c>
      <c r="R888">
        <f t="shared" si="218"/>
        <v>4.0320202999437651</v>
      </c>
    </row>
    <row r="889" spans="1:18" x14ac:dyDescent="0.3">
      <c r="A889">
        <v>1.776</v>
      </c>
      <c r="B889" s="4"/>
      <c r="C889">
        <v>-34.805834012008503</v>
      </c>
      <c r="D889">
        <v>1.95</v>
      </c>
      <c r="E889">
        <f t="shared" si="220"/>
        <v>133.03114964075078</v>
      </c>
      <c r="F889">
        <f t="shared" si="208"/>
        <v>1.6880124785158546E-2</v>
      </c>
      <c r="G889">
        <f t="shared" si="209"/>
        <v>5.2206571500490351E-2</v>
      </c>
      <c r="H889">
        <f t="shared" si="210"/>
        <v>60.176191680395746</v>
      </c>
      <c r="I889">
        <f t="shared" si="211"/>
        <v>1.032857049750783</v>
      </c>
      <c r="J889">
        <f t="shared" si="212"/>
        <v>1.1278182602784532</v>
      </c>
      <c r="K889">
        <f t="shared" si="213"/>
        <v>0.554373376780807</v>
      </c>
      <c r="L889">
        <f t="shared" si="214"/>
        <v>1.2559551469303087</v>
      </c>
      <c r="M889">
        <f t="shared" si="215"/>
        <v>1.000855720965548</v>
      </c>
      <c r="N889">
        <f t="shared" si="216"/>
        <v>0.99981865416172455</v>
      </c>
      <c r="O889">
        <v>3.555709632104252E-3</v>
      </c>
      <c r="P889">
        <v>6.7213455723719355E-3</v>
      </c>
      <c r="Q889">
        <f t="shared" si="217"/>
        <v>4032.0202999437647</v>
      </c>
      <c r="R889">
        <f t="shared" si="218"/>
        <v>4.0320202999437651</v>
      </c>
    </row>
    <row r="890" spans="1:18" x14ac:dyDescent="0.3">
      <c r="A890">
        <v>1.778</v>
      </c>
      <c r="B890" s="4"/>
      <c r="C890">
        <v>-34.805834012008503</v>
      </c>
      <c r="D890">
        <v>1.95</v>
      </c>
      <c r="E890">
        <f t="shared" si="220"/>
        <v>133.03114964075078</v>
      </c>
      <c r="F890">
        <f t="shared" si="208"/>
        <v>1.6880124785158546E-2</v>
      </c>
      <c r="G890">
        <f t="shared" si="209"/>
        <v>5.2206571500490351E-2</v>
      </c>
      <c r="H890">
        <f t="shared" si="210"/>
        <v>60.176191680395746</v>
      </c>
      <c r="I890">
        <f t="shared" si="211"/>
        <v>1.032857049750783</v>
      </c>
      <c r="J890">
        <f t="shared" si="212"/>
        <v>1.1278182602784532</v>
      </c>
      <c r="K890">
        <f t="shared" si="213"/>
        <v>0.554373376780807</v>
      </c>
      <c r="L890">
        <f t="shared" si="214"/>
        <v>1.2559551469303087</v>
      </c>
      <c r="M890">
        <f t="shared" si="215"/>
        <v>1.0063814648738447</v>
      </c>
      <c r="N890">
        <f t="shared" si="216"/>
        <v>0.99982929434152279</v>
      </c>
      <c r="O890">
        <v>3.6090737760696647E-3</v>
      </c>
      <c r="P890">
        <v>6.7035190248828282E-3</v>
      </c>
      <c r="Q890">
        <f t="shared" si="217"/>
        <v>4032.0202999437647</v>
      </c>
      <c r="R890">
        <f t="shared" si="218"/>
        <v>4.0320202999437651</v>
      </c>
    </row>
    <row r="891" spans="1:18" x14ac:dyDescent="0.3">
      <c r="A891">
        <v>1.78</v>
      </c>
      <c r="B891" s="4"/>
      <c r="C891">
        <v>-34.805834012008503</v>
      </c>
      <c r="D891">
        <v>1.95</v>
      </c>
      <c r="E891">
        <f t="shared" si="220"/>
        <v>133.03114964075078</v>
      </c>
      <c r="F891">
        <f t="shared" si="208"/>
        <v>1.6880124785158546E-2</v>
      </c>
      <c r="G891">
        <f t="shared" si="209"/>
        <v>5.2206571500490351E-2</v>
      </c>
      <c r="H891">
        <f t="shared" si="210"/>
        <v>60.176191680395746</v>
      </c>
      <c r="I891">
        <f t="shared" si="211"/>
        <v>1.032857049750783</v>
      </c>
      <c r="J891">
        <f t="shared" si="212"/>
        <v>1.1278182602784532</v>
      </c>
      <c r="K891">
        <f t="shared" si="213"/>
        <v>0.554373376780807</v>
      </c>
      <c r="L891">
        <f t="shared" si="214"/>
        <v>1.2559551469303087</v>
      </c>
      <c r="M891">
        <f t="shared" si="215"/>
        <v>1.0048047445824562</v>
      </c>
      <c r="N891">
        <f t="shared" si="216"/>
        <v>0.99075140127347538</v>
      </c>
      <c r="O891">
        <v>3.6650985619372401E-3</v>
      </c>
      <c r="P891">
        <v>6.6479268463867083E-3</v>
      </c>
      <c r="Q891">
        <f t="shared" si="217"/>
        <v>4032.0202999437647</v>
      </c>
      <c r="R891">
        <f t="shared" si="218"/>
        <v>4.0320202999437651</v>
      </c>
    </row>
    <row r="892" spans="1:18" x14ac:dyDescent="0.3">
      <c r="A892">
        <v>1.782</v>
      </c>
      <c r="B892" s="4"/>
      <c r="C892">
        <v>-34.805834012008503</v>
      </c>
      <c r="D892">
        <v>1.95</v>
      </c>
      <c r="E892">
        <f t="shared" si="220"/>
        <v>133.03114964075078</v>
      </c>
      <c r="F892">
        <f t="shared" si="208"/>
        <v>1.6880124785158546E-2</v>
      </c>
      <c r="G892">
        <f t="shared" si="209"/>
        <v>5.2206571500490351E-2</v>
      </c>
      <c r="H892">
        <f t="shared" si="210"/>
        <v>60.176191680395746</v>
      </c>
      <c r="I892">
        <f t="shared" si="211"/>
        <v>1.032857049750783</v>
      </c>
      <c r="J892">
        <f t="shared" si="212"/>
        <v>1.1278182602784532</v>
      </c>
      <c r="K892">
        <f t="shared" si="213"/>
        <v>0.554373376780807</v>
      </c>
      <c r="L892">
        <f t="shared" si="214"/>
        <v>1.2559551469303087</v>
      </c>
      <c r="M892">
        <f t="shared" si="215"/>
        <v>1.0028736393989652</v>
      </c>
      <c r="N892">
        <f t="shared" si="216"/>
        <v>0.99183900949410031</v>
      </c>
      <c r="O892">
        <v>3.748373253824374E-3</v>
      </c>
      <c r="P892">
        <v>6.5967552572633384E-3</v>
      </c>
      <c r="Q892">
        <f t="shared" si="217"/>
        <v>4032.0202999437647</v>
      </c>
      <c r="R892">
        <f t="shared" si="218"/>
        <v>4.0320202999437651</v>
      </c>
    </row>
    <row r="893" spans="1:18" x14ac:dyDescent="0.3">
      <c r="A893">
        <v>1.784</v>
      </c>
      <c r="B893" s="4"/>
      <c r="C893">
        <v>-34.805834012008503</v>
      </c>
      <c r="D893">
        <v>1.95</v>
      </c>
      <c r="E893">
        <f t="shared" si="220"/>
        <v>133.03114964075078</v>
      </c>
      <c r="F893">
        <f t="shared" si="208"/>
        <v>1.6880124785158546E-2</v>
      </c>
      <c r="G893">
        <f t="shared" si="209"/>
        <v>5.2206571500490351E-2</v>
      </c>
      <c r="H893">
        <f t="shared" si="210"/>
        <v>60.176191680395746</v>
      </c>
      <c r="I893">
        <f t="shared" si="211"/>
        <v>1.032857049750783</v>
      </c>
      <c r="J893">
        <f t="shared" si="212"/>
        <v>1.1278182602784532</v>
      </c>
      <c r="K893">
        <f t="shared" si="213"/>
        <v>0.554373376780807</v>
      </c>
      <c r="L893">
        <f t="shared" si="214"/>
        <v>1.2559551469303087</v>
      </c>
      <c r="M893">
        <f t="shared" si="215"/>
        <v>1.0010847221306376</v>
      </c>
      <c r="N893">
        <f t="shared" si="216"/>
        <v>0.99314465744842573</v>
      </c>
      <c r="O893">
        <v>3.8577894065742508E-3</v>
      </c>
      <c r="P893">
        <v>6.52883522800467E-3</v>
      </c>
      <c r="Q893">
        <f t="shared" si="217"/>
        <v>4032.0202999437647</v>
      </c>
      <c r="R893">
        <f t="shared" si="218"/>
        <v>4.0320202999437651</v>
      </c>
    </row>
    <row r="894" spans="1:18" x14ac:dyDescent="0.3">
      <c r="A894">
        <v>1.786</v>
      </c>
      <c r="B894" s="4"/>
      <c r="C894">
        <v>-34.805834012008503</v>
      </c>
      <c r="D894">
        <v>1.95</v>
      </c>
      <c r="E894">
        <f t="shared" si="220"/>
        <v>133.03114964075078</v>
      </c>
      <c r="F894">
        <f t="shared" si="208"/>
        <v>1.6880124785158546E-2</v>
      </c>
      <c r="G894">
        <f t="shared" si="209"/>
        <v>5.2206571500490351E-2</v>
      </c>
      <c r="H894">
        <f t="shared" si="210"/>
        <v>60.176191680395746</v>
      </c>
      <c r="I894">
        <f t="shared" si="211"/>
        <v>1.032857049750783</v>
      </c>
      <c r="J894">
        <f t="shared" si="212"/>
        <v>1.1278182602784532</v>
      </c>
      <c r="K894">
        <f t="shared" si="213"/>
        <v>0.554373376780807</v>
      </c>
      <c r="L894">
        <f t="shared" si="214"/>
        <v>1.2559551469303087</v>
      </c>
      <c r="M894">
        <f t="shared" si="215"/>
        <v>1.0062720417186353</v>
      </c>
      <c r="N894">
        <f t="shared" si="216"/>
        <v>0.99456050081475189</v>
      </c>
      <c r="O894">
        <v>4.013914009508927E-3</v>
      </c>
      <c r="P894">
        <v>6.4445167366240673E-3</v>
      </c>
      <c r="Q894">
        <f t="shared" si="217"/>
        <v>4032.0202999437647</v>
      </c>
      <c r="R894">
        <f t="shared" si="218"/>
        <v>4.0320202999437651</v>
      </c>
    </row>
    <row r="895" spans="1:18" x14ac:dyDescent="0.3">
      <c r="A895">
        <v>1.788</v>
      </c>
      <c r="B895" s="4"/>
      <c r="C895">
        <v>-34.805834012008503</v>
      </c>
      <c r="D895">
        <v>1.95</v>
      </c>
      <c r="E895">
        <f t="shared" si="220"/>
        <v>133.03114964075078</v>
      </c>
      <c r="F895">
        <f t="shared" si="208"/>
        <v>1.6880124785158546E-2</v>
      </c>
      <c r="G895">
        <f t="shared" si="209"/>
        <v>5.2206571500490351E-2</v>
      </c>
      <c r="H895">
        <f t="shared" si="210"/>
        <v>60.176191680395746</v>
      </c>
      <c r="I895">
        <f t="shared" si="211"/>
        <v>1.032857049750783</v>
      </c>
      <c r="J895">
        <f t="shared" si="212"/>
        <v>1.1278182602784532</v>
      </c>
      <c r="K895">
        <f t="shared" si="213"/>
        <v>0.554373376780807</v>
      </c>
      <c r="L895">
        <f t="shared" si="214"/>
        <v>1.2559551469303087</v>
      </c>
      <c r="M895">
        <f t="shared" si="215"/>
        <v>1.000174324943897</v>
      </c>
      <c r="N895">
        <f t="shared" si="216"/>
        <v>0.99597236031101888</v>
      </c>
      <c r="O895">
        <v>4.147915815269106E-3</v>
      </c>
      <c r="P895">
        <v>6.3442709691522783E-3</v>
      </c>
      <c r="Q895">
        <f t="shared" si="217"/>
        <v>4032.0202999437647</v>
      </c>
      <c r="R895">
        <f t="shared" si="218"/>
        <v>4.0320202999437651</v>
      </c>
    </row>
    <row r="896" spans="1:18" x14ac:dyDescent="0.3">
      <c r="A896">
        <v>1.79</v>
      </c>
      <c r="B896" s="4"/>
      <c r="C896">
        <v>-34.805834012008503</v>
      </c>
      <c r="D896">
        <v>1.95</v>
      </c>
      <c r="E896">
        <f t="shared" si="220"/>
        <v>133.03114964075078</v>
      </c>
      <c r="F896">
        <f t="shared" si="208"/>
        <v>1.6880124785158546E-2</v>
      </c>
      <c r="G896">
        <f t="shared" si="209"/>
        <v>5.2206571500490351E-2</v>
      </c>
      <c r="H896">
        <f t="shared" si="210"/>
        <v>60.176191680395746</v>
      </c>
      <c r="I896">
        <f t="shared" si="211"/>
        <v>1.032857049750783</v>
      </c>
      <c r="J896">
        <f t="shared" si="212"/>
        <v>1.1278182602784532</v>
      </c>
      <c r="K896">
        <f t="shared" si="213"/>
        <v>0.554373376780807</v>
      </c>
      <c r="L896">
        <f t="shared" si="214"/>
        <v>1.2559551469303087</v>
      </c>
      <c r="M896">
        <f t="shared" si="215"/>
        <v>1.0021708145795607</v>
      </c>
      <c r="N896">
        <f t="shared" si="216"/>
        <v>0.9972713481288864</v>
      </c>
      <c r="O896">
        <v>4.3238704059788005E-3</v>
      </c>
      <c r="P896">
        <v>6.2287120644354274E-3</v>
      </c>
      <c r="Q896">
        <f t="shared" si="217"/>
        <v>4032.0202999437647</v>
      </c>
      <c r="R896">
        <f t="shared" si="218"/>
        <v>4.0320202999437651</v>
      </c>
    </row>
    <row r="897" spans="1:18" x14ac:dyDescent="0.3">
      <c r="A897">
        <v>1.792</v>
      </c>
      <c r="B897" s="4"/>
      <c r="C897">
        <v>-34.805834012008503</v>
      </c>
      <c r="D897">
        <v>1.95</v>
      </c>
      <c r="E897">
        <f t="shared" si="220"/>
        <v>133.03114964075078</v>
      </c>
      <c r="F897">
        <f t="shared" si="208"/>
        <v>1.6880124785158546E-2</v>
      </c>
      <c r="G897">
        <f t="shared" si="209"/>
        <v>5.2206571500490351E-2</v>
      </c>
      <c r="H897">
        <f t="shared" si="210"/>
        <v>60.176191680395746</v>
      </c>
      <c r="I897">
        <f t="shared" si="211"/>
        <v>1.032857049750783</v>
      </c>
      <c r="J897">
        <f t="shared" si="212"/>
        <v>1.1278182602784532</v>
      </c>
      <c r="K897">
        <f t="shared" si="213"/>
        <v>0.554373376780807</v>
      </c>
      <c r="L897">
        <f t="shared" si="214"/>
        <v>1.2559551469303087</v>
      </c>
      <c r="M897">
        <f t="shared" si="215"/>
        <v>1.0013372970569645</v>
      </c>
      <c r="N897">
        <f t="shared" si="216"/>
        <v>0.99836562656134453</v>
      </c>
      <c r="O897">
        <v>4.5004490409645539E-3</v>
      </c>
      <c r="P897">
        <v>6.09862234159355E-3</v>
      </c>
      <c r="Q897">
        <f t="shared" si="217"/>
        <v>4032.0202999437647</v>
      </c>
      <c r="R897">
        <f t="shared" si="218"/>
        <v>4.0320202999437651</v>
      </c>
    </row>
    <row r="898" spans="1:18" x14ac:dyDescent="0.3">
      <c r="A898">
        <v>1.794</v>
      </c>
      <c r="B898" s="4"/>
      <c r="C898">
        <v>-34.805834012008503</v>
      </c>
      <c r="D898">
        <v>1.95</v>
      </c>
      <c r="E898">
        <f t="shared" si="220"/>
        <v>133.03114964075078</v>
      </c>
      <c r="F898">
        <f t="shared" si="208"/>
        <v>1.6880124785158546E-2</v>
      </c>
      <c r="G898">
        <f t="shared" si="209"/>
        <v>5.2206571500490351E-2</v>
      </c>
      <c r="H898">
        <f t="shared" si="210"/>
        <v>60.176191680395746</v>
      </c>
      <c r="I898">
        <f t="shared" si="211"/>
        <v>1.032857049750783</v>
      </c>
      <c r="J898">
        <f t="shared" si="212"/>
        <v>1.1278182602784532</v>
      </c>
      <c r="K898">
        <f t="shared" si="213"/>
        <v>0.554373376780807</v>
      </c>
      <c r="L898">
        <f t="shared" si="214"/>
        <v>1.2559551469303087</v>
      </c>
      <c r="M898">
        <f t="shared" si="215"/>
        <v>1.0040898875121318</v>
      </c>
      <c r="N898">
        <f t="shared" si="216"/>
        <v>0.9991911585771005</v>
      </c>
      <c r="O898">
        <v>4.6947288663631917E-3</v>
      </c>
      <c r="P898">
        <v>5.9549802091281015E-3</v>
      </c>
      <c r="Q898">
        <f t="shared" si="217"/>
        <v>4032.0202999437647</v>
      </c>
      <c r="R898">
        <f t="shared" si="218"/>
        <v>4.0320202999437651</v>
      </c>
    </row>
    <row r="899" spans="1:18" x14ac:dyDescent="0.3">
      <c r="A899">
        <v>1.796</v>
      </c>
      <c r="B899" s="4"/>
      <c r="C899">
        <v>-34.805834012008503</v>
      </c>
      <c r="D899">
        <v>1.95</v>
      </c>
      <c r="E899">
        <f t="shared" si="220"/>
        <v>133.03114964075078</v>
      </c>
      <c r="F899">
        <f t="shared" ref="F899:F962" si="221">0.0462806*SQRT(E899/1000)</f>
        <v>1.6880124785158546E-2</v>
      </c>
      <c r="G899">
        <f t="shared" ref="G899:G962" si="222">$U$3*F899/2</f>
        <v>5.2206571500490351E-2</v>
      </c>
      <c r="H899">
        <f t="shared" ref="H899:H962" si="223">PI()/G899</f>
        <v>60.176191680395746</v>
      </c>
      <c r="I899">
        <f t="shared" ref="I899:I962" si="224">BESSELI(H899*$Y$5,0)</f>
        <v>1.032857049750783</v>
      </c>
      <c r="J899">
        <f t="shared" ref="J899:J962" si="225">BESSELI(H899*D899*$Y$5,0)</f>
        <v>1.1278182602784532</v>
      </c>
      <c r="K899">
        <f t="shared" ref="K899:K962" si="226">(D899^2-1)/(D899^2*I899+J899)</f>
        <v>0.554373376780807</v>
      </c>
      <c r="L899">
        <f t="shared" ref="L899:L962" si="227">I899+J899/(D899^2*I899+J899)</f>
        <v>1.2559551469303087</v>
      </c>
      <c r="M899">
        <f t="shared" ref="M899:M962" si="228">((L899*O899^2)/$Y$5^2)+(K899*BESSELI(O899*H899,0)*COS(H899*A899))</f>
        <v>0.99954761108722556</v>
      </c>
      <c r="N899">
        <f t="shared" ref="N899:N962" si="229">((L899*P899^2)/$Y$5^2)-(K899*BESSELI(P899*H899,0)*COS(H899*A899))</f>
        <v>0.99972022327182464</v>
      </c>
      <c r="O899">
        <v>4.8704679162103123E-3</v>
      </c>
      <c r="P899">
        <v>5.7989895670990691E-3</v>
      </c>
      <c r="Q899">
        <f t="shared" ref="Q899:Q962" si="230">PI()*K899*$U$4*J899*COS(C899*$Y$7)/(4*$Y$6)</f>
        <v>4032.0202999437647</v>
      </c>
      <c r="R899">
        <f t="shared" ref="R899:R962" si="231">Q899/1000</f>
        <v>4.0320202999437651</v>
      </c>
    </row>
    <row r="900" spans="1:18" x14ac:dyDescent="0.3">
      <c r="A900">
        <v>1.798</v>
      </c>
      <c r="B900" s="4"/>
      <c r="C900">
        <v>-34.805834012008503</v>
      </c>
      <c r="D900">
        <v>1.95</v>
      </c>
      <c r="E900">
        <f t="shared" si="220"/>
        <v>133.03114964075078</v>
      </c>
      <c r="F900">
        <f t="shared" si="221"/>
        <v>1.6880124785158546E-2</v>
      </c>
      <c r="G900">
        <f t="shared" si="222"/>
        <v>5.2206571500490351E-2</v>
      </c>
      <c r="H900">
        <f t="shared" si="223"/>
        <v>60.176191680395746</v>
      </c>
      <c r="I900">
        <f t="shared" si="224"/>
        <v>1.032857049750783</v>
      </c>
      <c r="J900">
        <f t="shared" si="225"/>
        <v>1.1278182602784532</v>
      </c>
      <c r="K900">
        <f t="shared" si="226"/>
        <v>0.554373376780807</v>
      </c>
      <c r="L900">
        <f t="shared" si="227"/>
        <v>1.2559551469303087</v>
      </c>
      <c r="M900">
        <f t="shared" si="228"/>
        <v>0.99869619924579833</v>
      </c>
      <c r="N900">
        <f t="shared" si="229"/>
        <v>1.0036894027819039</v>
      </c>
      <c r="O900">
        <v>5.0581250428221175E-3</v>
      </c>
      <c r="P900">
        <v>5.6416004836748711E-3</v>
      </c>
      <c r="Q900">
        <f t="shared" si="230"/>
        <v>4032.0202999437647</v>
      </c>
      <c r="R900">
        <f t="shared" si="231"/>
        <v>4.0320202999437651</v>
      </c>
    </row>
    <row r="901" spans="1:18" x14ac:dyDescent="0.3">
      <c r="A901">
        <v>1.8</v>
      </c>
      <c r="B901" s="4"/>
      <c r="C901">
        <v>-34.805834012008503</v>
      </c>
      <c r="D901">
        <v>1.95</v>
      </c>
      <c r="E901">
        <f t="shared" si="220"/>
        <v>133.03114964075078</v>
      </c>
      <c r="F901">
        <f t="shared" si="221"/>
        <v>1.6880124785158546E-2</v>
      </c>
      <c r="G901">
        <f t="shared" si="222"/>
        <v>5.2206571500490351E-2</v>
      </c>
      <c r="H901">
        <f t="shared" si="223"/>
        <v>60.176191680395746</v>
      </c>
      <c r="I901">
        <f t="shared" si="224"/>
        <v>1.032857049750783</v>
      </c>
      <c r="J901">
        <f t="shared" si="225"/>
        <v>1.1278182602784532</v>
      </c>
      <c r="K901">
        <f t="shared" si="226"/>
        <v>0.554373376780807</v>
      </c>
      <c r="L901">
        <f t="shared" si="227"/>
        <v>1.2559551469303087</v>
      </c>
      <c r="M901">
        <f t="shared" si="228"/>
        <v>0.99827607731809032</v>
      </c>
      <c r="N901">
        <f t="shared" si="229"/>
        <v>0.99786654672078878</v>
      </c>
      <c r="O901">
        <v>5.2450446494267328E-3</v>
      </c>
      <c r="P901">
        <v>5.4505044222655447E-3</v>
      </c>
      <c r="Q901">
        <f t="shared" si="230"/>
        <v>4032.0202999437647</v>
      </c>
      <c r="R901">
        <f t="shared" si="231"/>
        <v>4.0320202999437651</v>
      </c>
    </row>
    <row r="902" spans="1:18" x14ac:dyDescent="0.3">
      <c r="A902">
        <v>1.802</v>
      </c>
      <c r="B902" s="4"/>
      <c r="C902">
        <v>-34.805834012008503</v>
      </c>
      <c r="D902">
        <v>1.95</v>
      </c>
      <c r="E902">
        <f t="shared" si="220"/>
        <v>133.03114964075078</v>
      </c>
      <c r="F902">
        <f t="shared" si="221"/>
        <v>1.6880124785158546E-2</v>
      </c>
      <c r="G902">
        <f t="shared" si="222"/>
        <v>5.2206571500490351E-2</v>
      </c>
      <c r="H902">
        <f t="shared" si="223"/>
        <v>60.176191680395746</v>
      </c>
      <c r="I902">
        <f t="shared" si="224"/>
        <v>1.032857049750783</v>
      </c>
      <c r="J902">
        <f t="shared" si="225"/>
        <v>1.1278182602784532</v>
      </c>
      <c r="K902">
        <f t="shared" si="226"/>
        <v>0.554373376780807</v>
      </c>
      <c r="L902">
        <f t="shared" si="227"/>
        <v>1.2559551469303087</v>
      </c>
      <c r="M902">
        <f t="shared" si="228"/>
        <v>1.0043963844168278</v>
      </c>
      <c r="N902">
        <f t="shared" si="229"/>
        <v>0.99857313375576251</v>
      </c>
      <c r="O902">
        <v>5.4448759127339232E-3</v>
      </c>
      <c r="P902">
        <v>5.2694183644017003E-3</v>
      </c>
      <c r="Q902">
        <f t="shared" si="230"/>
        <v>4032.0202999437647</v>
      </c>
      <c r="R902">
        <f t="shared" si="231"/>
        <v>4.0320202999437651</v>
      </c>
    </row>
    <row r="903" spans="1:18" x14ac:dyDescent="0.3">
      <c r="A903">
        <v>1.804</v>
      </c>
      <c r="B903" s="4"/>
      <c r="C903">
        <v>-34.805834012008503</v>
      </c>
      <c r="D903">
        <v>1.95</v>
      </c>
      <c r="E903">
        <f t="shared" si="220"/>
        <v>133.03114964075078</v>
      </c>
      <c r="F903">
        <f t="shared" si="221"/>
        <v>1.6880124785158546E-2</v>
      </c>
      <c r="G903">
        <f t="shared" si="222"/>
        <v>5.2206571500490351E-2</v>
      </c>
      <c r="H903">
        <f t="shared" si="223"/>
        <v>60.176191680395746</v>
      </c>
      <c r="I903">
        <f t="shared" si="224"/>
        <v>1.032857049750783</v>
      </c>
      <c r="J903">
        <f t="shared" si="225"/>
        <v>1.1278182602784532</v>
      </c>
      <c r="K903">
        <f t="shared" si="226"/>
        <v>0.554373376780807</v>
      </c>
      <c r="L903">
        <f t="shared" si="227"/>
        <v>1.2559551469303087</v>
      </c>
      <c r="M903">
        <f t="shared" si="228"/>
        <v>0.99963968339722908</v>
      </c>
      <c r="N903">
        <f t="shared" si="229"/>
        <v>0.99946841841404188</v>
      </c>
      <c r="O903">
        <v>5.6093985925359004E-3</v>
      </c>
      <c r="P903">
        <v>5.0842943340334481E-3</v>
      </c>
      <c r="Q903">
        <f t="shared" si="230"/>
        <v>4032.0202999437647</v>
      </c>
      <c r="R903">
        <f t="shared" si="231"/>
        <v>4.0320202999437651</v>
      </c>
    </row>
    <row r="904" spans="1:18" x14ac:dyDescent="0.3">
      <c r="A904">
        <v>1.806</v>
      </c>
      <c r="B904" s="4"/>
      <c r="C904">
        <v>-34.805834012008503</v>
      </c>
      <c r="D904">
        <v>1.95</v>
      </c>
      <c r="E904">
        <f t="shared" si="220"/>
        <v>133.03114964075078</v>
      </c>
      <c r="F904">
        <f t="shared" si="221"/>
        <v>1.6880124785158546E-2</v>
      </c>
      <c r="G904">
        <f t="shared" si="222"/>
        <v>5.2206571500490351E-2</v>
      </c>
      <c r="H904">
        <f t="shared" si="223"/>
        <v>60.176191680395746</v>
      </c>
      <c r="I904">
        <f t="shared" si="224"/>
        <v>1.032857049750783</v>
      </c>
      <c r="J904">
        <f t="shared" si="225"/>
        <v>1.1278182602784532</v>
      </c>
      <c r="K904">
        <f t="shared" si="226"/>
        <v>0.554373376780807</v>
      </c>
      <c r="L904">
        <f t="shared" si="227"/>
        <v>1.2559551469303087</v>
      </c>
      <c r="M904">
        <f t="shared" si="228"/>
        <v>0.99897431981059603</v>
      </c>
      <c r="N904">
        <f t="shared" si="229"/>
        <v>1.0050857260203809</v>
      </c>
      <c r="O904">
        <v>5.7764392244654007E-3</v>
      </c>
      <c r="P904">
        <v>4.9107015627287082E-3</v>
      </c>
      <c r="Q904">
        <f t="shared" si="230"/>
        <v>4032.0202999437647</v>
      </c>
      <c r="R904">
        <f t="shared" si="231"/>
        <v>4.0320202999437651</v>
      </c>
    </row>
    <row r="905" spans="1:18" x14ac:dyDescent="0.3">
      <c r="A905">
        <v>1.8080000000000001</v>
      </c>
      <c r="B905" s="4"/>
      <c r="C905">
        <v>-34.805834012008503</v>
      </c>
      <c r="D905">
        <v>1.95</v>
      </c>
      <c r="E905">
        <f t="shared" si="220"/>
        <v>133.03114964075078</v>
      </c>
      <c r="F905">
        <f t="shared" si="221"/>
        <v>1.6880124785158546E-2</v>
      </c>
      <c r="G905">
        <f t="shared" si="222"/>
        <v>5.2206571500490351E-2</v>
      </c>
      <c r="H905">
        <f t="shared" si="223"/>
        <v>60.176191680395746</v>
      </c>
      <c r="I905">
        <f t="shared" si="224"/>
        <v>1.032857049750783</v>
      </c>
      <c r="J905">
        <f t="shared" si="225"/>
        <v>1.1278182602784532</v>
      </c>
      <c r="K905">
        <f t="shared" si="226"/>
        <v>0.554373376780807</v>
      </c>
      <c r="L905">
        <f t="shared" si="227"/>
        <v>1.2559551469303087</v>
      </c>
      <c r="M905">
        <f t="shared" si="228"/>
        <v>0.99791503192266795</v>
      </c>
      <c r="N905">
        <f t="shared" si="229"/>
        <v>0.99342288489471275</v>
      </c>
      <c r="O905">
        <v>5.9325658863621841E-3</v>
      </c>
      <c r="P905">
        <v>4.6862327258054629E-3</v>
      </c>
      <c r="Q905">
        <f t="shared" si="230"/>
        <v>4032.0202999437647</v>
      </c>
      <c r="R905">
        <f t="shared" si="231"/>
        <v>4.0320202999437651</v>
      </c>
    </row>
    <row r="906" spans="1:18" x14ac:dyDescent="0.3">
      <c r="A906">
        <v>1.81</v>
      </c>
      <c r="B906" s="4"/>
      <c r="C906">
        <v>-34.805834012008503</v>
      </c>
      <c r="D906">
        <v>1.95</v>
      </c>
      <c r="E906">
        <f t="shared" si="220"/>
        <v>133.03114964075078</v>
      </c>
      <c r="F906">
        <f t="shared" si="221"/>
        <v>1.6880124785158546E-2</v>
      </c>
      <c r="G906">
        <f t="shared" si="222"/>
        <v>5.2206571500490351E-2</v>
      </c>
      <c r="H906">
        <f t="shared" si="223"/>
        <v>60.176191680395746</v>
      </c>
      <c r="I906">
        <f t="shared" si="224"/>
        <v>1.032857049750783</v>
      </c>
      <c r="J906">
        <f t="shared" si="225"/>
        <v>1.1278182602784532</v>
      </c>
      <c r="K906">
        <f t="shared" si="226"/>
        <v>0.554373376780807</v>
      </c>
      <c r="L906">
        <f t="shared" si="227"/>
        <v>1.2559551469303087</v>
      </c>
      <c r="M906">
        <f t="shared" si="228"/>
        <v>0.99647128399207274</v>
      </c>
      <c r="N906">
        <f t="shared" si="229"/>
        <v>1.0028499154543031</v>
      </c>
      <c r="O906">
        <v>6.0763618064094164E-3</v>
      </c>
      <c r="P906">
        <v>4.5284664989492978E-3</v>
      </c>
      <c r="Q906">
        <f t="shared" si="230"/>
        <v>4032.0202999437647</v>
      </c>
      <c r="R906">
        <f t="shared" si="231"/>
        <v>4.0320202999437651</v>
      </c>
    </row>
    <row r="907" spans="1:18" x14ac:dyDescent="0.3">
      <c r="A907">
        <v>1.8120000000000001</v>
      </c>
      <c r="B907" s="4"/>
      <c r="C907">
        <v>-34.805834012008503</v>
      </c>
      <c r="D907">
        <v>1.95</v>
      </c>
      <c r="E907">
        <f t="shared" si="220"/>
        <v>133.03114964075078</v>
      </c>
      <c r="F907">
        <f t="shared" si="221"/>
        <v>1.6880124785158546E-2</v>
      </c>
      <c r="G907">
        <f t="shared" si="222"/>
        <v>5.2206571500490351E-2</v>
      </c>
      <c r="H907">
        <f t="shared" si="223"/>
        <v>60.176191680395746</v>
      </c>
      <c r="I907">
        <f t="shared" si="224"/>
        <v>1.032857049750783</v>
      </c>
      <c r="J907">
        <f t="shared" si="225"/>
        <v>1.1278182602784532</v>
      </c>
      <c r="K907">
        <f t="shared" si="226"/>
        <v>0.554373376780807</v>
      </c>
      <c r="L907">
        <f t="shared" si="227"/>
        <v>1.2559551469303087</v>
      </c>
      <c r="M907">
        <f t="shared" si="228"/>
        <v>0.99469908084581615</v>
      </c>
      <c r="N907">
        <f t="shared" si="229"/>
        <v>1.000316130121458</v>
      </c>
      <c r="O907">
        <v>6.2066701910805057E-3</v>
      </c>
      <c r="P907">
        <v>4.3400300180439985E-3</v>
      </c>
      <c r="Q907">
        <f t="shared" si="230"/>
        <v>4032.0202999437647</v>
      </c>
      <c r="R907">
        <f t="shared" si="231"/>
        <v>4.0320202999437651</v>
      </c>
    </row>
    <row r="908" spans="1:18" x14ac:dyDescent="0.3">
      <c r="A908">
        <v>1.8140000000000001</v>
      </c>
      <c r="B908" s="4">
        <v>69</v>
      </c>
      <c r="C908">
        <v>-34.238990490562401</v>
      </c>
      <c r="D908">
        <v>1.95</v>
      </c>
      <c r="E908">
        <f>$E$907+$R$907</f>
        <v>137.06316994069454</v>
      </c>
      <c r="F908">
        <f t="shared" si="221"/>
        <v>1.7134023829627816E-2</v>
      </c>
      <c r="G908">
        <f t="shared" si="222"/>
        <v>5.2991826277199436E-2</v>
      </c>
      <c r="H908">
        <f t="shared" si="223"/>
        <v>59.28447600873708</v>
      </c>
      <c r="I908">
        <f t="shared" si="224"/>
        <v>1.0318828500989141</v>
      </c>
      <c r="J908">
        <f t="shared" si="225"/>
        <v>1.1239455683810959</v>
      </c>
      <c r="K908">
        <f t="shared" si="226"/>
        <v>0.55520554813569911</v>
      </c>
      <c r="L908">
        <f t="shared" si="227"/>
        <v>1.2545486182943526</v>
      </c>
      <c r="M908">
        <f t="shared" si="228"/>
        <v>0.9933772643342178</v>
      </c>
      <c r="N908">
        <f t="shared" si="229"/>
        <v>0.99530688478846185</v>
      </c>
      <c r="O908">
        <v>4.0544585954635625E-3</v>
      </c>
      <c r="P908">
        <v>6.3942593558388786E-3</v>
      </c>
      <c r="Q908">
        <f t="shared" si="230"/>
        <v>4051.6860010061559</v>
      </c>
      <c r="R908">
        <f t="shared" si="231"/>
        <v>4.0516860010061562</v>
      </c>
    </row>
    <row r="909" spans="1:18" x14ac:dyDescent="0.3">
      <c r="A909">
        <v>1.8160000000000001</v>
      </c>
      <c r="B909" s="4"/>
      <c r="C909">
        <v>-34.238990490562401</v>
      </c>
      <c r="D909">
        <v>1.95</v>
      </c>
      <c r="E909">
        <f t="shared" ref="E909:E933" si="232">$E$907+$R$907</f>
        <v>137.06316994069454</v>
      </c>
      <c r="F909">
        <f t="shared" si="221"/>
        <v>1.7134023829627816E-2</v>
      </c>
      <c r="G909">
        <f t="shared" si="222"/>
        <v>5.2991826277199436E-2</v>
      </c>
      <c r="H909">
        <f t="shared" si="223"/>
        <v>59.28447600873708</v>
      </c>
      <c r="I909">
        <f t="shared" si="224"/>
        <v>1.0318828500989141</v>
      </c>
      <c r="J909">
        <f t="shared" si="225"/>
        <v>1.1239455683810959</v>
      </c>
      <c r="K909">
        <f t="shared" si="226"/>
        <v>0.55520554813569911</v>
      </c>
      <c r="L909">
        <f t="shared" si="227"/>
        <v>1.2545486182943526</v>
      </c>
      <c r="M909">
        <f t="shared" si="228"/>
        <v>1.0009757240315837</v>
      </c>
      <c r="N909">
        <f t="shared" si="229"/>
        <v>0.99665980756492778</v>
      </c>
      <c r="O909">
        <v>4.2425010878832442E-3</v>
      </c>
      <c r="P909">
        <v>6.2870283309796084E-3</v>
      </c>
      <c r="Q909">
        <f t="shared" si="230"/>
        <v>4051.6860010061559</v>
      </c>
      <c r="R909">
        <f t="shared" si="231"/>
        <v>4.0516860010061562</v>
      </c>
    </row>
    <row r="910" spans="1:18" x14ac:dyDescent="0.3">
      <c r="A910">
        <v>1.8180000000000001</v>
      </c>
      <c r="B910" s="4"/>
      <c r="C910">
        <v>-34.238990490562401</v>
      </c>
      <c r="D910">
        <v>1.95</v>
      </c>
      <c r="E910">
        <f t="shared" si="232"/>
        <v>137.06316994069454</v>
      </c>
      <c r="F910">
        <f t="shared" si="221"/>
        <v>1.7134023829627816E-2</v>
      </c>
      <c r="G910">
        <f t="shared" si="222"/>
        <v>5.2991826277199436E-2</v>
      </c>
      <c r="H910">
        <f t="shared" si="223"/>
        <v>59.28447600873708</v>
      </c>
      <c r="I910">
        <f t="shared" si="224"/>
        <v>1.0318828500989141</v>
      </c>
      <c r="J910">
        <f t="shared" si="225"/>
        <v>1.1239455683810959</v>
      </c>
      <c r="K910">
        <f t="shared" si="226"/>
        <v>0.55520554813569911</v>
      </c>
      <c r="L910">
        <f t="shared" si="227"/>
        <v>1.2545486182943526</v>
      </c>
      <c r="M910">
        <f t="shared" si="228"/>
        <v>1.004325724274836</v>
      </c>
      <c r="N910">
        <f t="shared" si="229"/>
        <v>0.99785161114883902</v>
      </c>
      <c r="O910">
        <v>4.4262076121606934E-3</v>
      </c>
      <c r="P910">
        <v>6.1653071268453694E-3</v>
      </c>
      <c r="Q910">
        <f t="shared" si="230"/>
        <v>4051.6860010061559</v>
      </c>
      <c r="R910">
        <f t="shared" si="231"/>
        <v>4.0516860010061562</v>
      </c>
    </row>
    <row r="911" spans="1:18" x14ac:dyDescent="0.3">
      <c r="A911">
        <v>1.82</v>
      </c>
      <c r="B911" s="4"/>
      <c r="C911">
        <v>-34.238990490562401</v>
      </c>
      <c r="D911">
        <v>1.95</v>
      </c>
      <c r="E911">
        <f t="shared" si="232"/>
        <v>137.06316994069454</v>
      </c>
      <c r="F911">
        <f t="shared" si="221"/>
        <v>1.7134023829627816E-2</v>
      </c>
      <c r="G911">
        <f t="shared" si="222"/>
        <v>5.2991826277199436E-2</v>
      </c>
      <c r="H911">
        <f t="shared" si="223"/>
        <v>59.28447600873708</v>
      </c>
      <c r="I911">
        <f t="shared" si="224"/>
        <v>1.0318828500989141</v>
      </c>
      <c r="J911">
        <f t="shared" si="225"/>
        <v>1.1239455683810959</v>
      </c>
      <c r="K911">
        <f t="shared" si="226"/>
        <v>0.55520554813569911</v>
      </c>
      <c r="L911">
        <f t="shared" si="227"/>
        <v>1.2545486182943526</v>
      </c>
      <c r="M911">
        <f t="shared" si="228"/>
        <v>1.0017350302104533</v>
      </c>
      <c r="N911">
        <f t="shared" si="229"/>
        <v>0.99880696570823191</v>
      </c>
      <c r="O911">
        <v>4.5986444848531739E-3</v>
      </c>
      <c r="P911">
        <v>6.0299372666058155E-3</v>
      </c>
      <c r="Q911">
        <f t="shared" si="230"/>
        <v>4051.6860010061559</v>
      </c>
      <c r="R911">
        <f t="shared" si="231"/>
        <v>4.0516860010061562</v>
      </c>
    </row>
    <row r="912" spans="1:18" x14ac:dyDescent="0.3">
      <c r="A912">
        <v>1.8220000000000001</v>
      </c>
      <c r="B912" s="4"/>
      <c r="C912">
        <v>-34.238990490562401</v>
      </c>
      <c r="D912">
        <v>1.95</v>
      </c>
      <c r="E912">
        <f t="shared" si="232"/>
        <v>137.06316994069454</v>
      </c>
      <c r="F912">
        <f t="shared" si="221"/>
        <v>1.7134023829627816E-2</v>
      </c>
      <c r="G912">
        <f t="shared" si="222"/>
        <v>5.2991826277199436E-2</v>
      </c>
      <c r="H912">
        <f t="shared" si="223"/>
        <v>59.28447600873708</v>
      </c>
      <c r="I912">
        <f t="shared" si="224"/>
        <v>1.0318828500989141</v>
      </c>
      <c r="J912">
        <f t="shared" si="225"/>
        <v>1.1239455683810959</v>
      </c>
      <c r="K912">
        <f t="shared" si="226"/>
        <v>0.55520554813569911</v>
      </c>
      <c r="L912">
        <f t="shared" si="227"/>
        <v>1.2545486182943526</v>
      </c>
      <c r="M912">
        <f t="shared" si="228"/>
        <v>1.0074388800488694</v>
      </c>
      <c r="N912">
        <f t="shared" si="229"/>
        <v>0.99948137897223477</v>
      </c>
      <c r="O912">
        <v>4.8011742348090976E-3</v>
      </c>
      <c r="P912">
        <v>5.8819596767597272E-3</v>
      </c>
      <c r="Q912">
        <f t="shared" si="230"/>
        <v>4051.6860010061559</v>
      </c>
      <c r="R912">
        <f t="shared" si="231"/>
        <v>4.0516860010061562</v>
      </c>
    </row>
    <row r="913" spans="1:18" x14ac:dyDescent="0.3">
      <c r="A913">
        <v>1.8240000000000001</v>
      </c>
      <c r="B913" s="4"/>
      <c r="C913">
        <v>-34.238990490562401</v>
      </c>
      <c r="D913">
        <v>1.95</v>
      </c>
      <c r="E913">
        <f t="shared" si="232"/>
        <v>137.06316994069454</v>
      </c>
      <c r="F913">
        <f t="shared" si="221"/>
        <v>1.7134023829627816E-2</v>
      </c>
      <c r="G913">
        <f t="shared" si="222"/>
        <v>5.2991826277199436E-2</v>
      </c>
      <c r="H913">
        <f t="shared" si="223"/>
        <v>59.28447600873708</v>
      </c>
      <c r="I913">
        <f t="shared" si="224"/>
        <v>1.0318828500989141</v>
      </c>
      <c r="J913">
        <f t="shared" si="225"/>
        <v>1.1239455683810959</v>
      </c>
      <c r="K913">
        <f t="shared" si="226"/>
        <v>0.55520554813569911</v>
      </c>
      <c r="L913">
        <f t="shared" si="227"/>
        <v>1.2545486182943526</v>
      </c>
      <c r="M913">
        <f t="shared" si="228"/>
        <v>0.99919561581958205</v>
      </c>
      <c r="N913">
        <f t="shared" si="229"/>
        <v>1.0077716884982948</v>
      </c>
      <c r="O913">
        <v>4.9642798159901923E-3</v>
      </c>
      <c r="P913">
        <v>5.7424948925703595E-3</v>
      </c>
      <c r="Q913">
        <f t="shared" si="230"/>
        <v>4051.6860010061559</v>
      </c>
      <c r="R913">
        <f t="shared" si="231"/>
        <v>4.0516860010061562</v>
      </c>
    </row>
    <row r="914" spans="1:18" x14ac:dyDescent="0.3">
      <c r="A914">
        <v>1.8260000000000001</v>
      </c>
      <c r="B914" s="4"/>
      <c r="C914">
        <v>-34.238990490562401</v>
      </c>
      <c r="D914">
        <v>1.95</v>
      </c>
      <c r="E914">
        <f t="shared" si="232"/>
        <v>137.06316994069454</v>
      </c>
      <c r="F914">
        <f t="shared" si="221"/>
        <v>1.7134023829627816E-2</v>
      </c>
      <c r="G914">
        <f t="shared" si="222"/>
        <v>5.2991826277199436E-2</v>
      </c>
      <c r="H914">
        <f t="shared" si="223"/>
        <v>59.28447600873708</v>
      </c>
      <c r="I914">
        <f t="shared" si="224"/>
        <v>1.0318828500989141</v>
      </c>
      <c r="J914">
        <f t="shared" si="225"/>
        <v>1.1239455683810959</v>
      </c>
      <c r="K914">
        <f t="shared" si="226"/>
        <v>0.55520554813569911</v>
      </c>
      <c r="L914">
        <f t="shared" si="227"/>
        <v>1.2545486182943526</v>
      </c>
      <c r="M914">
        <f t="shared" si="228"/>
        <v>0.99806011087732693</v>
      </c>
      <c r="N914">
        <f t="shared" si="229"/>
        <v>0.99116630786310178</v>
      </c>
      <c r="O914">
        <v>5.1480164545309095E-3</v>
      </c>
      <c r="P914">
        <v>5.5305989827073481E-3</v>
      </c>
      <c r="Q914">
        <f t="shared" si="230"/>
        <v>4051.6860010061559</v>
      </c>
      <c r="R914">
        <f t="shared" si="231"/>
        <v>4.0516860010061562</v>
      </c>
    </row>
    <row r="915" spans="1:18" x14ac:dyDescent="0.3">
      <c r="A915">
        <v>1.8280000000000001</v>
      </c>
      <c r="B915" s="4"/>
      <c r="C915">
        <v>-34.238990490562401</v>
      </c>
      <c r="D915">
        <v>1.95</v>
      </c>
      <c r="E915">
        <f t="shared" si="232"/>
        <v>137.06316994069454</v>
      </c>
      <c r="F915">
        <f t="shared" si="221"/>
        <v>1.7134023829627816E-2</v>
      </c>
      <c r="G915">
        <f t="shared" si="222"/>
        <v>5.2991826277199436E-2</v>
      </c>
      <c r="H915">
        <f t="shared" si="223"/>
        <v>59.28447600873708</v>
      </c>
      <c r="I915">
        <f t="shared" si="224"/>
        <v>1.0318828500989141</v>
      </c>
      <c r="J915">
        <f t="shared" si="225"/>
        <v>1.1239455683810959</v>
      </c>
      <c r="K915">
        <f t="shared" si="226"/>
        <v>0.55520554813569911</v>
      </c>
      <c r="L915">
        <f t="shared" si="227"/>
        <v>1.2545486182943526</v>
      </c>
      <c r="M915">
        <f t="shared" si="228"/>
        <v>0.99044457697428212</v>
      </c>
      <c r="N915">
        <f t="shared" si="229"/>
        <v>0.99781490382977867</v>
      </c>
      <c r="O915">
        <v>5.3113407600572666E-3</v>
      </c>
      <c r="P915">
        <v>5.3706642078485065E-3</v>
      </c>
      <c r="Q915">
        <f t="shared" si="230"/>
        <v>4051.6860010061559</v>
      </c>
      <c r="R915">
        <f t="shared" si="231"/>
        <v>4.0516860010061562</v>
      </c>
    </row>
    <row r="916" spans="1:18" x14ac:dyDescent="0.3">
      <c r="A916">
        <v>1.83</v>
      </c>
      <c r="B916" s="4"/>
      <c r="C916">
        <v>-34.238990490562401</v>
      </c>
      <c r="D916">
        <v>1.95</v>
      </c>
      <c r="E916">
        <f t="shared" si="232"/>
        <v>137.06316994069454</v>
      </c>
      <c r="F916">
        <f t="shared" si="221"/>
        <v>1.7134023829627816E-2</v>
      </c>
      <c r="G916">
        <f t="shared" si="222"/>
        <v>5.2991826277199436E-2</v>
      </c>
      <c r="H916">
        <f t="shared" si="223"/>
        <v>59.28447600873708</v>
      </c>
      <c r="I916">
        <f t="shared" si="224"/>
        <v>1.0318828500989141</v>
      </c>
      <c r="J916">
        <f t="shared" si="225"/>
        <v>1.1239455683810959</v>
      </c>
      <c r="K916">
        <f t="shared" si="226"/>
        <v>0.55520554813569911</v>
      </c>
      <c r="L916">
        <f t="shared" si="227"/>
        <v>1.2545486182943526</v>
      </c>
      <c r="M916">
        <f t="shared" si="228"/>
        <v>1.0081223782365885</v>
      </c>
      <c r="N916">
        <f t="shared" si="229"/>
        <v>0.99902342785607456</v>
      </c>
      <c r="O916">
        <v>5.5366240549240544E-3</v>
      </c>
      <c r="P916">
        <v>5.1911027573441444E-3</v>
      </c>
      <c r="Q916">
        <f t="shared" si="230"/>
        <v>4051.6860010061559</v>
      </c>
      <c r="R916">
        <f t="shared" si="231"/>
        <v>4.0516860010061562</v>
      </c>
    </row>
    <row r="917" spans="1:18" x14ac:dyDescent="0.3">
      <c r="A917">
        <v>1.8320000000000001</v>
      </c>
      <c r="B917" s="4"/>
      <c r="C917">
        <v>-34.238990490562401</v>
      </c>
      <c r="D917">
        <v>1.95</v>
      </c>
      <c r="E917">
        <f t="shared" si="232"/>
        <v>137.06316994069454</v>
      </c>
      <c r="F917">
        <f t="shared" si="221"/>
        <v>1.7134023829627816E-2</v>
      </c>
      <c r="G917">
        <f t="shared" si="222"/>
        <v>5.2991826277199436E-2</v>
      </c>
      <c r="H917">
        <f t="shared" si="223"/>
        <v>59.28447600873708</v>
      </c>
      <c r="I917">
        <f t="shared" si="224"/>
        <v>1.0318828500989141</v>
      </c>
      <c r="J917">
        <f t="shared" si="225"/>
        <v>1.1239455683810959</v>
      </c>
      <c r="K917">
        <f t="shared" si="226"/>
        <v>0.55520554813569911</v>
      </c>
      <c r="L917">
        <f t="shared" si="227"/>
        <v>1.2545486182943526</v>
      </c>
      <c r="M917">
        <f t="shared" si="228"/>
        <v>0.99939052307494136</v>
      </c>
      <c r="N917">
        <f t="shared" si="229"/>
        <v>1.0093672741502917</v>
      </c>
      <c r="O917">
        <v>5.6852185956839281E-3</v>
      </c>
      <c r="P917">
        <v>5.0341590578747448E-3</v>
      </c>
      <c r="Q917">
        <f t="shared" si="230"/>
        <v>4051.6860010061559</v>
      </c>
      <c r="R917">
        <f t="shared" si="231"/>
        <v>4.0516860010061562</v>
      </c>
    </row>
    <row r="918" spans="1:18" x14ac:dyDescent="0.3">
      <c r="A918">
        <v>1.8340000000000001</v>
      </c>
      <c r="B918" s="4"/>
      <c r="C918">
        <v>-34.238990490562401</v>
      </c>
      <c r="D918">
        <v>1.95</v>
      </c>
      <c r="E918">
        <f t="shared" si="232"/>
        <v>137.06316994069454</v>
      </c>
      <c r="F918">
        <f t="shared" si="221"/>
        <v>1.7134023829627816E-2</v>
      </c>
      <c r="G918">
        <f t="shared" si="222"/>
        <v>5.2991826277199436E-2</v>
      </c>
      <c r="H918">
        <f t="shared" si="223"/>
        <v>59.28447600873708</v>
      </c>
      <c r="I918">
        <f t="shared" si="224"/>
        <v>1.0318828500989141</v>
      </c>
      <c r="J918">
        <f t="shared" si="225"/>
        <v>1.1239455683810959</v>
      </c>
      <c r="K918">
        <f t="shared" si="226"/>
        <v>0.55520554813569911</v>
      </c>
      <c r="L918">
        <f t="shared" si="227"/>
        <v>1.2545486182943526</v>
      </c>
      <c r="M918">
        <f t="shared" si="228"/>
        <v>0.99856493237654986</v>
      </c>
      <c r="N918">
        <f t="shared" si="229"/>
        <v>1.0028029770192128</v>
      </c>
      <c r="O918">
        <v>5.8456188783820931E-3</v>
      </c>
      <c r="P918">
        <v>4.8281362628352946E-3</v>
      </c>
      <c r="Q918">
        <f t="shared" si="230"/>
        <v>4051.6860010061559</v>
      </c>
      <c r="R918">
        <f t="shared" si="231"/>
        <v>4.0516860010061562</v>
      </c>
    </row>
    <row r="919" spans="1:18" x14ac:dyDescent="0.3">
      <c r="A919">
        <v>1.8360000000000001</v>
      </c>
      <c r="B919" s="4"/>
      <c r="C919">
        <v>-34.238990490562401</v>
      </c>
      <c r="D919">
        <v>1.95</v>
      </c>
      <c r="E919">
        <f t="shared" si="232"/>
        <v>137.06316994069454</v>
      </c>
      <c r="F919">
        <f t="shared" si="221"/>
        <v>1.7134023829627816E-2</v>
      </c>
      <c r="G919">
        <f t="shared" si="222"/>
        <v>5.2991826277199436E-2</v>
      </c>
      <c r="H919">
        <f t="shared" si="223"/>
        <v>59.28447600873708</v>
      </c>
      <c r="I919">
        <f t="shared" si="224"/>
        <v>1.0318828500989141</v>
      </c>
      <c r="J919">
        <f t="shared" si="225"/>
        <v>1.1239455683810959</v>
      </c>
      <c r="K919">
        <f t="shared" si="226"/>
        <v>0.55520554813569911</v>
      </c>
      <c r="L919">
        <f t="shared" si="227"/>
        <v>1.2545486182943526</v>
      </c>
      <c r="M919">
        <f t="shared" si="228"/>
        <v>0.99735301614000305</v>
      </c>
      <c r="N919">
        <f t="shared" si="229"/>
        <v>1.0058349754475688</v>
      </c>
      <c r="O919">
        <v>5.9947970568831012E-3</v>
      </c>
      <c r="P919">
        <v>4.6513770505795761E-3</v>
      </c>
      <c r="Q919">
        <f t="shared" si="230"/>
        <v>4051.6860010061559</v>
      </c>
      <c r="R919">
        <f t="shared" si="231"/>
        <v>4.0516860010061562</v>
      </c>
    </row>
    <row r="920" spans="1:18" x14ac:dyDescent="0.3">
      <c r="A920">
        <v>1.8380000000000001</v>
      </c>
      <c r="B920" s="4"/>
      <c r="C920">
        <v>-34.238990490562401</v>
      </c>
      <c r="D920">
        <v>1.95</v>
      </c>
      <c r="E920">
        <f t="shared" si="232"/>
        <v>137.06316994069454</v>
      </c>
      <c r="F920">
        <f t="shared" si="221"/>
        <v>1.7134023829627816E-2</v>
      </c>
      <c r="G920">
        <f t="shared" si="222"/>
        <v>5.2991826277199436E-2</v>
      </c>
      <c r="H920">
        <f t="shared" si="223"/>
        <v>59.28447600873708</v>
      </c>
      <c r="I920">
        <f t="shared" si="224"/>
        <v>1.0318828500989141</v>
      </c>
      <c r="J920">
        <f t="shared" si="225"/>
        <v>1.1239455683810959</v>
      </c>
      <c r="K920">
        <f t="shared" si="226"/>
        <v>0.55520554813569911</v>
      </c>
      <c r="L920">
        <f t="shared" si="227"/>
        <v>1.2545486182943526</v>
      </c>
      <c r="M920">
        <f t="shared" si="228"/>
        <v>0.99578286788360004</v>
      </c>
      <c r="N920">
        <f t="shared" si="229"/>
        <v>1.0015821176317137</v>
      </c>
      <c r="O920">
        <v>6.1315061193978181E-3</v>
      </c>
      <c r="P920">
        <v>4.4562274063995495E-3</v>
      </c>
      <c r="Q920">
        <f t="shared" si="230"/>
        <v>4051.6860010061559</v>
      </c>
      <c r="R920">
        <f t="shared" si="231"/>
        <v>4.0516860010061562</v>
      </c>
    </row>
    <row r="921" spans="1:18" x14ac:dyDescent="0.3">
      <c r="A921">
        <v>1.84</v>
      </c>
      <c r="B921" s="4"/>
      <c r="C921">
        <v>-34.238990490562401</v>
      </c>
      <c r="D921">
        <v>1.95</v>
      </c>
      <c r="E921">
        <f t="shared" si="232"/>
        <v>137.06316994069454</v>
      </c>
      <c r="F921">
        <f t="shared" si="221"/>
        <v>1.7134023829627816E-2</v>
      </c>
      <c r="G921">
        <f t="shared" si="222"/>
        <v>5.2991826277199436E-2</v>
      </c>
      <c r="H921">
        <f t="shared" si="223"/>
        <v>59.28447600873708</v>
      </c>
      <c r="I921">
        <f t="shared" si="224"/>
        <v>1.0318828500989141</v>
      </c>
      <c r="J921">
        <f t="shared" si="225"/>
        <v>1.1239455683810959</v>
      </c>
      <c r="K921">
        <f t="shared" si="226"/>
        <v>0.55520554813569911</v>
      </c>
      <c r="L921">
        <f t="shared" si="227"/>
        <v>1.2545486182943526</v>
      </c>
      <c r="M921">
        <f t="shared" si="228"/>
        <v>0.99392449556578899</v>
      </c>
      <c r="N921">
        <f t="shared" si="229"/>
        <v>0.99637894429368723</v>
      </c>
      <c r="O921">
        <v>6.2547322155951648E-3</v>
      </c>
      <c r="P921">
        <v>4.2640495973545207E-3</v>
      </c>
      <c r="Q921">
        <f t="shared" si="230"/>
        <v>4051.6860010061559</v>
      </c>
      <c r="R921">
        <f t="shared" si="231"/>
        <v>4.0516860010061562</v>
      </c>
    </row>
    <row r="922" spans="1:18" x14ac:dyDescent="0.3">
      <c r="A922">
        <v>1.8420000000000001</v>
      </c>
      <c r="B922" s="4"/>
      <c r="C922">
        <v>-34.238990490562401</v>
      </c>
      <c r="D922">
        <v>1.95</v>
      </c>
      <c r="E922">
        <f t="shared" si="232"/>
        <v>137.06316994069454</v>
      </c>
      <c r="F922">
        <f t="shared" si="221"/>
        <v>1.7134023829627816E-2</v>
      </c>
      <c r="G922">
        <f t="shared" si="222"/>
        <v>5.2991826277199436E-2</v>
      </c>
      <c r="H922">
        <f t="shared" si="223"/>
        <v>59.28447600873708</v>
      </c>
      <c r="I922">
        <f t="shared" si="224"/>
        <v>1.0318828500989141</v>
      </c>
      <c r="J922">
        <f t="shared" si="225"/>
        <v>1.1239455683810959</v>
      </c>
      <c r="K922">
        <f t="shared" si="226"/>
        <v>0.55520554813569911</v>
      </c>
      <c r="L922">
        <f t="shared" si="227"/>
        <v>1.2545486182943526</v>
      </c>
      <c r="M922">
        <f t="shared" si="228"/>
        <v>0.99188207607213041</v>
      </c>
      <c r="N922">
        <f t="shared" si="229"/>
        <v>1.0002579950036994</v>
      </c>
      <c r="O922">
        <v>6.3636639837289077E-3</v>
      </c>
      <c r="P922">
        <v>4.1125608814562425E-3</v>
      </c>
      <c r="Q922">
        <f t="shared" si="230"/>
        <v>4051.6860010061559</v>
      </c>
      <c r="R922">
        <f t="shared" si="231"/>
        <v>4.0516860010061562</v>
      </c>
    </row>
    <row r="923" spans="1:18" x14ac:dyDescent="0.3">
      <c r="A923">
        <v>1.8440000000000001</v>
      </c>
      <c r="B923" s="4"/>
      <c r="C923">
        <v>-34.238990490562401</v>
      </c>
      <c r="D923">
        <v>1.95</v>
      </c>
      <c r="E923">
        <f t="shared" si="232"/>
        <v>137.06316994069454</v>
      </c>
      <c r="F923">
        <f t="shared" si="221"/>
        <v>1.7134023829627816E-2</v>
      </c>
      <c r="G923">
        <f t="shared" si="222"/>
        <v>5.2991826277199436E-2</v>
      </c>
      <c r="H923">
        <f t="shared" si="223"/>
        <v>59.28447600873708</v>
      </c>
      <c r="I923">
        <f t="shared" si="224"/>
        <v>1.0318828500989141</v>
      </c>
      <c r="J923">
        <f t="shared" si="225"/>
        <v>1.1239455683810959</v>
      </c>
      <c r="K923">
        <f t="shared" si="226"/>
        <v>0.55520554813569911</v>
      </c>
      <c r="L923">
        <f t="shared" si="227"/>
        <v>1.2545486182943526</v>
      </c>
      <c r="M923">
        <f t="shared" si="228"/>
        <v>0.99981682808764827</v>
      </c>
      <c r="N923">
        <f t="shared" si="229"/>
        <v>1.0018893910595987</v>
      </c>
      <c r="O923">
        <v>6.4801748312355049E-3</v>
      </c>
      <c r="P923">
        <v>3.9682459314671313E-3</v>
      </c>
      <c r="Q923">
        <f t="shared" si="230"/>
        <v>4051.6860010061559</v>
      </c>
      <c r="R923">
        <f t="shared" si="231"/>
        <v>4.0516860010061562</v>
      </c>
    </row>
    <row r="924" spans="1:18" x14ac:dyDescent="0.3">
      <c r="A924">
        <v>1.8460000000000001</v>
      </c>
      <c r="B924" s="4"/>
      <c r="C924">
        <v>-34.238990490562401</v>
      </c>
      <c r="D924">
        <v>1.95</v>
      </c>
      <c r="E924">
        <f t="shared" si="232"/>
        <v>137.06316994069454</v>
      </c>
      <c r="F924">
        <f t="shared" si="221"/>
        <v>1.7134023829627816E-2</v>
      </c>
      <c r="G924">
        <f t="shared" si="222"/>
        <v>5.2991826277199436E-2</v>
      </c>
      <c r="H924">
        <f t="shared" si="223"/>
        <v>59.28447600873708</v>
      </c>
      <c r="I924">
        <f t="shared" si="224"/>
        <v>1.0318828500989141</v>
      </c>
      <c r="J924">
        <f t="shared" si="225"/>
        <v>1.1239455683810959</v>
      </c>
      <c r="K924">
        <f t="shared" si="226"/>
        <v>0.55520554813569911</v>
      </c>
      <c r="L924">
        <f t="shared" si="227"/>
        <v>1.2545486182943526</v>
      </c>
      <c r="M924">
        <f t="shared" si="228"/>
        <v>0.99975875191870622</v>
      </c>
      <c r="N924">
        <f t="shared" si="229"/>
        <v>1.0044317171188373</v>
      </c>
      <c r="O924">
        <v>6.5628330072350916E-3</v>
      </c>
      <c r="P924">
        <v>3.8456817739288872E-3</v>
      </c>
      <c r="Q924">
        <f t="shared" si="230"/>
        <v>4051.6860010061559</v>
      </c>
      <c r="R924">
        <f t="shared" si="231"/>
        <v>4.0516860010061562</v>
      </c>
    </row>
    <row r="925" spans="1:18" x14ac:dyDescent="0.3">
      <c r="A925">
        <v>1.8480000000000001</v>
      </c>
      <c r="B925" s="4"/>
      <c r="C925">
        <v>-34.238990490562401</v>
      </c>
      <c r="D925">
        <v>1.95</v>
      </c>
      <c r="E925">
        <f t="shared" si="232"/>
        <v>137.06316994069454</v>
      </c>
      <c r="F925">
        <f t="shared" si="221"/>
        <v>1.7134023829627816E-2</v>
      </c>
      <c r="G925">
        <f t="shared" si="222"/>
        <v>5.2991826277199436E-2</v>
      </c>
      <c r="H925">
        <f t="shared" si="223"/>
        <v>59.28447600873708</v>
      </c>
      <c r="I925">
        <f t="shared" si="224"/>
        <v>1.0318828500989141</v>
      </c>
      <c r="J925">
        <f t="shared" si="225"/>
        <v>1.1239455683810959</v>
      </c>
      <c r="K925">
        <f t="shared" si="226"/>
        <v>0.55520554813569911</v>
      </c>
      <c r="L925">
        <f t="shared" si="227"/>
        <v>1.2545486182943526</v>
      </c>
      <c r="M925">
        <f t="shared" si="228"/>
        <v>0.99970263253860636</v>
      </c>
      <c r="N925">
        <f t="shared" si="229"/>
        <v>1.0005877787948856</v>
      </c>
      <c r="O925">
        <v>6.6291873358139061E-3</v>
      </c>
      <c r="P925">
        <v>3.7211205589994631E-3</v>
      </c>
      <c r="Q925">
        <f t="shared" si="230"/>
        <v>4051.6860010061559</v>
      </c>
      <c r="R925">
        <f t="shared" si="231"/>
        <v>4.0516860010061562</v>
      </c>
    </row>
    <row r="926" spans="1:18" x14ac:dyDescent="0.3">
      <c r="A926">
        <v>1.85</v>
      </c>
      <c r="B926" s="4"/>
      <c r="C926">
        <v>-34.238990490562401</v>
      </c>
      <c r="D926">
        <v>1.95</v>
      </c>
      <c r="E926">
        <f t="shared" si="232"/>
        <v>137.06316994069454</v>
      </c>
      <c r="F926">
        <f t="shared" si="221"/>
        <v>1.7134023829627816E-2</v>
      </c>
      <c r="G926">
        <f t="shared" si="222"/>
        <v>5.2991826277199436E-2</v>
      </c>
      <c r="H926">
        <f t="shared" si="223"/>
        <v>59.28447600873708</v>
      </c>
      <c r="I926">
        <f t="shared" si="224"/>
        <v>1.0318828500989141</v>
      </c>
      <c r="J926">
        <f t="shared" si="225"/>
        <v>1.1239455683810959</v>
      </c>
      <c r="K926">
        <f t="shared" si="226"/>
        <v>0.55520554813569911</v>
      </c>
      <c r="L926">
        <f t="shared" si="227"/>
        <v>1.2545486182943526</v>
      </c>
      <c r="M926">
        <f t="shared" si="228"/>
        <v>0.99975731709724258</v>
      </c>
      <c r="N926">
        <f t="shared" si="229"/>
        <v>1.0021880225065569</v>
      </c>
      <c r="O926">
        <v>6.6789678097859901E-3</v>
      </c>
      <c r="P926">
        <v>3.6421835721592707E-3</v>
      </c>
      <c r="Q926">
        <f t="shared" si="230"/>
        <v>4051.6860010061559</v>
      </c>
      <c r="R926">
        <f t="shared" si="231"/>
        <v>4.0516860010061562</v>
      </c>
    </row>
    <row r="927" spans="1:18" x14ac:dyDescent="0.3">
      <c r="A927">
        <v>1.8520000000000001</v>
      </c>
      <c r="B927" s="4"/>
      <c r="C927">
        <v>-34.238990490562401</v>
      </c>
      <c r="D927">
        <v>1.95</v>
      </c>
      <c r="E927">
        <f t="shared" si="232"/>
        <v>137.06316994069454</v>
      </c>
      <c r="F927">
        <f t="shared" si="221"/>
        <v>1.7134023829627816E-2</v>
      </c>
      <c r="G927">
        <f t="shared" si="222"/>
        <v>5.2991826277199436E-2</v>
      </c>
      <c r="H927">
        <f t="shared" si="223"/>
        <v>59.28447600873708</v>
      </c>
      <c r="I927">
        <f t="shared" si="224"/>
        <v>1.0318828500989141</v>
      </c>
      <c r="J927">
        <f t="shared" si="225"/>
        <v>1.1239455683810959</v>
      </c>
      <c r="K927">
        <f t="shared" si="226"/>
        <v>0.55520554813569911</v>
      </c>
      <c r="L927">
        <f t="shared" si="227"/>
        <v>1.2545486182943526</v>
      </c>
      <c r="M927">
        <f t="shared" si="228"/>
        <v>0.99981074625958577</v>
      </c>
      <c r="N927">
        <f t="shared" si="229"/>
        <v>1.0034793059461222</v>
      </c>
      <c r="O927">
        <v>6.7115529424392464E-3</v>
      </c>
      <c r="P927">
        <v>3.5903503871058456E-3</v>
      </c>
      <c r="Q927">
        <f t="shared" si="230"/>
        <v>4051.6860010061559</v>
      </c>
      <c r="R927">
        <f t="shared" si="231"/>
        <v>4.0516860010061562</v>
      </c>
    </row>
    <row r="928" spans="1:18" x14ac:dyDescent="0.3">
      <c r="A928">
        <v>1.8540000000000001</v>
      </c>
      <c r="B928" s="4"/>
      <c r="C928">
        <v>-34.238990490562401</v>
      </c>
      <c r="D928">
        <v>1.95</v>
      </c>
      <c r="E928">
        <f t="shared" si="232"/>
        <v>137.06316994069454</v>
      </c>
      <c r="F928">
        <f t="shared" si="221"/>
        <v>1.7134023829627816E-2</v>
      </c>
      <c r="G928">
        <f t="shared" si="222"/>
        <v>5.2991826277199436E-2</v>
      </c>
      <c r="H928">
        <f t="shared" si="223"/>
        <v>59.28447600873708</v>
      </c>
      <c r="I928">
        <f t="shared" si="224"/>
        <v>1.0318828500989141</v>
      </c>
      <c r="J928">
        <f t="shared" si="225"/>
        <v>1.1239455683810959</v>
      </c>
      <c r="K928">
        <f t="shared" si="226"/>
        <v>0.55520554813569911</v>
      </c>
      <c r="L928">
        <f t="shared" si="227"/>
        <v>1.2545486182943526</v>
      </c>
      <c r="M928">
        <f t="shared" si="228"/>
        <v>0.99983369742125727</v>
      </c>
      <c r="N928">
        <f t="shared" si="229"/>
        <v>1.0041435671853203</v>
      </c>
      <c r="O928">
        <v>6.7266372107104913E-3</v>
      </c>
      <c r="P928">
        <v>3.5662899175273131E-3</v>
      </c>
      <c r="Q928">
        <f t="shared" si="230"/>
        <v>4051.6860010061559</v>
      </c>
      <c r="R928">
        <f t="shared" si="231"/>
        <v>4.0516860010061562</v>
      </c>
    </row>
    <row r="929" spans="1:18" x14ac:dyDescent="0.3">
      <c r="A929">
        <v>1.8560000000000001</v>
      </c>
      <c r="B929" s="4"/>
      <c r="C929">
        <v>-34.238990490562401</v>
      </c>
      <c r="D929">
        <v>1.95</v>
      </c>
      <c r="E929">
        <f t="shared" si="232"/>
        <v>137.06316994069454</v>
      </c>
      <c r="F929">
        <f t="shared" si="221"/>
        <v>1.7134023829627816E-2</v>
      </c>
      <c r="G929">
        <f t="shared" si="222"/>
        <v>5.2991826277199436E-2</v>
      </c>
      <c r="H929">
        <f t="shared" si="223"/>
        <v>59.28447600873708</v>
      </c>
      <c r="I929">
        <f t="shared" si="224"/>
        <v>1.0318828500989141</v>
      </c>
      <c r="J929">
        <f t="shared" si="225"/>
        <v>1.1239455683810959</v>
      </c>
      <c r="K929">
        <f t="shared" si="226"/>
        <v>0.55520554813569911</v>
      </c>
      <c r="L929">
        <f t="shared" si="227"/>
        <v>1.2545486182943526</v>
      </c>
      <c r="M929">
        <f t="shared" si="228"/>
        <v>0.99982994605278797</v>
      </c>
      <c r="N929">
        <f t="shared" si="229"/>
        <v>1.0040296569944087</v>
      </c>
      <c r="O929">
        <v>6.7241173662599251E-3</v>
      </c>
      <c r="P929">
        <v>3.5703121565917742E-3</v>
      </c>
      <c r="Q929">
        <f t="shared" si="230"/>
        <v>4051.6860010061559</v>
      </c>
      <c r="R929">
        <f t="shared" si="231"/>
        <v>4.0516860010061562</v>
      </c>
    </row>
    <row r="930" spans="1:18" x14ac:dyDescent="0.3">
      <c r="A930">
        <v>1.8580000000000001</v>
      </c>
      <c r="B930" s="4"/>
      <c r="C930">
        <v>-34.238990490562401</v>
      </c>
      <c r="D930">
        <v>1.95</v>
      </c>
      <c r="E930">
        <f t="shared" si="232"/>
        <v>137.06316994069454</v>
      </c>
      <c r="F930">
        <f t="shared" si="221"/>
        <v>1.7134023829627816E-2</v>
      </c>
      <c r="G930">
        <f t="shared" si="222"/>
        <v>5.2991826277199436E-2</v>
      </c>
      <c r="H930">
        <f t="shared" si="223"/>
        <v>59.28447600873708</v>
      </c>
      <c r="I930">
        <f t="shared" si="224"/>
        <v>1.0318828500989141</v>
      </c>
      <c r="J930">
        <f t="shared" si="225"/>
        <v>1.1239455683810959</v>
      </c>
      <c r="K930">
        <f t="shared" si="226"/>
        <v>0.55520554813569911</v>
      </c>
      <c r="L930">
        <f t="shared" si="227"/>
        <v>1.2545486182943526</v>
      </c>
      <c r="M930">
        <f t="shared" si="228"/>
        <v>0.99979883488984822</v>
      </c>
      <c r="N930">
        <f t="shared" si="229"/>
        <v>1.0031629981208416</v>
      </c>
      <c r="O930">
        <v>6.7040105892149102E-3</v>
      </c>
      <c r="P930">
        <v>3.6023653046035236E-3</v>
      </c>
      <c r="Q930">
        <f t="shared" si="230"/>
        <v>4051.6860010061559</v>
      </c>
      <c r="R930">
        <f t="shared" si="231"/>
        <v>4.0516860010061562</v>
      </c>
    </row>
    <row r="931" spans="1:18" x14ac:dyDescent="0.3">
      <c r="A931">
        <v>1.86</v>
      </c>
      <c r="B931" s="4"/>
      <c r="C931">
        <v>-34.238990490562401</v>
      </c>
      <c r="D931">
        <v>1.95</v>
      </c>
      <c r="E931">
        <f t="shared" si="232"/>
        <v>137.06316994069454</v>
      </c>
      <c r="F931">
        <f t="shared" si="221"/>
        <v>1.7134023829627816E-2</v>
      </c>
      <c r="G931">
        <f t="shared" si="222"/>
        <v>5.2991826277199436E-2</v>
      </c>
      <c r="H931">
        <f t="shared" si="223"/>
        <v>59.28447600873708</v>
      </c>
      <c r="I931">
        <f t="shared" si="224"/>
        <v>1.0318828500989141</v>
      </c>
      <c r="J931">
        <f t="shared" si="225"/>
        <v>1.1239455683810959</v>
      </c>
      <c r="K931">
        <f t="shared" si="226"/>
        <v>0.55520554813569911</v>
      </c>
      <c r="L931">
        <f t="shared" si="227"/>
        <v>1.2545486182943526</v>
      </c>
      <c r="M931">
        <f t="shared" si="228"/>
        <v>0.99973550025706615</v>
      </c>
      <c r="N931">
        <f t="shared" si="229"/>
        <v>1.0017439628293556</v>
      </c>
      <c r="O931">
        <v>6.6664549383813809E-3</v>
      </c>
      <c r="P931">
        <v>3.6620362477748597E-3</v>
      </c>
      <c r="Q931">
        <f t="shared" si="230"/>
        <v>4051.6860010061559</v>
      </c>
      <c r="R931">
        <f t="shared" si="231"/>
        <v>4.0516860010061562</v>
      </c>
    </row>
    <row r="932" spans="1:18" x14ac:dyDescent="0.3">
      <c r="A932">
        <v>1.8620000000000001</v>
      </c>
      <c r="B932" s="4"/>
      <c r="C932">
        <v>-34.238990490562401</v>
      </c>
      <c r="D932">
        <v>1.95</v>
      </c>
      <c r="E932">
        <f t="shared" si="232"/>
        <v>137.06316994069454</v>
      </c>
      <c r="F932">
        <f t="shared" si="221"/>
        <v>1.7134023829627816E-2</v>
      </c>
      <c r="G932">
        <f t="shared" si="222"/>
        <v>5.2991826277199436E-2</v>
      </c>
      <c r="H932">
        <f t="shared" si="223"/>
        <v>59.28447600873708</v>
      </c>
      <c r="I932">
        <f t="shared" si="224"/>
        <v>1.0318828500989141</v>
      </c>
      <c r="J932">
        <f t="shared" si="225"/>
        <v>1.1239455683810959</v>
      </c>
      <c r="K932">
        <f t="shared" si="226"/>
        <v>0.55520554813569911</v>
      </c>
      <c r="L932">
        <f t="shared" si="227"/>
        <v>1.2545486182943526</v>
      </c>
      <c r="M932">
        <f t="shared" si="228"/>
        <v>0.99971813094386242</v>
      </c>
      <c r="N932">
        <f t="shared" si="229"/>
        <v>1.0064610595501811</v>
      </c>
      <c r="O932">
        <v>6.6119008837280694E-3</v>
      </c>
      <c r="P932">
        <v>3.7723859332551898E-3</v>
      </c>
      <c r="Q932">
        <f t="shared" si="230"/>
        <v>4051.6860010061559</v>
      </c>
      <c r="R932">
        <f t="shared" si="231"/>
        <v>4.0516860010061562</v>
      </c>
    </row>
    <row r="933" spans="1:18" x14ac:dyDescent="0.3">
      <c r="A933">
        <v>1.8640000000000001</v>
      </c>
      <c r="B933" s="4"/>
      <c r="C933">
        <v>-34.238990490562401</v>
      </c>
      <c r="D933">
        <v>1.95</v>
      </c>
      <c r="E933">
        <f t="shared" si="232"/>
        <v>137.06316994069454</v>
      </c>
      <c r="F933">
        <f t="shared" si="221"/>
        <v>1.7134023829627816E-2</v>
      </c>
      <c r="G933">
        <f t="shared" si="222"/>
        <v>5.2991826277199436E-2</v>
      </c>
      <c r="H933">
        <f t="shared" si="223"/>
        <v>59.28447600873708</v>
      </c>
      <c r="I933">
        <f t="shared" si="224"/>
        <v>1.0318828500989141</v>
      </c>
      <c r="J933">
        <f t="shared" si="225"/>
        <v>1.1239455683810959</v>
      </c>
      <c r="K933">
        <f t="shared" si="226"/>
        <v>0.55520554813569911</v>
      </c>
      <c r="L933">
        <f t="shared" si="227"/>
        <v>1.2545486182943526</v>
      </c>
      <c r="M933">
        <f t="shared" si="228"/>
        <v>0.99977543040661954</v>
      </c>
      <c r="N933">
        <f t="shared" si="229"/>
        <v>1.0036483451689409</v>
      </c>
      <c r="O933">
        <v>6.5408261440063446E-3</v>
      </c>
      <c r="P933">
        <v>3.8784246993323547E-3</v>
      </c>
      <c r="Q933">
        <f t="shared" si="230"/>
        <v>4051.6860010061559</v>
      </c>
      <c r="R933">
        <f t="shared" si="231"/>
        <v>4.0516860010061562</v>
      </c>
    </row>
    <row r="934" spans="1:18" x14ac:dyDescent="0.3">
      <c r="A934">
        <v>1.8660000000000001</v>
      </c>
      <c r="B934" s="4">
        <v>70</v>
      </c>
      <c r="C934">
        <v>-34.023899049056197</v>
      </c>
      <c r="D934">
        <v>1.95</v>
      </c>
      <c r="E934">
        <f>$E$933+$R$933</f>
        <v>141.11485594170068</v>
      </c>
      <c r="F934">
        <f t="shared" si="221"/>
        <v>1.7385426490939E-2</v>
      </c>
      <c r="G934">
        <f t="shared" si="222"/>
        <v>5.376936028125464E-2</v>
      </c>
      <c r="H934">
        <f t="shared" si="223"/>
        <v>58.427190451157962</v>
      </c>
      <c r="I934">
        <f t="shared" si="224"/>
        <v>1.0309604061069326</v>
      </c>
      <c r="J934">
        <f t="shared" si="225"/>
        <v>1.1202832941863137</v>
      </c>
      <c r="K934">
        <f t="shared" si="226"/>
        <v>0.55599529957212945</v>
      </c>
      <c r="L934">
        <f t="shared" si="227"/>
        <v>1.2532163367962357</v>
      </c>
      <c r="M934">
        <f t="shared" si="228"/>
        <v>0.99481797145848849</v>
      </c>
      <c r="N934">
        <f t="shared" si="229"/>
        <v>1.000498420310183</v>
      </c>
      <c r="O934">
        <v>6.1994619662078176E-3</v>
      </c>
      <c r="P934">
        <v>4.3639566344973466E-3</v>
      </c>
      <c r="Q934">
        <f t="shared" si="230"/>
        <v>4054.5329240910178</v>
      </c>
      <c r="R934">
        <f t="shared" si="231"/>
        <v>4.054532924091018</v>
      </c>
    </row>
    <row r="935" spans="1:18" x14ac:dyDescent="0.3">
      <c r="A935">
        <v>1.8680000000000001</v>
      </c>
      <c r="B935" s="4"/>
      <c r="C935">
        <v>-34.023899049056197</v>
      </c>
      <c r="D935">
        <v>1.95</v>
      </c>
      <c r="E935">
        <f t="shared" ref="E935:E960" si="233">$E$933+$R$933</f>
        <v>141.11485594170068</v>
      </c>
      <c r="F935">
        <f t="shared" si="221"/>
        <v>1.7385426490939E-2</v>
      </c>
      <c r="G935">
        <f t="shared" si="222"/>
        <v>5.376936028125464E-2</v>
      </c>
      <c r="H935">
        <f t="shared" si="223"/>
        <v>58.427190451157962</v>
      </c>
      <c r="I935">
        <f t="shared" si="224"/>
        <v>1.0309604061069326</v>
      </c>
      <c r="J935">
        <f t="shared" si="225"/>
        <v>1.1202832941863137</v>
      </c>
      <c r="K935">
        <f t="shared" si="226"/>
        <v>0.55599529957212945</v>
      </c>
      <c r="L935">
        <f t="shared" si="227"/>
        <v>1.2532163367962357</v>
      </c>
      <c r="M935">
        <f t="shared" si="228"/>
        <v>0.99286800872342074</v>
      </c>
      <c r="N935">
        <f t="shared" si="229"/>
        <v>1.0081516069522833</v>
      </c>
      <c r="O935">
        <v>6.3139923020841034E-3</v>
      </c>
      <c r="P935">
        <v>4.2218312845094261E-3</v>
      </c>
      <c r="Q935">
        <f t="shared" si="230"/>
        <v>4054.5329240910178</v>
      </c>
      <c r="R935">
        <f t="shared" si="231"/>
        <v>4.054532924091018</v>
      </c>
    </row>
    <row r="936" spans="1:18" x14ac:dyDescent="0.3">
      <c r="A936">
        <v>1.87</v>
      </c>
      <c r="B936" s="4"/>
      <c r="C936">
        <v>-34.023899049056197</v>
      </c>
      <c r="D936">
        <v>1.95</v>
      </c>
      <c r="E936">
        <f t="shared" si="233"/>
        <v>141.11485594170068</v>
      </c>
      <c r="F936">
        <f t="shared" si="221"/>
        <v>1.7385426490939E-2</v>
      </c>
      <c r="G936">
        <f t="shared" si="222"/>
        <v>5.376936028125464E-2</v>
      </c>
      <c r="H936">
        <f t="shared" si="223"/>
        <v>58.427190451157962</v>
      </c>
      <c r="I936">
        <f t="shared" si="224"/>
        <v>1.0309604061069326</v>
      </c>
      <c r="J936">
        <f t="shared" si="225"/>
        <v>1.1202832941863137</v>
      </c>
      <c r="K936">
        <f t="shared" si="226"/>
        <v>0.55599529957212945</v>
      </c>
      <c r="L936">
        <f t="shared" si="227"/>
        <v>1.2532163367962357</v>
      </c>
      <c r="M936">
        <f t="shared" si="228"/>
        <v>0.99079862692023557</v>
      </c>
      <c r="N936">
        <f t="shared" si="229"/>
        <v>1.0008781173403047</v>
      </c>
      <c r="O936">
        <v>6.414297069796693E-3</v>
      </c>
      <c r="P936">
        <v>4.0413363531061862E-3</v>
      </c>
      <c r="Q936">
        <f t="shared" si="230"/>
        <v>4054.5329240910178</v>
      </c>
      <c r="R936">
        <f t="shared" si="231"/>
        <v>4.054532924091018</v>
      </c>
    </row>
    <row r="937" spans="1:18" x14ac:dyDescent="0.3">
      <c r="A937">
        <v>1.8720000000000001</v>
      </c>
      <c r="B937" s="4"/>
      <c r="C937">
        <v>-34.023899049056197</v>
      </c>
      <c r="D937">
        <v>1.95</v>
      </c>
      <c r="E937">
        <f t="shared" si="233"/>
        <v>141.11485594170068</v>
      </c>
      <c r="F937">
        <f t="shared" si="221"/>
        <v>1.7385426490939E-2</v>
      </c>
      <c r="G937">
        <f t="shared" si="222"/>
        <v>5.376936028125464E-2</v>
      </c>
      <c r="H937">
        <f t="shared" si="223"/>
        <v>58.427190451157962</v>
      </c>
      <c r="I937">
        <f t="shared" si="224"/>
        <v>1.0309604061069326</v>
      </c>
      <c r="J937">
        <f t="shared" si="225"/>
        <v>1.1202832941863137</v>
      </c>
      <c r="K937">
        <f t="shared" si="226"/>
        <v>0.55599529957212945</v>
      </c>
      <c r="L937">
        <f t="shared" si="227"/>
        <v>1.2532163367962357</v>
      </c>
      <c r="M937">
        <f t="shared" si="228"/>
        <v>0.9997873526191301</v>
      </c>
      <c r="N937">
        <f t="shared" si="229"/>
        <v>1.0029875971710025</v>
      </c>
      <c r="O937">
        <v>6.5244917181424668E-3</v>
      </c>
      <c r="P937">
        <v>3.9086957232452686E-3</v>
      </c>
      <c r="Q937">
        <f t="shared" si="230"/>
        <v>4054.5329240910178</v>
      </c>
      <c r="R937">
        <f t="shared" si="231"/>
        <v>4.054532924091018</v>
      </c>
    </row>
    <row r="938" spans="1:18" x14ac:dyDescent="0.3">
      <c r="A938">
        <v>1.8740000000000001</v>
      </c>
      <c r="B938" s="4"/>
      <c r="C938">
        <v>-34.023899049056197</v>
      </c>
      <c r="D938">
        <v>1.95</v>
      </c>
      <c r="E938">
        <f t="shared" si="233"/>
        <v>141.11485594170068</v>
      </c>
      <c r="F938">
        <f t="shared" si="221"/>
        <v>1.7385426490939E-2</v>
      </c>
      <c r="G938">
        <f t="shared" si="222"/>
        <v>5.376936028125464E-2</v>
      </c>
      <c r="H938">
        <f t="shared" si="223"/>
        <v>58.427190451157962</v>
      </c>
      <c r="I938">
        <f t="shared" si="224"/>
        <v>1.0309604061069326</v>
      </c>
      <c r="J938">
        <f t="shared" si="225"/>
        <v>1.1202832941863137</v>
      </c>
      <c r="K938">
        <f t="shared" si="226"/>
        <v>0.55599529957212945</v>
      </c>
      <c r="L938">
        <f t="shared" si="227"/>
        <v>1.2532163367962357</v>
      </c>
      <c r="M938">
        <f t="shared" si="228"/>
        <v>0.99972968941228657</v>
      </c>
      <c r="N938">
        <f t="shared" si="229"/>
        <v>1.0057008454384779</v>
      </c>
      <c r="O938">
        <v>6.5987076903960265E-3</v>
      </c>
      <c r="P938">
        <v>3.7979887238570324E-3</v>
      </c>
      <c r="Q938">
        <f t="shared" si="230"/>
        <v>4054.5329240910178</v>
      </c>
      <c r="R938">
        <f t="shared" si="231"/>
        <v>4.054532924091018</v>
      </c>
    </row>
    <row r="939" spans="1:18" x14ac:dyDescent="0.3">
      <c r="A939">
        <v>1.8759999999999999</v>
      </c>
      <c r="B939" s="4"/>
      <c r="C939">
        <v>-34.023899049056197</v>
      </c>
      <c r="D939">
        <v>1.95</v>
      </c>
      <c r="E939">
        <f t="shared" si="233"/>
        <v>141.11485594170068</v>
      </c>
      <c r="F939">
        <f t="shared" si="221"/>
        <v>1.7385426490939E-2</v>
      </c>
      <c r="G939">
        <f t="shared" si="222"/>
        <v>5.376936028125464E-2</v>
      </c>
      <c r="H939">
        <f t="shared" si="223"/>
        <v>58.427190451157962</v>
      </c>
      <c r="I939">
        <f t="shared" si="224"/>
        <v>1.0309604061069326</v>
      </c>
      <c r="J939">
        <f t="shared" si="225"/>
        <v>1.1202832941863137</v>
      </c>
      <c r="K939">
        <f t="shared" si="226"/>
        <v>0.55599529957212945</v>
      </c>
      <c r="L939">
        <f t="shared" si="227"/>
        <v>1.2532163367962357</v>
      </c>
      <c r="M939">
        <f t="shared" si="228"/>
        <v>0.99971862180718818</v>
      </c>
      <c r="N939">
        <f t="shared" si="229"/>
        <v>1.0013000703024304</v>
      </c>
      <c r="O939">
        <v>6.6569367578951846E-3</v>
      </c>
      <c r="P939">
        <v>3.6831728240529936E-3</v>
      </c>
      <c r="Q939">
        <f t="shared" si="230"/>
        <v>4054.5329240910178</v>
      </c>
      <c r="R939">
        <f t="shared" si="231"/>
        <v>4.054532924091018</v>
      </c>
    </row>
    <row r="940" spans="1:18" x14ac:dyDescent="0.3">
      <c r="A940">
        <v>1.8779999999999999</v>
      </c>
      <c r="B940" s="4"/>
      <c r="C940">
        <v>-34.023899049056197</v>
      </c>
      <c r="D940">
        <v>1.95</v>
      </c>
      <c r="E940">
        <f t="shared" si="233"/>
        <v>141.11485594170068</v>
      </c>
      <c r="F940">
        <f t="shared" si="221"/>
        <v>1.7385426490939E-2</v>
      </c>
      <c r="G940">
        <f t="shared" si="222"/>
        <v>5.376936028125464E-2</v>
      </c>
      <c r="H940">
        <f t="shared" si="223"/>
        <v>58.427190451157962</v>
      </c>
      <c r="I940">
        <f t="shared" si="224"/>
        <v>1.0309604061069326</v>
      </c>
      <c r="J940">
        <f t="shared" si="225"/>
        <v>1.1202832941863137</v>
      </c>
      <c r="K940">
        <f t="shared" si="226"/>
        <v>0.55599529957212945</v>
      </c>
      <c r="L940">
        <f t="shared" si="227"/>
        <v>1.2532163367962357</v>
      </c>
      <c r="M940">
        <f t="shared" si="228"/>
        <v>0.99979060888907567</v>
      </c>
      <c r="N940">
        <f t="shared" si="229"/>
        <v>1.002798498325117</v>
      </c>
      <c r="O940">
        <v>6.6988285528520094E-3</v>
      </c>
      <c r="P940">
        <v>3.616560231382719E-3</v>
      </c>
      <c r="Q940">
        <f t="shared" si="230"/>
        <v>4054.5329240910178</v>
      </c>
      <c r="R940">
        <f t="shared" si="231"/>
        <v>4.054532924091018</v>
      </c>
    </row>
    <row r="941" spans="1:18" x14ac:dyDescent="0.3">
      <c r="A941">
        <v>1.88</v>
      </c>
      <c r="B941" s="4"/>
      <c r="C941">
        <v>-34.023899049056197</v>
      </c>
      <c r="D941">
        <v>1.95</v>
      </c>
      <c r="E941">
        <f t="shared" si="233"/>
        <v>141.11485594170068</v>
      </c>
      <c r="F941">
        <f t="shared" si="221"/>
        <v>1.7385426490939E-2</v>
      </c>
      <c r="G941">
        <f t="shared" si="222"/>
        <v>5.376936028125464E-2</v>
      </c>
      <c r="H941">
        <f t="shared" si="223"/>
        <v>58.427190451157962</v>
      </c>
      <c r="I941">
        <f t="shared" si="224"/>
        <v>1.0309604061069326</v>
      </c>
      <c r="J941">
        <f t="shared" si="225"/>
        <v>1.1202832941863137</v>
      </c>
      <c r="K941">
        <f t="shared" si="226"/>
        <v>0.55599529957212945</v>
      </c>
      <c r="L941">
        <f t="shared" si="227"/>
        <v>1.2532163367962357</v>
      </c>
      <c r="M941">
        <f t="shared" si="228"/>
        <v>0.99982960717516378</v>
      </c>
      <c r="N941">
        <f t="shared" si="229"/>
        <v>1.0038467839871008</v>
      </c>
      <c r="O941">
        <v>6.7238263422709074E-3</v>
      </c>
      <c r="P941">
        <v>3.5766561045006058E-3</v>
      </c>
      <c r="Q941">
        <f t="shared" si="230"/>
        <v>4054.5329240910178</v>
      </c>
      <c r="R941">
        <f t="shared" si="231"/>
        <v>4.054532924091018</v>
      </c>
    </row>
    <row r="942" spans="1:18" x14ac:dyDescent="0.3">
      <c r="A942">
        <v>1.8819999999999999</v>
      </c>
      <c r="B942" s="4"/>
      <c r="C942">
        <v>-34.023899049056197</v>
      </c>
      <c r="D942">
        <v>1.95</v>
      </c>
      <c r="E942">
        <f t="shared" si="233"/>
        <v>141.11485594170068</v>
      </c>
      <c r="F942">
        <f t="shared" si="221"/>
        <v>1.7385426490939E-2</v>
      </c>
      <c r="G942">
        <f t="shared" si="222"/>
        <v>5.376936028125464E-2</v>
      </c>
      <c r="H942">
        <f t="shared" si="223"/>
        <v>58.427190451157962</v>
      </c>
      <c r="I942">
        <f t="shared" si="224"/>
        <v>1.0309604061069326</v>
      </c>
      <c r="J942">
        <f t="shared" si="225"/>
        <v>1.1202832941863137</v>
      </c>
      <c r="K942">
        <f t="shared" si="226"/>
        <v>0.55599529957212945</v>
      </c>
      <c r="L942">
        <f t="shared" si="227"/>
        <v>1.2532163367962357</v>
      </c>
      <c r="M942">
        <f t="shared" si="228"/>
        <v>0.99984131409535104</v>
      </c>
      <c r="N942">
        <f t="shared" si="229"/>
        <v>1.00420396206449</v>
      </c>
      <c r="O942">
        <v>6.7317636680621551E-3</v>
      </c>
      <c r="P942">
        <v>3.5639613845513899E-3</v>
      </c>
      <c r="Q942">
        <f t="shared" si="230"/>
        <v>4054.5329240910178</v>
      </c>
      <c r="R942">
        <f t="shared" si="231"/>
        <v>4.054532924091018</v>
      </c>
    </row>
    <row r="943" spans="1:18" x14ac:dyDescent="0.3">
      <c r="A943">
        <v>1.8839999999999999</v>
      </c>
      <c r="B943" s="4"/>
      <c r="C943">
        <v>-34.023899049056197</v>
      </c>
      <c r="D943">
        <v>1.95</v>
      </c>
      <c r="E943">
        <f t="shared" si="233"/>
        <v>141.11485594170068</v>
      </c>
      <c r="F943">
        <f t="shared" si="221"/>
        <v>1.7385426490939E-2</v>
      </c>
      <c r="G943">
        <f t="shared" si="222"/>
        <v>5.376936028125464E-2</v>
      </c>
      <c r="H943">
        <f t="shared" si="223"/>
        <v>58.427190451157962</v>
      </c>
      <c r="I943">
        <f t="shared" si="224"/>
        <v>1.0309604061069326</v>
      </c>
      <c r="J943">
        <f t="shared" si="225"/>
        <v>1.1202832941863137</v>
      </c>
      <c r="K943">
        <f t="shared" si="226"/>
        <v>0.55599529957212945</v>
      </c>
      <c r="L943">
        <f t="shared" si="227"/>
        <v>1.2532163367962357</v>
      </c>
      <c r="M943">
        <f t="shared" si="228"/>
        <v>0.99982775088421916</v>
      </c>
      <c r="N943">
        <f t="shared" si="229"/>
        <v>1.0037921290290135</v>
      </c>
      <c r="O943">
        <v>6.7225882211323588E-3</v>
      </c>
      <c r="P943">
        <v>3.5786352599840796E-3</v>
      </c>
      <c r="Q943">
        <f t="shared" si="230"/>
        <v>4054.5329240910178</v>
      </c>
      <c r="R943">
        <f t="shared" si="231"/>
        <v>4.054532924091018</v>
      </c>
    </row>
    <row r="944" spans="1:18" x14ac:dyDescent="0.3">
      <c r="A944">
        <v>1.8859999999999999</v>
      </c>
      <c r="B944" s="4"/>
      <c r="C944">
        <v>-34.023899049056197</v>
      </c>
      <c r="D944">
        <v>1.95</v>
      </c>
      <c r="E944">
        <f t="shared" si="233"/>
        <v>141.11485594170068</v>
      </c>
      <c r="F944">
        <f t="shared" si="221"/>
        <v>1.7385426490939E-2</v>
      </c>
      <c r="G944">
        <f t="shared" si="222"/>
        <v>5.376936028125464E-2</v>
      </c>
      <c r="H944">
        <f t="shared" si="223"/>
        <v>58.427190451157962</v>
      </c>
      <c r="I944">
        <f t="shared" si="224"/>
        <v>1.0309604061069326</v>
      </c>
      <c r="J944">
        <f t="shared" si="225"/>
        <v>1.1202832941863137</v>
      </c>
      <c r="K944">
        <f t="shared" si="226"/>
        <v>0.55599529957212945</v>
      </c>
      <c r="L944">
        <f t="shared" si="227"/>
        <v>1.2532163367962357</v>
      </c>
      <c r="M944">
        <f t="shared" si="228"/>
        <v>0.99978659030871009</v>
      </c>
      <c r="N944">
        <f t="shared" si="229"/>
        <v>1.0027012797154544</v>
      </c>
      <c r="O944">
        <v>6.6963604937709522E-3</v>
      </c>
      <c r="P944">
        <v>3.6204937165978139E-3</v>
      </c>
      <c r="Q944">
        <f t="shared" si="230"/>
        <v>4054.5329240910178</v>
      </c>
      <c r="R944">
        <f t="shared" si="231"/>
        <v>4.054532924091018</v>
      </c>
    </row>
    <row r="945" spans="1:18" x14ac:dyDescent="0.3">
      <c r="A945">
        <v>1.8879999999999999</v>
      </c>
      <c r="B945" s="4"/>
      <c r="C945">
        <v>-34.023899049056197</v>
      </c>
      <c r="D945">
        <v>1.95</v>
      </c>
      <c r="E945">
        <f t="shared" si="233"/>
        <v>141.11485594170068</v>
      </c>
      <c r="F945">
        <f t="shared" si="221"/>
        <v>1.7385426490939E-2</v>
      </c>
      <c r="G945">
        <f t="shared" si="222"/>
        <v>5.376936028125464E-2</v>
      </c>
      <c r="H945">
        <f t="shared" si="223"/>
        <v>58.427190451157962</v>
      </c>
      <c r="I945">
        <f t="shared" si="224"/>
        <v>1.0309604061069326</v>
      </c>
      <c r="J945">
        <f t="shared" si="225"/>
        <v>1.1202832941863137</v>
      </c>
      <c r="K945">
        <f t="shared" si="226"/>
        <v>0.55599529957212945</v>
      </c>
      <c r="L945">
        <f t="shared" si="227"/>
        <v>1.2532163367962357</v>
      </c>
      <c r="M945">
        <f t="shared" si="228"/>
        <v>0.9997119328424855</v>
      </c>
      <c r="N945">
        <f t="shared" si="229"/>
        <v>1.0011837192231425</v>
      </c>
      <c r="O945">
        <v>6.6532553370181749E-3</v>
      </c>
      <c r="P945">
        <v>3.6890112140150408E-3</v>
      </c>
      <c r="Q945">
        <f t="shared" si="230"/>
        <v>4054.5329240910178</v>
      </c>
      <c r="R945">
        <f t="shared" si="231"/>
        <v>4.054532924091018</v>
      </c>
    </row>
    <row r="946" spans="1:18" x14ac:dyDescent="0.3">
      <c r="A946">
        <v>1.89</v>
      </c>
      <c r="B946" s="4"/>
      <c r="C946">
        <v>-34.023899049056197</v>
      </c>
      <c r="D946">
        <v>1.95</v>
      </c>
      <c r="E946">
        <f t="shared" si="233"/>
        <v>141.11485594170068</v>
      </c>
      <c r="F946">
        <f t="shared" si="221"/>
        <v>1.7385426490939E-2</v>
      </c>
      <c r="G946">
        <f t="shared" si="222"/>
        <v>5.376936028125464E-2</v>
      </c>
      <c r="H946">
        <f t="shared" si="223"/>
        <v>58.427190451157962</v>
      </c>
      <c r="I946">
        <f t="shared" si="224"/>
        <v>1.0309604061069326</v>
      </c>
      <c r="J946">
        <f t="shared" si="225"/>
        <v>1.1202832941863137</v>
      </c>
      <c r="K946">
        <f t="shared" si="226"/>
        <v>0.55599529957212945</v>
      </c>
      <c r="L946">
        <f t="shared" si="227"/>
        <v>1.2532163367962357</v>
      </c>
      <c r="M946">
        <f t="shared" si="228"/>
        <v>0.99973377941627295</v>
      </c>
      <c r="N946">
        <f t="shared" si="229"/>
        <v>1.0054967133295043</v>
      </c>
      <c r="O946">
        <v>6.593869271925532E-3</v>
      </c>
      <c r="P946">
        <v>3.8052344106028362E-3</v>
      </c>
      <c r="Q946">
        <f t="shared" si="230"/>
        <v>4054.5329240910178</v>
      </c>
      <c r="R946">
        <f t="shared" si="231"/>
        <v>4.054532924091018</v>
      </c>
    </row>
    <row r="947" spans="1:18" x14ac:dyDescent="0.3">
      <c r="A947">
        <v>1.8919999999999999</v>
      </c>
      <c r="B947" s="4"/>
      <c r="C947">
        <v>-34.023899049056197</v>
      </c>
      <c r="D947">
        <v>1.95</v>
      </c>
      <c r="E947">
        <f t="shared" si="233"/>
        <v>141.11485594170068</v>
      </c>
      <c r="F947">
        <f t="shared" si="221"/>
        <v>1.7385426490939E-2</v>
      </c>
      <c r="G947">
        <f t="shared" si="222"/>
        <v>5.376936028125464E-2</v>
      </c>
      <c r="H947">
        <f t="shared" si="223"/>
        <v>58.427190451157962</v>
      </c>
      <c r="I947">
        <f t="shared" si="224"/>
        <v>1.0309604061069326</v>
      </c>
      <c r="J947">
        <f t="shared" si="225"/>
        <v>1.1202832941863137</v>
      </c>
      <c r="K947">
        <f t="shared" si="226"/>
        <v>0.55599529957212945</v>
      </c>
      <c r="L947">
        <f t="shared" si="227"/>
        <v>1.2532163367962357</v>
      </c>
      <c r="M947">
        <f t="shared" si="228"/>
        <v>0.9997915487113036</v>
      </c>
      <c r="N947">
        <f t="shared" si="229"/>
        <v>1.0028074632631698</v>
      </c>
      <c r="O947">
        <v>6.5185088006444467E-3</v>
      </c>
      <c r="P947">
        <v>3.9175798472091822E-3</v>
      </c>
      <c r="Q947">
        <f t="shared" si="230"/>
        <v>4054.5329240910178</v>
      </c>
      <c r="R947">
        <f t="shared" si="231"/>
        <v>4.054532924091018</v>
      </c>
    </row>
    <row r="948" spans="1:18" x14ac:dyDescent="0.3">
      <c r="A948">
        <v>1.8939999999999999</v>
      </c>
      <c r="B948" s="4"/>
      <c r="C948">
        <v>-34.023899049056197</v>
      </c>
      <c r="D948">
        <v>1.95</v>
      </c>
      <c r="E948">
        <f t="shared" si="233"/>
        <v>141.11485594170068</v>
      </c>
      <c r="F948">
        <f t="shared" si="221"/>
        <v>1.7385426490939E-2</v>
      </c>
      <c r="G948">
        <f t="shared" si="222"/>
        <v>5.376936028125464E-2</v>
      </c>
      <c r="H948">
        <f t="shared" si="223"/>
        <v>58.427190451157962</v>
      </c>
      <c r="I948">
        <f t="shared" si="224"/>
        <v>1.0309604061069326</v>
      </c>
      <c r="J948">
        <f t="shared" si="225"/>
        <v>1.1202832941863137</v>
      </c>
      <c r="K948">
        <f t="shared" si="226"/>
        <v>0.55599529957212945</v>
      </c>
      <c r="L948">
        <f t="shared" si="227"/>
        <v>1.2532163367962357</v>
      </c>
      <c r="M948">
        <f t="shared" si="228"/>
        <v>0.99094969521518173</v>
      </c>
      <c r="N948">
        <f t="shared" si="229"/>
        <v>1.0007651234883421</v>
      </c>
      <c r="O948">
        <v>6.407525980263915E-3</v>
      </c>
      <c r="P948">
        <v>4.0517459787394921E-3</v>
      </c>
      <c r="Q948">
        <f t="shared" si="230"/>
        <v>4054.5329240910178</v>
      </c>
      <c r="R948">
        <f t="shared" si="231"/>
        <v>4.054532924091018</v>
      </c>
    </row>
    <row r="949" spans="1:18" x14ac:dyDescent="0.3">
      <c r="A949">
        <v>1.8959999999999999</v>
      </c>
      <c r="B949" s="4"/>
      <c r="C949">
        <v>-34.023899049056197</v>
      </c>
      <c r="D949">
        <v>1.95</v>
      </c>
      <c r="E949">
        <f t="shared" si="233"/>
        <v>141.11485594170068</v>
      </c>
      <c r="F949">
        <f t="shared" si="221"/>
        <v>1.7385426490939E-2</v>
      </c>
      <c r="G949">
        <f t="shared" si="222"/>
        <v>5.376936028125464E-2</v>
      </c>
      <c r="H949">
        <f t="shared" si="223"/>
        <v>58.427190451157962</v>
      </c>
      <c r="I949">
        <f t="shared" si="224"/>
        <v>1.0309604061069326</v>
      </c>
      <c r="J949">
        <f t="shared" si="225"/>
        <v>1.1202832941863137</v>
      </c>
      <c r="K949">
        <f t="shared" si="226"/>
        <v>0.55599529957212945</v>
      </c>
      <c r="L949">
        <f t="shared" si="227"/>
        <v>1.2532163367962357</v>
      </c>
      <c r="M949">
        <f t="shared" si="228"/>
        <v>0.99301465813000223</v>
      </c>
      <c r="N949">
        <f t="shared" si="229"/>
        <v>1.0046669527126573</v>
      </c>
      <c r="O949">
        <v>6.3061717407079734E-3</v>
      </c>
      <c r="P949">
        <v>4.2218312845094261E-3</v>
      </c>
      <c r="Q949">
        <f t="shared" si="230"/>
        <v>4054.5329240910178</v>
      </c>
      <c r="R949">
        <f t="shared" si="231"/>
        <v>4.054532924091018</v>
      </c>
    </row>
    <row r="950" spans="1:18" x14ac:dyDescent="0.3">
      <c r="A950">
        <v>1.8979999999999999</v>
      </c>
      <c r="B950" s="4"/>
      <c r="C950">
        <v>-34.023899049056197</v>
      </c>
      <c r="D950">
        <v>1.95</v>
      </c>
      <c r="E950">
        <f t="shared" si="233"/>
        <v>141.11485594170068</v>
      </c>
      <c r="F950">
        <f t="shared" si="221"/>
        <v>1.7385426490939E-2</v>
      </c>
      <c r="G950">
        <f t="shared" si="222"/>
        <v>5.376936028125464E-2</v>
      </c>
      <c r="H950">
        <f t="shared" si="223"/>
        <v>58.427190451157962</v>
      </c>
      <c r="I950">
        <f t="shared" si="224"/>
        <v>1.0309604061069326</v>
      </c>
      <c r="J950">
        <f t="shared" si="225"/>
        <v>1.1202832941863137</v>
      </c>
      <c r="K950">
        <f t="shared" si="226"/>
        <v>0.55599529957212945</v>
      </c>
      <c r="L950">
        <f t="shared" si="227"/>
        <v>1.2532163367962357</v>
      </c>
      <c r="M950">
        <f t="shared" si="228"/>
        <v>0.99495131436502504</v>
      </c>
      <c r="N950">
        <f t="shared" si="229"/>
        <v>1.0006139184479319</v>
      </c>
      <c r="O950">
        <v>6.1906363115625217E-3</v>
      </c>
      <c r="P950">
        <v>4.3768693239572675E-3</v>
      </c>
      <c r="Q950">
        <f t="shared" si="230"/>
        <v>4054.5329240910178</v>
      </c>
      <c r="R950">
        <f t="shared" si="231"/>
        <v>4.054532924091018</v>
      </c>
    </row>
    <row r="951" spans="1:18" x14ac:dyDescent="0.3">
      <c r="A951">
        <v>1.9</v>
      </c>
      <c r="B951" s="4"/>
      <c r="C951">
        <v>-34.023899049056197</v>
      </c>
      <c r="D951">
        <v>1.95</v>
      </c>
      <c r="E951">
        <f t="shared" si="233"/>
        <v>141.11485594170068</v>
      </c>
      <c r="F951">
        <f t="shared" si="221"/>
        <v>1.7385426490939E-2</v>
      </c>
      <c r="G951">
        <f t="shared" si="222"/>
        <v>5.376936028125464E-2</v>
      </c>
      <c r="H951">
        <f t="shared" si="223"/>
        <v>58.427190451157962</v>
      </c>
      <c r="I951">
        <f t="shared" si="224"/>
        <v>1.0309604061069326</v>
      </c>
      <c r="J951">
        <f t="shared" si="225"/>
        <v>1.1202832941863137</v>
      </c>
      <c r="K951">
        <f t="shared" si="226"/>
        <v>0.55599529957212945</v>
      </c>
      <c r="L951">
        <f t="shared" si="227"/>
        <v>1.2532163367962357</v>
      </c>
      <c r="M951">
        <f t="shared" si="228"/>
        <v>0.99664820233035645</v>
      </c>
      <c r="N951">
        <f t="shared" si="229"/>
        <v>1.0035817264010811</v>
      </c>
      <c r="O951">
        <v>6.0616182893405701E-3</v>
      </c>
      <c r="P951">
        <v>4.5633027289282962E-3</v>
      </c>
      <c r="Q951">
        <f t="shared" si="230"/>
        <v>4054.5329240910178</v>
      </c>
      <c r="R951">
        <f t="shared" si="231"/>
        <v>4.054532924091018</v>
      </c>
    </row>
    <row r="952" spans="1:18" x14ac:dyDescent="0.3">
      <c r="A952">
        <v>1.9019999999999999</v>
      </c>
      <c r="B952" s="4"/>
      <c r="C952">
        <v>-34.023899049056197</v>
      </c>
      <c r="D952">
        <v>1.95</v>
      </c>
      <c r="E952">
        <f t="shared" si="233"/>
        <v>141.11485594170068</v>
      </c>
      <c r="F952">
        <f t="shared" si="221"/>
        <v>1.7385426490939E-2</v>
      </c>
      <c r="G952">
        <f t="shared" si="222"/>
        <v>5.376936028125464E-2</v>
      </c>
      <c r="H952">
        <f t="shared" si="223"/>
        <v>58.427190451157962</v>
      </c>
      <c r="I952">
        <f t="shared" si="224"/>
        <v>1.0309604061069326</v>
      </c>
      <c r="J952">
        <f t="shared" si="225"/>
        <v>1.1202832941863137</v>
      </c>
      <c r="K952">
        <f t="shared" si="226"/>
        <v>0.55599529957212945</v>
      </c>
      <c r="L952">
        <f t="shared" si="227"/>
        <v>1.2532163367962357</v>
      </c>
      <c r="M952">
        <f t="shared" si="228"/>
        <v>0.99802204580460097</v>
      </c>
      <c r="N952">
        <f t="shared" si="229"/>
        <v>1.000843251387038</v>
      </c>
      <c r="O952">
        <v>5.9199948361344608E-3</v>
      </c>
      <c r="P952">
        <v>4.7371569309244922E-3</v>
      </c>
      <c r="Q952">
        <f t="shared" si="230"/>
        <v>4054.5329240910178</v>
      </c>
      <c r="R952">
        <f t="shared" si="231"/>
        <v>4.054532924091018</v>
      </c>
    </row>
    <row r="953" spans="1:18" x14ac:dyDescent="0.3">
      <c r="A953">
        <v>1.9039999999999999</v>
      </c>
      <c r="B953" s="4"/>
      <c r="C953">
        <v>-34.023899049056197</v>
      </c>
      <c r="D953">
        <v>1.95</v>
      </c>
      <c r="E953">
        <f t="shared" si="233"/>
        <v>141.11485594170068</v>
      </c>
      <c r="F953">
        <f t="shared" si="221"/>
        <v>1.7385426490939E-2</v>
      </c>
      <c r="G953">
        <f t="shared" si="222"/>
        <v>5.376936028125464E-2</v>
      </c>
      <c r="H953">
        <f t="shared" si="223"/>
        <v>58.427190451157962</v>
      </c>
      <c r="I953">
        <f t="shared" si="224"/>
        <v>1.0309604061069326</v>
      </c>
      <c r="J953">
        <f t="shared" si="225"/>
        <v>1.1202832941863137</v>
      </c>
      <c r="K953">
        <f t="shared" si="226"/>
        <v>0.55599529957212945</v>
      </c>
      <c r="L953">
        <f t="shared" si="227"/>
        <v>1.2532163367962357</v>
      </c>
      <c r="M953">
        <f t="shared" si="228"/>
        <v>0.99902628846832753</v>
      </c>
      <c r="N953">
        <f t="shared" si="229"/>
        <v>1.0058869721857797</v>
      </c>
      <c r="O953">
        <v>5.7668502026862857E-3</v>
      </c>
      <c r="P953">
        <v>4.9366762097644377E-3</v>
      </c>
      <c r="Q953">
        <f t="shared" si="230"/>
        <v>4054.5329240910178</v>
      </c>
      <c r="R953">
        <f t="shared" si="231"/>
        <v>4.054532924091018</v>
      </c>
    </row>
    <row r="954" spans="1:18" x14ac:dyDescent="0.3">
      <c r="A954">
        <v>1.9059999999999999</v>
      </c>
      <c r="B954" s="4"/>
      <c r="C954">
        <v>-34.023899049056197</v>
      </c>
      <c r="D954">
        <v>1.95</v>
      </c>
      <c r="E954">
        <f t="shared" si="233"/>
        <v>141.11485594170068</v>
      </c>
      <c r="F954">
        <f t="shared" si="221"/>
        <v>1.7385426490939E-2</v>
      </c>
      <c r="G954">
        <f t="shared" si="222"/>
        <v>5.376936028125464E-2</v>
      </c>
      <c r="H954">
        <f t="shared" si="223"/>
        <v>58.427190451157962</v>
      </c>
      <c r="I954">
        <f t="shared" si="224"/>
        <v>1.0309604061069326</v>
      </c>
      <c r="J954">
        <f t="shared" si="225"/>
        <v>1.1202832941863137</v>
      </c>
      <c r="K954">
        <f t="shared" si="226"/>
        <v>0.55599529957212945</v>
      </c>
      <c r="L954">
        <f t="shared" si="227"/>
        <v>1.2532163367962357</v>
      </c>
      <c r="M954">
        <f t="shared" si="228"/>
        <v>0.99965650407252893</v>
      </c>
      <c r="N954">
        <f t="shared" si="229"/>
        <v>0.99940506012548491</v>
      </c>
      <c r="O954">
        <v>5.603504304950776E-3</v>
      </c>
      <c r="P954">
        <v>5.1027496692904826E-3</v>
      </c>
      <c r="Q954">
        <f t="shared" si="230"/>
        <v>4054.5329240910178</v>
      </c>
      <c r="R954">
        <f t="shared" si="231"/>
        <v>4.054532924091018</v>
      </c>
    </row>
    <row r="955" spans="1:18" x14ac:dyDescent="0.3">
      <c r="A955">
        <v>1.9079999999999999</v>
      </c>
      <c r="B955" s="4"/>
      <c r="C955">
        <v>-34.023899049056197</v>
      </c>
      <c r="D955">
        <v>1.95</v>
      </c>
      <c r="E955">
        <f t="shared" si="233"/>
        <v>141.11485594170068</v>
      </c>
      <c r="F955">
        <f t="shared" si="221"/>
        <v>1.7385426490939E-2</v>
      </c>
      <c r="G955">
        <f t="shared" si="222"/>
        <v>5.376936028125464E-2</v>
      </c>
      <c r="H955">
        <f t="shared" si="223"/>
        <v>58.427190451157962</v>
      </c>
      <c r="I955">
        <f t="shared" si="224"/>
        <v>1.0309604061069326</v>
      </c>
      <c r="J955">
        <f t="shared" si="225"/>
        <v>1.1202832941863137</v>
      </c>
      <c r="K955">
        <f t="shared" si="226"/>
        <v>0.55599529957212945</v>
      </c>
      <c r="L955">
        <f t="shared" si="227"/>
        <v>1.2532163367962357</v>
      </c>
      <c r="M955">
        <f t="shared" si="228"/>
        <v>1.0043203222571659</v>
      </c>
      <c r="N955">
        <f t="shared" si="229"/>
        <v>0.9984888366143797</v>
      </c>
      <c r="O955">
        <v>5.4430869340555618E-3</v>
      </c>
      <c r="P955">
        <v>5.2826885745904349E-3</v>
      </c>
      <c r="Q955">
        <f t="shared" si="230"/>
        <v>4054.5329240910178</v>
      </c>
      <c r="R955">
        <f t="shared" si="231"/>
        <v>4.054532924091018</v>
      </c>
    </row>
    <row r="956" spans="1:18" x14ac:dyDescent="0.3">
      <c r="A956">
        <v>1.91</v>
      </c>
      <c r="B956" s="4"/>
      <c r="C956">
        <v>-34.023899049056197</v>
      </c>
      <c r="D956">
        <v>1.95</v>
      </c>
      <c r="E956">
        <f t="shared" si="233"/>
        <v>141.11485594170068</v>
      </c>
      <c r="F956">
        <f t="shared" si="221"/>
        <v>1.7385426490939E-2</v>
      </c>
      <c r="G956">
        <f t="shared" si="222"/>
        <v>5.376936028125464E-2</v>
      </c>
      <c r="H956">
        <f t="shared" si="223"/>
        <v>58.427190451157962</v>
      </c>
      <c r="I956">
        <f t="shared" si="224"/>
        <v>1.0309604061069326</v>
      </c>
      <c r="J956">
        <f t="shared" si="225"/>
        <v>1.1202832941863137</v>
      </c>
      <c r="K956">
        <f t="shared" si="226"/>
        <v>0.55599529957212945</v>
      </c>
      <c r="L956">
        <f t="shared" si="227"/>
        <v>1.2532163367962357</v>
      </c>
      <c r="M956">
        <f t="shared" si="228"/>
        <v>0.99835867247609522</v>
      </c>
      <c r="N956">
        <f t="shared" si="229"/>
        <v>0.99808995108400733</v>
      </c>
      <c r="O956">
        <v>5.248361534329349E-3</v>
      </c>
      <c r="P956">
        <v>5.4595805270560701E-3</v>
      </c>
      <c r="Q956">
        <f t="shared" si="230"/>
        <v>4054.5329240910178</v>
      </c>
      <c r="R956">
        <f t="shared" si="231"/>
        <v>4.054532924091018</v>
      </c>
    </row>
    <row r="957" spans="1:18" x14ac:dyDescent="0.3">
      <c r="A957">
        <v>1.9119999999999999</v>
      </c>
      <c r="B957" s="4"/>
      <c r="C957">
        <v>-34.023899049056197</v>
      </c>
      <c r="D957">
        <v>1.95</v>
      </c>
      <c r="E957">
        <f t="shared" si="233"/>
        <v>141.11485594170068</v>
      </c>
      <c r="F957">
        <f t="shared" si="221"/>
        <v>1.7385426490939E-2</v>
      </c>
      <c r="G957">
        <f t="shared" si="222"/>
        <v>5.376936028125464E-2</v>
      </c>
      <c r="H957">
        <f t="shared" si="223"/>
        <v>58.427190451157962</v>
      </c>
      <c r="I957">
        <f t="shared" si="224"/>
        <v>1.0309604061069326</v>
      </c>
      <c r="J957">
        <f t="shared" si="225"/>
        <v>1.1202832941863137</v>
      </c>
      <c r="K957">
        <f t="shared" si="226"/>
        <v>0.55599529957212945</v>
      </c>
      <c r="L957">
        <f t="shared" si="227"/>
        <v>1.2532163367962357</v>
      </c>
      <c r="M957">
        <f t="shared" si="228"/>
        <v>0.99864984338736584</v>
      </c>
      <c r="N957">
        <f t="shared" si="229"/>
        <v>1.003837400503883</v>
      </c>
      <c r="O957">
        <v>5.0660287378189858E-3</v>
      </c>
      <c r="P957">
        <v>5.645780834290003E-3</v>
      </c>
      <c r="Q957">
        <f t="shared" si="230"/>
        <v>4054.5329240910178</v>
      </c>
      <c r="R957">
        <f t="shared" si="231"/>
        <v>4.054532924091018</v>
      </c>
    </row>
    <row r="958" spans="1:18" x14ac:dyDescent="0.3">
      <c r="A958">
        <v>1.9139999999999999</v>
      </c>
      <c r="B958" s="4"/>
      <c r="C958">
        <v>-34.023899049056197</v>
      </c>
      <c r="D958">
        <v>1.95</v>
      </c>
      <c r="E958">
        <f t="shared" si="233"/>
        <v>141.11485594170068</v>
      </c>
      <c r="F958">
        <f t="shared" si="221"/>
        <v>1.7385426490939E-2</v>
      </c>
      <c r="G958">
        <f t="shared" si="222"/>
        <v>5.376936028125464E-2</v>
      </c>
      <c r="H958">
        <f t="shared" si="223"/>
        <v>58.427190451157962</v>
      </c>
      <c r="I958">
        <f t="shared" si="224"/>
        <v>1.0309604061069326</v>
      </c>
      <c r="J958">
        <f t="shared" si="225"/>
        <v>1.1202832941863137</v>
      </c>
      <c r="K958">
        <f t="shared" si="226"/>
        <v>0.55599529957212945</v>
      </c>
      <c r="L958">
        <f t="shared" si="227"/>
        <v>1.2532163367962357</v>
      </c>
      <c r="M958">
        <f t="shared" si="228"/>
        <v>0.99950795295722161</v>
      </c>
      <c r="N958">
        <f t="shared" si="229"/>
        <v>0.99972178638843845</v>
      </c>
      <c r="O958">
        <v>4.8833578385325547E-3</v>
      </c>
      <c r="P958">
        <v>5.79854504682623E-3</v>
      </c>
      <c r="Q958">
        <f t="shared" si="230"/>
        <v>4054.5329240910178</v>
      </c>
      <c r="R958">
        <f t="shared" si="231"/>
        <v>4.054532924091018</v>
      </c>
    </row>
    <row r="959" spans="1:18" x14ac:dyDescent="0.3">
      <c r="A959">
        <v>1.9159999999999999</v>
      </c>
      <c r="B959" s="4"/>
      <c r="C959">
        <v>-34.023899049056197</v>
      </c>
      <c r="D959">
        <v>1.95</v>
      </c>
      <c r="E959">
        <f t="shared" si="233"/>
        <v>141.11485594170068</v>
      </c>
      <c r="F959">
        <f t="shared" si="221"/>
        <v>1.7385426490939E-2</v>
      </c>
      <c r="G959">
        <f t="shared" si="222"/>
        <v>5.376936028125464E-2</v>
      </c>
      <c r="H959">
        <f t="shared" si="223"/>
        <v>58.427190451157962</v>
      </c>
      <c r="I959">
        <f t="shared" si="224"/>
        <v>1.0309604061069326</v>
      </c>
      <c r="J959">
        <f t="shared" si="225"/>
        <v>1.1202832941863137</v>
      </c>
      <c r="K959">
        <f t="shared" si="226"/>
        <v>0.55599529957212945</v>
      </c>
      <c r="L959">
        <f t="shared" si="227"/>
        <v>1.2532163367962357</v>
      </c>
      <c r="M959">
        <f t="shared" si="228"/>
        <v>1.0046318783633381</v>
      </c>
      <c r="N959">
        <f t="shared" si="229"/>
        <v>0.99921068594301721</v>
      </c>
      <c r="O959">
        <v>4.7141374721948156E-3</v>
      </c>
      <c r="P959">
        <v>5.9509388770395818E-3</v>
      </c>
      <c r="Q959">
        <f t="shared" si="230"/>
        <v>4054.5329240910178</v>
      </c>
      <c r="R959">
        <f t="shared" si="231"/>
        <v>4.054532924091018</v>
      </c>
    </row>
    <row r="960" spans="1:18" x14ac:dyDescent="0.3">
      <c r="A960">
        <v>1.9179999999999999</v>
      </c>
      <c r="B960" s="4"/>
      <c r="C960">
        <v>-34.023899049056197</v>
      </c>
      <c r="D960">
        <v>1.95</v>
      </c>
      <c r="E960">
        <f t="shared" si="233"/>
        <v>141.11485594170068</v>
      </c>
      <c r="F960">
        <f t="shared" si="221"/>
        <v>1.7385426490939E-2</v>
      </c>
      <c r="G960">
        <f t="shared" si="222"/>
        <v>5.376936028125464E-2</v>
      </c>
      <c r="H960">
        <f t="shared" si="223"/>
        <v>58.427190451157962</v>
      </c>
      <c r="I960">
        <f t="shared" si="224"/>
        <v>1.0309604061069326</v>
      </c>
      <c r="J960">
        <f t="shared" si="225"/>
        <v>1.1202832941863137</v>
      </c>
      <c r="K960">
        <f t="shared" si="226"/>
        <v>0.55599529957212945</v>
      </c>
      <c r="L960">
        <f t="shared" si="227"/>
        <v>1.2532163367962357</v>
      </c>
      <c r="M960">
        <f t="shared" si="228"/>
        <v>0.99434652281466007</v>
      </c>
      <c r="N960">
        <f t="shared" si="229"/>
        <v>0.99841644340840829</v>
      </c>
      <c r="O960">
        <v>4.5004490409645539E-3</v>
      </c>
      <c r="P960">
        <v>6.0917300260232765E-3</v>
      </c>
      <c r="Q960">
        <f t="shared" si="230"/>
        <v>4054.5329240910178</v>
      </c>
      <c r="R960">
        <f t="shared" si="231"/>
        <v>4.054532924091018</v>
      </c>
    </row>
    <row r="961" spans="1:18" x14ac:dyDescent="0.3">
      <c r="A961">
        <v>1.92</v>
      </c>
      <c r="B961" s="4">
        <v>71</v>
      </c>
      <c r="C961">
        <v>-33.6798070167033</v>
      </c>
      <c r="D961">
        <v>1.95</v>
      </c>
      <c r="E961">
        <f>$E$960+$R$960</f>
        <v>145.16938886579169</v>
      </c>
      <c r="F961">
        <f t="shared" si="221"/>
        <v>1.7633418096237783E-2</v>
      </c>
      <c r="G961">
        <f t="shared" si="222"/>
        <v>5.4536344627539535E-2</v>
      </c>
      <c r="H961">
        <f t="shared" si="223"/>
        <v>57.605486305427313</v>
      </c>
      <c r="I961">
        <f t="shared" si="224"/>
        <v>1.0300892419913981</v>
      </c>
      <c r="J961">
        <f t="shared" si="225"/>
        <v>1.1168287862058466</v>
      </c>
      <c r="K961">
        <f t="shared" si="226"/>
        <v>0.55674275151672037</v>
      </c>
      <c r="L961">
        <f t="shared" si="227"/>
        <v>1.2519576920914237</v>
      </c>
      <c r="M961">
        <f t="shared" si="228"/>
        <v>0.99981795012518682</v>
      </c>
      <c r="N961">
        <f t="shared" si="229"/>
        <v>1.0016618485100888</v>
      </c>
      <c r="O961">
        <v>6.4787431276320572E-3</v>
      </c>
      <c r="P961">
        <v>3.9822724127861978E-3</v>
      </c>
      <c r="Q961">
        <f t="shared" si="230"/>
        <v>4063.8013434161526</v>
      </c>
      <c r="R961">
        <f t="shared" si="231"/>
        <v>4.0638013434161522</v>
      </c>
    </row>
    <row r="962" spans="1:18" x14ac:dyDescent="0.3">
      <c r="A962">
        <v>1.9219999999999999</v>
      </c>
      <c r="B962" s="4"/>
      <c r="C962">
        <v>-33.6798070167033</v>
      </c>
      <c r="D962">
        <v>1.95</v>
      </c>
      <c r="E962">
        <f t="shared" ref="E962:E987" si="234">$E$960+$R$960</f>
        <v>145.16938886579169</v>
      </c>
      <c r="F962">
        <f t="shared" si="221"/>
        <v>1.7633418096237783E-2</v>
      </c>
      <c r="G962">
        <f t="shared" si="222"/>
        <v>5.4536344627539535E-2</v>
      </c>
      <c r="H962">
        <f t="shared" si="223"/>
        <v>57.605486305427313</v>
      </c>
      <c r="I962">
        <f t="shared" si="224"/>
        <v>1.0300892419913981</v>
      </c>
      <c r="J962">
        <f t="shared" si="225"/>
        <v>1.1168287862058466</v>
      </c>
      <c r="K962">
        <f t="shared" si="226"/>
        <v>0.55674275151672037</v>
      </c>
      <c r="L962">
        <f t="shared" si="227"/>
        <v>1.2519576920914237</v>
      </c>
      <c r="M962">
        <f t="shared" si="228"/>
        <v>0.99189332844314804</v>
      </c>
      <c r="N962">
        <f t="shared" si="229"/>
        <v>1.0001865116796296</v>
      </c>
      <c r="O962">
        <v>6.3636563320891102E-3</v>
      </c>
      <c r="P962">
        <v>4.1248499189388997E-3</v>
      </c>
      <c r="Q962">
        <f t="shared" si="230"/>
        <v>4063.8013434161526</v>
      </c>
      <c r="R962">
        <f t="shared" si="231"/>
        <v>4.0638013434161522</v>
      </c>
    </row>
    <row r="963" spans="1:18" x14ac:dyDescent="0.3">
      <c r="A963">
        <v>1.9239999999999999</v>
      </c>
      <c r="B963" s="4"/>
      <c r="C963">
        <v>-33.6798070167033</v>
      </c>
      <c r="D963">
        <v>1.95</v>
      </c>
      <c r="E963">
        <f t="shared" si="234"/>
        <v>145.16938886579169</v>
      </c>
      <c r="F963">
        <f t="shared" ref="F963:F1026" si="235">0.0462806*SQRT(E963/1000)</f>
        <v>1.7633418096237783E-2</v>
      </c>
      <c r="G963">
        <f t="shared" ref="G963:G1026" si="236">$U$3*F963/2</f>
        <v>5.4536344627539535E-2</v>
      </c>
      <c r="H963">
        <f t="shared" ref="H963:H1026" si="237">PI()/G963</f>
        <v>57.605486305427313</v>
      </c>
      <c r="I963">
        <f t="shared" ref="I963:I1026" si="238">BESSELI(H963*$Y$5,0)</f>
        <v>1.0300892419913981</v>
      </c>
      <c r="J963">
        <f t="shared" ref="J963:J1026" si="239">BESSELI(H963*D963*$Y$5,0)</f>
        <v>1.1168287862058466</v>
      </c>
      <c r="K963">
        <f t="shared" ref="K963:K1026" si="240">(D963^2-1)/(D963^2*I963+J963)</f>
        <v>0.55674275151672037</v>
      </c>
      <c r="L963">
        <f t="shared" ref="L963:L1026" si="241">I963+J963/(D963^2*I963+J963)</f>
        <v>1.2519576920914237</v>
      </c>
      <c r="M963">
        <f t="shared" ref="M963:M1026" si="242">((L963*O963^2)/$Y$5^2)+(K963*BESSELI(O963*H963,0)*COS(H963*A963))</f>
        <v>0.99389603873213095</v>
      </c>
      <c r="N963">
        <f t="shared" ref="N963:N1026" si="243">((L963*P963^2)/$Y$5^2)-(K963*BESSELI(P963*H963,0)*COS(H963*A963))</f>
        <v>0.99362521267865811</v>
      </c>
      <c r="O963">
        <v>6.2569268325276773E-3</v>
      </c>
      <c r="P963">
        <v>4.2640495973545207E-3</v>
      </c>
      <c r="Q963">
        <f t="shared" ref="Q963:Q1026" si="244">PI()*K963*$U$4*J963*COS(C963*$Y$7)/(4*$Y$6)</f>
        <v>4063.8013434161526</v>
      </c>
      <c r="R963">
        <f t="shared" ref="R963:R1026" si="245">Q963/1000</f>
        <v>4.0638013434161522</v>
      </c>
    </row>
    <row r="964" spans="1:18" x14ac:dyDescent="0.3">
      <c r="A964">
        <v>1.9259999999999999</v>
      </c>
      <c r="B964" s="4"/>
      <c r="C964">
        <v>-33.6798070167033</v>
      </c>
      <c r="D964">
        <v>1.95</v>
      </c>
      <c r="E964">
        <f t="shared" si="234"/>
        <v>145.16938886579169</v>
      </c>
      <c r="F964">
        <f t="shared" si="235"/>
        <v>1.7633418096237783E-2</v>
      </c>
      <c r="G964">
        <f t="shared" si="236"/>
        <v>5.4536344627539535E-2</v>
      </c>
      <c r="H964">
        <f t="shared" si="237"/>
        <v>57.605486305427313</v>
      </c>
      <c r="I964">
        <f t="shared" si="238"/>
        <v>1.0300892419913981</v>
      </c>
      <c r="J964">
        <f t="shared" si="239"/>
        <v>1.1168287862058466</v>
      </c>
      <c r="K964">
        <f t="shared" si="240"/>
        <v>0.55674275151672037</v>
      </c>
      <c r="L964">
        <f t="shared" si="241"/>
        <v>1.2519576920914237</v>
      </c>
      <c r="M964">
        <f t="shared" si="242"/>
        <v>0.99572008829471814</v>
      </c>
      <c r="N964">
        <f t="shared" si="243"/>
        <v>1.0016596836230574</v>
      </c>
      <c r="O964">
        <v>6.1366954090462432E-3</v>
      </c>
      <c r="P964">
        <v>4.4616132518639036E-3</v>
      </c>
      <c r="Q964">
        <f t="shared" si="244"/>
        <v>4063.8013434161526</v>
      </c>
      <c r="R964">
        <f t="shared" si="245"/>
        <v>4.0638013434161522</v>
      </c>
    </row>
    <row r="965" spans="1:18" x14ac:dyDescent="0.3">
      <c r="A965">
        <v>1.9279999999999999</v>
      </c>
      <c r="B965" s="4"/>
      <c r="C965">
        <v>-33.6798070167033</v>
      </c>
      <c r="D965">
        <v>1.95</v>
      </c>
      <c r="E965">
        <f t="shared" si="234"/>
        <v>145.16938886579169</v>
      </c>
      <c r="F965">
        <f t="shared" si="235"/>
        <v>1.7633418096237783E-2</v>
      </c>
      <c r="G965">
        <f t="shared" si="236"/>
        <v>5.4536344627539535E-2</v>
      </c>
      <c r="H965">
        <f t="shared" si="237"/>
        <v>57.605486305427313</v>
      </c>
      <c r="I965">
        <f t="shared" si="238"/>
        <v>1.0300892419913981</v>
      </c>
      <c r="J965">
        <f t="shared" si="239"/>
        <v>1.1168287862058466</v>
      </c>
      <c r="K965">
        <f t="shared" si="240"/>
        <v>0.55674275151672037</v>
      </c>
      <c r="L965">
        <f t="shared" si="241"/>
        <v>1.2519576920914237</v>
      </c>
      <c r="M965">
        <f t="shared" si="242"/>
        <v>0.99726941691492343</v>
      </c>
      <c r="N965">
        <f t="shared" si="243"/>
        <v>1.0058397108894603</v>
      </c>
      <c r="O965">
        <v>6.0037042886136628E-3</v>
      </c>
      <c r="P965">
        <v>4.6520274124073023E-3</v>
      </c>
      <c r="Q965">
        <f t="shared" si="244"/>
        <v>4063.8013434161526</v>
      </c>
      <c r="R965">
        <f t="shared" si="245"/>
        <v>4.0638013434161522</v>
      </c>
    </row>
    <row r="966" spans="1:18" x14ac:dyDescent="0.3">
      <c r="A966">
        <v>1.93</v>
      </c>
      <c r="B966" s="4"/>
      <c r="C966">
        <v>-33.6798070167033</v>
      </c>
      <c r="D966">
        <v>1.95</v>
      </c>
      <c r="E966">
        <f t="shared" si="234"/>
        <v>145.16938886579169</v>
      </c>
      <c r="F966">
        <f t="shared" si="235"/>
        <v>1.7633418096237783E-2</v>
      </c>
      <c r="G966">
        <f t="shared" si="236"/>
        <v>5.4536344627539535E-2</v>
      </c>
      <c r="H966">
        <f t="shared" si="237"/>
        <v>57.605486305427313</v>
      </c>
      <c r="I966">
        <f t="shared" si="238"/>
        <v>1.0300892419913981</v>
      </c>
      <c r="J966">
        <f t="shared" si="239"/>
        <v>1.1168287862058466</v>
      </c>
      <c r="K966">
        <f t="shared" si="240"/>
        <v>0.55674275151672037</v>
      </c>
      <c r="L966">
        <f t="shared" si="241"/>
        <v>1.2519576920914237</v>
      </c>
      <c r="M966">
        <f t="shared" si="242"/>
        <v>0.99847862835708678</v>
      </c>
      <c r="N966">
        <f t="shared" si="243"/>
        <v>1.0026869373020262</v>
      </c>
      <c r="O966">
        <v>5.8588766961269381E-3</v>
      </c>
      <c r="P966">
        <v>4.8236594331362579E-3</v>
      </c>
      <c r="Q966">
        <f t="shared" si="244"/>
        <v>4063.8013434161526</v>
      </c>
      <c r="R966">
        <f t="shared" si="245"/>
        <v>4.0638013434161522</v>
      </c>
    </row>
    <row r="967" spans="1:18" x14ac:dyDescent="0.3">
      <c r="A967">
        <v>1.9319999999999999</v>
      </c>
      <c r="B967" s="4"/>
      <c r="C967">
        <v>-33.6798070167033</v>
      </c>
      <c r="D967">
        <v>1.95</v>
      </c>
      <c r="E967">
        <f t="shared" si="234"/>
        <v>145.16938886579169</v>
      </c>
      <c r="F967">
        <f t="shared" si="235"/>
        <v>1.7633418096237783E-2</v>
      </c>
      <c r="G967">
        <f t="shared" si="236"/>
        <v>5.4536344627539535E-2</v>
      </c>
      <c r="H967">
        <f t="shared" si="237"/>
        <v>57.605486305427313</v>
      </c>
      <c r="I967">
        <f t="shared" si="238"/>
        <v>1.0300892419913981</v>
      </c>
      <c r="J967">
        <f t="shared" si="239"/>
        <v>1.1168287862058466</v>
      </c>
      <c r="K967">
        <f t="shared" si="240"/>
        <v>0.55674275151672037</v>
      </c>
      <c r="L967">
        <f t="shared" si="241"/>
        <v>1.2519576920914237</v>
      </c>
      <c r="M967">
        <f t="shared" si="242"/>
        <v>0.99931980236395335</v>
      </c>
      <c r="N967">
        <f t="shared" si="243"/>
        <v>1.008962234622464</v>
      </c>
      <c r="O967">
        <v>5.7033438542977233E-3</v>
      </c>
      <c r="P967">
        <v>5.0241949598638334E-3</v>
      </c>
      <c r="Q967">
        <f t="shared" si="244"/>
        <v>4063.8013434161526</v>
      </c>
      <c r="R967">
        <f t="shared" si="245"/>
        <v>4.0638013434161522</v>
      </c>
    </row>
    <row r="968" spans="1:18" x14ac:dyDescent="0.3">
      <c r="A968">
        <v>1.9339999999999999</v>
      </c>
      <c r="B968" s="4"/>
      <c r="C968">
        <v>-33.6798070167033</v>
      </c>
      <c r="D968">
        <v>1.95</v>
      </c>
      <c r="E968">
        <f t="shared" si="234"/>
        <v>145.16938886579169</v>
      </c>
      <c r="F968">
        <f t="shared" si="235"/>
        <v>1.7633418096237783E-2</v>
      </c>
      <c r="G968">
        <f t="shared" si="236"/>
        <v>5.4536344627539535E-2</v>
      </c>
      <c r="H968">
        <f t="shared" si="237"/>
        <v>57.605486305427313</v>
      </c>
      <c r="I968">
        <f t="shared" si="238"/>
        <v>1.0300892419913981</v>
      </c>
      <c r="J968">
        <f t="shared" si="239"/>
        <v>1.1168287862058466</v>
      </c>
      <c r="K968">
        <f t="shared" si="240"/>
        <v>0.55674275151672037</v>
      </c>
      <c r="L968">
        <f t="shared" si="241"/>
        <v>1.2519576920914237</v>
      </c>
      <c r="M968">
        <f t="shared" si="242"/>
        <v>1.0092874688652669</v>
      </c>
      <c r="N968">
        <f t="shared" si="243"/>
        <v>0.99909073169459839</v>
      </c>
      <c r="O968">
        <v>5.5630687630210977E-3</v>
      </c>
      <c r="P968">
        <v>5.1778019735898521E-3</v>
      </c>
      <c r="Q968">
        <f t="shared" si="244"/>
        <v>4063.8013434161526</v>
      </c>
      <c r="R968">
        <f t="shared" si="245"/>
        <v>4.0638013434161522</v>
      </c>
    </row>
    <row r="969" spans="1:18" x14ac:dyDescent="0.3">
      <c r="A969">
        <v>1.9359999999999999</v>
      </c>
      <c r="B969" s="4"/>
      <c r="C969">
        <v>-33.6798070167033</v>
      </c>
      <c r="D969">
        <v>1.95</v>
      </c>
      <c r="E969">
        <f t="shared" si="234"/>
        <v>145.16938886579169</v>
      </c>
      <c r="F969">
        <f t="shared" si="235"/>
        <v>1.7633418096237783E-2</v>
      </c>
      <c r="G969">
        <f t="shared" si="236"/>
        <v>5.4536344627539535E-2</v>
      </c>
      <c r="H969">
        <f t="shared" si="237"/>
        <v>57.605486305427313</v>
      </c>
      <c r="I969">
        <f t="shared" si="238"/>
        <v>1.0300892419913981</v>
      </c>
      <c r="J969">
        <f t="shared" si="239"/>
        <v>1.1168287862058466</v>
      </c>
      <c r="K969">
        <f t="shared" si="240"/>
        <v>0.55674275151672037</v>
      </c>
      <c r="L969">
        <f t="shared" si="241"/>
        <v>1.2519576920914237</v>
      </c>
      <c r="M969">
        <f t="shared" si="242"/>
        <v>1.001797073214298</v>
      </c>
      <c r="N969">
        <f t="shared" si="243"/>
        <v>0.99796449989236824</v>
      </c>
      <c r="O969">
        <v>5.3707204212455001E-3</v>
      </c>
      <c r="P969">
        <v>5.3533580686108235E-3</v>
      </c>
      <c r="Q969">
        <f t="shared" si="244"/>
        <v>4063.8013434161526</v>
      </c>
      <c r="R969">
        <f t="shared" si="245"/>
        <v>4.0638013434161522</v>
      </c>
    </row>
    <row r="970" spans="1:18" x14ac:dyDescent="0.3">
      <c r="A970">
        <v>1.9379999999999999</v>
      </c>
      <c r="B970" s="4"/>
      <c r="C970">
        <v>-33.6798070167033</v>
      </c>
      <c r="D970">
        <v>1.95</v>
      </c>
      <c r="E970">
        <f t="shared" si="234"/>
        <v>145.16938886579169</v>
      </c>
      <c r="F970">
        <f t="shared" si="235"/>
        <v>1.7633418096237783E-2</v>
      </c>
      <c r="G970">
        <f t="shared" si="236"/>
        <v>5.4536344627539535E-2</v>
      </c>
      <c r="H970">
        <f t="shared" si="237"/>
        <v>57.605486305427313</v>
      </c>
      <c r="I970">
        <f t="shared" si="238"/>
        <v>1.0300892419913981</v>
      </c>
      <c r="J970">
        <f t="shared" si="239"/>
        <v>1.1168287862058466</v>
      </c>
      <c r="K970">
        <f t="shared" si="240"/>
        <v>0.55674275151672037</v>
      </c>
      <c r="L970">
        <f t="shared" si="241"/>
        <v>1.2519576920914237</v>
      </c>
      <c r="M970">
        <f t="shared" si="242"/>
        <v>0.9977826351959751</v>
      </c>
      <c r="N970">
        <f t="shared" si="243"/>
        <v>0.99940948144543729</v>
      </c>
      <c r="O970">
        <v>5.181440706844103E-3</v>
      </c>
      <c r="P970">
        <v>5.5305989827073481E-3</v>
      </c>
      <c r="Q970">
        <f t="shared" si="244"/>
        <v>4063.8013434161526</v>
      </c>
      <c r="R970">
        <f t="shared" si="245"/>
        <v>4.0638013434161522</v>
      </c>
    </row>
    <row r="971" spans="1:18" x14ac:dyDescent="0.3">
      <c r="A971">
        <v>1.94</v>
      </c>
      <c r="B971" s="4"/>
      <c r="C971">
        <v>-33.6798070167033</v>
      </c>
      <c r="D971">
        <v>1.95</v>
      </c>
      <c r="E971">
        <f t="shared" si="234"/>
        <v>145.16938886579169</v>
      </c>
      <c r="F971">
        <f t="shared" si="235"/>
        <v>1.7633418096237783E-2</v>
      </c>
      <c r="G971">
        <f t="shared" si="236"/>
        <v>5.4536344627539535E-2</v>
      </c>
      <c r="H971">
        <f t="shared" si="237"/>
        <v>57.605486305427313</v>
      </c>
      <c r="I971">
        <f t="shared" si="238"/>
        <v>1.0300892419913981</v>
      </c>
      <c r="J971">
        <f t="shared" si="239"/>
        <v>1.1168287862058466</v>
      </c>
      <c r="K971">
        <f t="shared" si="240"/>
        <v>0.55674275151672037</v>
      </c>
      <c r="L971">
        <f t="shared" si="241"/>
        <v>1.2519576920914237</v>
      </c>
      <c r="M971">
        <f t="shared" si="242"/>
        <v>0.99901105501612064</v>
      </c>
      <c r="N971">
        <f t="shared" si="243"/>
        <v>1.0065841387818684</v>
      </c>
      <c r="O971">
        <v>5.0030790879035053E-3</v>
      </c>
      <c r="P971">
        <v>5.7151743201230313E-3</v>
      </c>
      <c r="Q971">
        <f t="shared" si="244"/>
        <v>4063.8013434161526</v>
      </c>
      <c r="R971">
        <f t="shared" si="245"/>
        <v>4.0638013434161522</v>
      </c>
    </row>
    <row r="972" spans="1:18" x14ac:dyDescent="0.3">
      <c r="A972">
        <v>1.9419999999999999</v>
      </c>
      <c r="B972" s="4"/>
      <c r="C972">
        <v>-33.6798070167033</v>
      </c>
      <c r="D972">
        <v>1.95</v>
      </c>
      <c r="E972">
        <f t="shared" si="234"/>
        <v>145.16938886579169</v>
      </c>
      <c r="F972">
        <f t="shared" si="235"/>
        <v>1.7633418096237783E-2</v>
      </c>
      <c r="G972">
        <f t="shared" si="236"/>
        <v>5.4536344627539535E-2</v>
      </c>
      <c r="H972">
        <f t="shared" si="237"/>
        <v>57.605486305427313</v>
      </c>
      <c r="I972">
        <f t="shared" si="238"/>
        <v>1.0300892419913981</v>
      </c>
      <c r="J972">
        <f t="shared" si="239"/>
        <v>1.1168287862058466</v>
      </c>
      <c r="K972">
        <f t="shared" si="240"/>
        <v>0.55674275151672037</v>
      </c>
      <c r="L972">
        <f t="shared" si="241"/>
        <v>1.2519576920914237</v>
      </c>
      <c r="M972">
        <f t="shared" si="242"/>
        <v>1.0092336815638647</v>
      </c>
      <c r="N972">
        <f t="shared" si="243"/>
        <v>0.99956843109376725</v>
      </c>
      <c r="O972">
        <v>4.8503557208775198E-3</v>
      </c>
      <c r="P972">
        <v>5.85540485581544E-3</v>
      </c>
      <c r="Q972">
        <f t="shared" si="244"/>
        <v>4063.8013434161526</v>
      </c>
      <c r="R972">
        <f t="shared" si="245"/>
        <v>4.0638013434161522</v>
      </c>
    </row>
    <row r="973" spans="1:18" x14ac:dyDescent="0.3">
      <c r="A973">
        <v>1.944</v>
      </c>
      <c r="B973" s="4"/>
      <c r="C973">
        <v>-33.6798070167033</v>
      </c>
      <c r="D973">
        <v>1.95</v>
      </c>
      <c r="E973">
        <f t="shared" si="234"/>
        <v>145.16938886579169</v>
      </c>
      <c r="F973">
        <f t="shared" si="235"/>
        <v>1.7633418096237783E-2</v>
      </c>
      <c r="G973">
        <f t="shared" si="236"/>
        <v>5.4536344627539535E-2</v>
      </c>
      <c r="H973">
        <f t="shared" si="237"/>
        <v>57.605486305427313</v>
      </c>
      <c r="I973">
        <f t="shared" si="238"/>
        <v>1.0300892419913981</v>
      </c>
      <c r="J973">
        <f t="shared" si="239"/>
        <v>1.1168287862058466</v>
      </c>
      <c r="K973">
        <f t="shared" si="240"/>
        <v>0.55674275151672037</v>
      </c>
      <c r="L973">
        <f t="shared" si="241"/>
        <v>1.2519576920914237</v>
      </c>
      <c r="M973">
        <f t="shared" si="242"/>
        <v>1.0029101718579299</v>
      </c>
      <c r="N973">
        <f t="shared" si="243"/>
        <v>0.99896292608254567</v>
      </c>
      <c r="O973">
        <v>4.6502563458675501E-3</v>
      </c>
      <c r="P973">
        <v>6.0020474370593262E-3</v>
      </c>
      <c r="Q973">
        <f t="shared" si="244"/>
        <v>4063.8013434161526</v>
      </c>
      <c r="R973">
        <f t="shared" si="245"/>
        <v>4.0638013434161522</v>
      </c>
    </row>
    <row r="974" spans="1:18" x14ac:dyDescent="0.3">
      <c r="A974">
        <v>1.946</v>
      </c>
      <c r="B974" s="4"/>
      <c r="C974">
        <v>-33.6798070167033</v>
      </c>
      <c r="D974">
        <v>1.95</v>
      </c>
      <c r="E974">
        <f t="shared" si="234"/>
        <v>145.16938886579169</v>
      </c>
      <c r="F974">
        <f t="shared" si="235"/>
        <v>1.7633418096237783E-2</v>
      </c>
      <c r="G974">
        <f t="shared" si="236"/>
        <v>5.4536344627539535E-2</v>
      </c>
      <c r="H974">
        <f t="shared" si="237"/>
        <v>57.605486305427313</v>
      </c>
      <c r="I974">
        <f t="shared" si="238"/>
        <v>1.0300892419913981</v>
      </c>
      <c r="J974">
        <f t="shared" si="239"/>
        <v>1.1168287862058466</v>
      </c>
      <c r="K974">
        <f t="shared" si="240"/>
        <v>0.55674275151672037</v>
      </c>
      <c r="L974">
        <f t="shared" si="241"/>
        <v>1.2519576920914237</v>
      </c>
      <c r="M974">
        <f t="shared" si="242"/>
        <v>1.0057914339720133</v>
      </c>
      <c r="N974">
        <f t="shared" si="243"/>
        <v>0.99808441695391759</v>
      </c>
      <c r="O974">
        <v>4.4818246651062987E-3</v>
      </c>
      <c r="P974">
        <v>6.1370067712835808E-3</v>
      </c>
      <c r="Q974">
        <f t="shared" si="244"/>
        <v>4063.8013434161526</v>
      </c>
      <c r="R974">
        <f t="shared" si="245"/>
        <v>4.0638013434161522</v>
      </c>
    </row>
    <row r="975" spans="1:18" x14ac:dyDescent="0.3">
      <c r="A975">
        <v>1.948</v>
      </c>
      <c r="B975" s="4"/>
      <c r="C975">
        <v>-33.6798070167033</v>
      </c>
      <c r="D975">
        <v>1.95</v>
      </c>
      <c r="E975">
        <f t="shared" si="234"/>
        <v>145.16938886579169</v>
      </c>
      <c r="F975">
        <f t="shared" si="235"/>
        <v>1.7633418096237783E-2</v>
      </c>
      <c r="G975">
        <f t="shared" si="236"/>
        <v>5.4536344627539535E-2</v>
      </c>
      <c r="H975">
        <f t="shared" si="237"/>
        <v>57.605486305427313</v>
      </c>
      <c r="I975">
        <f t="shared" si="238"/>
        <v>1.0300892419913981</v>
      </c>
      <c r="J975">
        <f t="shared" si="239"/>
        <v>1.1168287862058466</v>
      </c>
      <c r="K975">
        <f t="shared" si="240"/>
        <v>0.55674275151672037</v>
      </c>
      <c r="L975">
        <f t="shared" si="241"/>
        <v>1.2519576920914237</v>
      </c>
      <c r="M975">
        <f t="shared" si="242"/>
        <v>1.0017304092851793</v>
      </c>
      <c r="N975">
        <f t="shared" si="243"/>
        <v>0.99696635576858095</v>
      </c>
      <c r="O975">
        <v>4.2977630482503313E-3</v>
      </c>
      <c r="P975">
        <v>6.2592833215958585E-3</v>
      </c>
      <c r="Q975">
        <f t="shared" si="244"/>
        <v>4063.8013434161526</v>
      </c>
      <c r="R975">
        <f t="shared" si="245"/>
        <v>4.0638013434161522</v>
      </c>
    </row>
    <row r="976" spans="1:18" x14ac:dyDescent="0.3">
      <c r="A976">
        <v>1.95</v>
      </c>
      <c r="B976" s="4"/>
      <c r="C976">
        <v>-33.6798070167033</v>
      </c>
      <c r="D976">
        <v>1.95</v>
      </c>
      <c r="E976">
        <f t="shared" si="234"/>
        <v>145.16938886579169</v>
      </c>
      <c r="F976">
        <f t="shared" si="235"/>
        <v>1.7633418096237783E-2</v>
      </c>
      <c r="G976">
        <f t="shared" si="236"/>
        <v>5.4536344627539535E-2</v>
      </c>
      <c r="H976">
        <f t="shared" si="237"/>
        <v>57.605486305427313</v>
      </c>
      <c r="I976">
        <f t="shared" si="238"/>
        <v>1.0300892419913981</v>
      </c>
      <c r="J976">
        <f t="shared" si="239"/>
        <v>1.1168287862058466</v>
      </c>
      <c r="K976">
        <f t="shared" si="240"/>
        <v>0.55674275151672037</v>
      </c>
      <c r="L976">
        <f t="shared" si="241"/>
        <v>1.2519576920914237</v>
      </c>
      <c r="M976">
        <f t="shared" si="242"/>
        <v>1.0000959098201581</v>
      </c>
      <c r="N976">
        <f t="shared" si="243"/>
        <v>0.99567162501849005</v>
      </c>
      <c r="O976">
        <v>4.1307860095205423E-3</v>
      </c>
      <c r="P976">
        <v>6.3680622152619062E-3</v>
      </c>
      <c r="Q976">
        <f t="shared" si="244"/>
        <v>4063.8013434161526</v>
      </c>
      <c r="R976">
        <f t="shared" si="245"/>
        <v>4.0638013434161522</v>
      </c>
    </row>
    <row r="977" spans="1:18" x14ac:dyDescent="0.3">
      <c r="A977">
        <v>1.952</v>
      </c>
      <c r="B977" s="4"/>
      <c r="C977">
        <v>-33.6798070167033</v>
      </c>
      <c r="D977">
        <v>1.95</v>
      </c>
      <c r="E977">
        <f t="shared" si="234"/>
        <v>145.16938886579169</v>
      </c>
      <c r="F977">
        <f t="shared" si="235"/>
        <v>1.7633418096237783E-2</v>
      </c>
      <c r="G977">
        <f t="shared" si="236"/>
        <v>5.4536344627539535E-2</v>
      </c>
      <c r="H977">
        <f t="shared" si="237"/>
        <v>57.605486305427313</v>
      </c>
      <c r="I977">
        <f t="shared" si="238"/>
        <v>1.0300892419913981</v>
      </c>
      <c r="J977">
        <f t="shared" si="239"/>
        <v>1.1168287862058466</v>
      </c>
      <c r="K977">
        <f t="shared" si="240"/>
        <v>0.55674275151672037</v>
      </c>
      <c r="L977">
        <f t="shared" si="241"/>
        <v>1.2519576920914237</v>
      </c>
      <c r="M977">
        <f t="shared" si="242"/>
        <v>1.0089737085735802</v>
      </c>
      <c r="N977">
        <f t="shared" si="243"/>
        <v>0.9942851552869556</v>
      </c>
      <c r="O977">
        <v>4.013914009508927E-3</v>
      </c>
      <c r="P977">
        <v>6.4626891687751039E-3</v>
      </c>
      <c r="Q977">
        <f t="shared" si="244"/>
        <v>4063.8013434161526</v>
      </c>
      <c r="R977">
        <f t="shared" si="245"/>
        <v>4.0638013434161522</v>
      </c>
    </row>
    <row r="978" spans="1:18" x14ac:dyDescent="0.3">
      <c r="A978">
        <v>1.954</v>
      </c>
      <c r="B978" s="4"/>
      <c r="C978">
        <v>-33.6798070167033</v>
      </c>
      <c r="D978">
        <v>1.95</v>
      </c>
      <c r="E978">
        <f t="shared" si="234"/>
        <v>145.16938886579169</v>
      </c>
      <c r="F978">
        <f t="shared" si="235"/>
        <v>1.7633418096237783E-2</v>
      </c>
      <c r="G978">
        <f t="shared" si="236"/>
        <v>5.4536344627539535E-2</v>
      </c>
      <c r="H978">
        <f t="shared" si="237"/>
        <v>57.605486305427313</v>
      </c>
      <c r="I978">
        <f t="shared" si="238"/>
        <v>1.0300892419913981</v>
      </c>
      <c r="J978">
        <f t="shared" si="239"/>
        <v>1.1168287862058466</v>
      </c>
      <c r="K978">
        <f t="shared" si="240"/>
        <v>0.55674275151672037</v>
      </c>
      <c r="L978">
        <f t="shared" si="241"/>
        <v>1.2519576920914237</v>
      </c>
      <c r="M978">
        <f t="shared" si="242"/>
        <v>1.0011250486713932</v>
      </c>
      <c r="N978">
        <f t="shared" si="243"/>
        <v>0.99290499408730248</v>
      </c>
      <c r="O978">
        <v>3.8542157560538925E-3</v>
      </c>
      <c r="P978">
        <v>6.542647837860004E-3</v>
      </c>
      <c r="Q978">
        <f t="shared" si="244"/>
        <v>4063.8013434161526</v>
      </c>
      <c r="R978">
        <f t="shared" si="245"/>
        <v>4.0638013434161522</v>
      </c>
    </row>
    <row r="979" spans="1:18" x14ac:dyDescent="0.3">
      <c r="A979">
        <v>1.956</v>
      </c>
      <c r="B979" s="4"/>
      <c r="C979">
        <v>-33.6798070167033</v>
      </c>
      <c r="D979">
        <v>1.95</v>
      </c>
      <c r="E979">
        <f t="shared" si="234"/>
        <v>145.16938886579169</v>
      </c>
      <c r="F979">
        <f t="shared" si="235"/>
        <v>1.7633418096237783E-2</v>
      </c>
      <c r="G979">
        <f t="shared" si="236"/>
        <v>5.4536344627539535E-2</v>
      </c>
      <c r="H979">
        <f t="shared" si="237"/>
        <v>57.605486305427313</v>
      </c>
      <c r="I979">
        <f t="shared" si="238"/>
        <v>1.0300892419913981</v>
      </c>
      <c r="J979">
        <f t="shared" si="239"/>
        <v>1.1168287862058466</v>
      </c>
      <c r="K979">
        <f t="shared" si="240"/>
        <v>0.55674275151672037</v>
      </c>
      <c r="L979">
        <f t="shared" si="241"/>
        <v>1.2519576920914237</v>
      </c>
      <c r="M979">
        <f t="shared" si="242"/>
        <v>1.002849309376229</v>
      </c>
      <c r="N979">
        <f t="shared" si="243"/>
        <v>0.99163272950672754</v>
      </c>
      <c r="O979">
        <v>3.7489798236185492E-3</v>
      </c>
      <c r="P979">
        <v>6.607539414491651E-3</v>
      </c>
      <c r="Q979">
        <f t="shared" si="244"/>
        <v>4063.8013434161526</v>
      </c>
      <c r="R979">
        <f t="shared" si="245"/>
        <v>4.0638013434161522</v>
      </c>
    </row>
    <row r="980" spans="1:18" x14ac:dyDescent="0.3">
      <c r="A980">
        <v>1.958</v>
      </c>
      <c r="B980" s="4"/>
      <c r="C980">
        <v>-33.6798070167033</v>
      </c>
      <c r="D980">
        <v>1.95</v>
      </c>
      <c r="E980">
        <f t="shared" si="234"/>
        <v>145.16938886579169</v>
      </c>
      <c r="F980">
        <f t="shared" si="235"/>
        <v>1.7633418096237783E-2</v>
      </c>
      <c r="G980">
        <f t="shared" si="236"/>
        <v>5.4536344627539535E-2</v>
      </c>
      <c r="H980">
        <f t="shared" si="237"/>
        <v>57.605486305427313</v>
      </c>
      <c r="I980">
        <f t="shared" si="238"/>
        <v>1.0300892419913981</v>
      </c>
      <c r="J980">
        <f t="shared" si="239"/>
        <v>1.1168287862058466</v>
      </c>
      <c r="K980">
        <f t="shared" si="240"/>
        <v>0.55674275151672037</v>
      </c>
      <c r="L980">
        <f t="shared" si="241"/>
        <v>1.2519576920914237</v>
      </c>
      <c r="M980">
        <f t="shared" si="242"/>
        <v>1.0047126410282097</v>
      </c>
      <c r="N980">
        <f t="shared" si="243"/>
        <v>0.99056410047135524</v>
      </c>
      <c r="O980">
        <v>3.6678585681662978E-3</v>
      </c>
      <c r="P980">
        <v>6.6570650251780352E-3</v>
      </c>
      <c r="Q980">
        <f t="shared" si="244"/>
        <v>4063.8013434161526</v>
      </c>
      <c r="R980">
        <f t="shared" si="245"/>
        <v>4.0638013434161522</v>
      </c>
    </row>
    <row r="981" spans="1:18" x14ac:dyDescent="0.3">
      <c r="A981">
        <v>1.96</v>
      </c>
      <c r="B981" s="4"/>
      <c r="C981">
        <v>-33.6798070167033</v>
      </c>
      <c r="D981">
        <v>1.95</v>
      </c>
      <c r="E981">
        <f t="shared" si="234"/>
        <v>145.16938886579169</v>
      </c>
      <c r="F981">
        <f t="shared" si="235"/>
        <v>1.7633418096237783E-2</v>
      </c>
      <c r="G981">
        <f t="shared" si="236"/>
        <v>5.4536344627539535E-2</v>
      </c>
      <c r="H981">
        <f t="shared" si="237"/>
        <v>57.605486305427313</v>
      </c>
      <c r="I981">
        <f t="shared" si="238"/>
        <v>1.0300892419913981</v>
      </c>
      <c r="J981">
        <f t="shared" si="239"/>
        <v>1.1168287862058466</v>
      </c>
      <c r="K981">
        <f t="shared" si="240"/>
        <v>0.55674275151672037</v>
      </c>
      <c r="L981">
        <f t="shared" si="241"/>
        <v>1.2519576920914237</v>
      </c>
      <c r="M981">
        <f t="shared" si="242"/>
        <v>1.0062710260037693</v>
      </c>
      <c r="N981">
        <f t="shared" si="243"/>
        <v>0.99982406292162573</v>
      </c>
      <c r="O981">
        <v>3.6118482315164653E-3</v>
      </c>
      <c r="P981">
        <v>6.7128475540614452E-3</v>
      </c>
      <c r="Q981">
        <f t="shared" si="244"/>
        <v>4063.8013434161526</v>
      </c>
      <c r="R981">
        <f t="shared" si="245"/>
        <v>4.0638013434161522</v>
      </c>
    </row>
    <row r="982" spans="1:18" x14ac:dyDescent="0.3">
      <c r="A982">
        <v>1.962</v>
      </c>
      <c r="B982" s="4"/>
      <c r="C982">
        <v>-33.6798070167033</v>
      </c>
      <c r="D982">
        <v>1.95</v>
      </c>
      <c r="E982">
        <f t="shared" si="234"/>
        <v>145.16938886579169</v>
      </c>
      <c r="F982">
        <f t="shared" si="235"/>
        <v>1.7633418096237783E-2</v>
      </c>
      <c r="G982">
        <f t="shared" si="236"/>
        <v>5.4536344627539535E-2</v>
      </c>
      <c r="H982">
        <f t="shared" si="237"/>
        <v>57.605486305427313</v>
      </c>
      <c r="I982">
        <f t="shared" si="238"/>
        <v>1.0300892419913981</v>
      </c>
      <c r="J982">
        <f t="shared" si="239"/>
        <v>1.1168287862058466</v>
      </c>
      <c r="K982">
        <f t="shared" si="240"/>
        <v>0.55674275151672037</v>
      </c>
      <c r="L982">
        <f t="shared" si="241"/>
        <v>1.2519576920914237</v>
      </c>
      <c r="M982">
        <f t="shared" si="242"/>
        <v>1.0008407290020422</v>
      </c>
      <c r="N982">
        <f t="shared" si="243"/>
        <v>0.9998123780717153</v>
      </c>
      <c r="O982">
        <v>3.5563375250802606E-3</v>
      </c>
      <c r="P982">
        <v>6.731944892916235E-3</v>
      </c>
      <c r="Q982">
        <f t="shared" si="244"/>
        <v>4063.8013434161526</v>
      </c>
      <c r="R982">
        <f t="shared" si="245"/>
        <v>4.0638013434161522</v>
      </c>
    </row>
    <row r="983" spans="1:18" x14ac:dyDescent="0.3">
      <c r="A983">
        <v>1.964</v>
      </c>
      <c r="B983" s="4"/>
      <c r="C983">
        <v>-33.6798070167033</v>
      </c>
      <c r="D983">
        <v>1.95</v>
      </c>
      <c r="E983">
        <f t="shared" si="234"/>
        <v>145.16938886579169</v>
      </c>
      <c r="F983">
        <f t="shared" si="235"/>
        <v>1.7633418096237783E-2</v>
      </c>
      <c r="G983">
        <f t="shared" si="236"/>
        <v>5.4536344627539535E-2</v>
      </c>
      <c r="H983">
        <f t="shared" si="237"/>
        <v>57.605486305427313</v>
      </c>
      <c r="I983">
        <f t="shared" si="238"/>
        <v>1.0300892419913981</v>
      </c>
      <c r="J983">
        <f t="shared" si="239"/>
        <v>1.1168287862058466</v>
      </c>
      <c r="K983">
        <f t="shared" si="240"/>
        <v>0.55674275151672037</v>
      </c>
      <c r="L983">
        <f t="shared" si="241"/>
        <v>1.2519576920914237</v>
      </c>
      <c r="M983">
        <f t="shared" si="242"/>
        <v>1.0009183654677369</v>
      </c>
      <c r="N983">
        <f t="shared" si="243"/>
        <v>0.99981077039359023</v>
      </c>
      <c r="O983">
        <v>3.552053309348564E-3</v>
      </c>
      <c r="P983">
        <v>6.7345001299379372E-3</v>
      </c>
      <c r="Q983">
        <f t="shared" si="244"/>
        <v>4063.8013434161526</v>
      </c>
      <c r="R983">
        <f t="shared" si="245"/>
        <v>4.0638013434161522</v>
      </c>
    </row>
    <row r="984" spans="1:18" x14ac:dyDescent="0.3">
      <c r="A984">
        <v>1.966</v>
      </c>
      <c r="B984" s="4"/>
      <c r="C984">
        <v>-33.6798070167033</v>
      </c>
      <c r="D984">
        <v>1.95</v>
      </c>
      <c r="E984">
        <f t="shared" si="234"/>
        <v>145.16938886579169</v>
      </c>
      <c r="F984">
        <f t="shared" si="235"/>
        <v>1.7633418096237783E-2</v>
      </c>
      <c r="G984">
        <f t="shared" si="236"/>
        <v>5.4536344627539535E-2</v>
      </c>
      <c r="H984">
        <f t="shared" si="237"/>
        <v>57.605486305427313</v>
      </c>
      <c r="I984">
        <f t="shared" si="238"/>
        <v>1.0300892419913981</v>
      </c>
      <c r="J984">
        <f t="shared" si="239"/>
        <v>1.1168287862058466</v>
      </c>
      <c r="K984">
        <f t="shared" si="240"/>
        <v>0.55674275151672037</v>
      </c>
      <c r="L984">
        <f t="shared" si="241"/>
        <v>1.2519576920914237</v>
      </c>
      <c r="M984">
        <f t="shared" si="242"/>
        <v>1.0088495088005998</v>
      </c>
      <c r="N984">
        <f t="shared" si="243"/>
        <v>0.99981945269284445</v>
      </c>
      <c r="O984">
        <v>3.6084681499625707E-3</v>
      </c>
      <c r="P984">
        <v>6.72049582019497E-3</v>
      </c>
      <c r="Q984">
        <f t="shared" si="244"/>
        <v>4063.8013434161526</v>
      </c>
      <c r="R984">
        <f t="shared" si="245"/>
        <v>4.0638013434161522</v>
      </c>
    </row>
    <row r="985" spans="1:18" x14ac:dyDescent="0.3">
      <c r="A985">
        <v>1.968</v>
      </c>
      <c r="B985" s="4"/>
      <c r="C985">
        <v>-33.6798070167033</v>
      </c>
      <c r="D985">
        <v>1.95</v>
      </c>
      <c r="E985">
        <f t="shared" si="234"/>
        <v>145.16938886579169</v>
      </c>
      <c r="F985">
        <f t="shared" si="235"/>
        <v>1.7633418096237783E-2</v>
      </c>
      <c r="G985">
        <f t="shared" si="236"/>
        <v>5.4536344627539535E-2</v>
      </c>
      <c r="H985">
        <f t="shared" si="237"/>
        <v>57.605486305427313</v>
      </c>
      <c r="I985">
        <f t="shared" si="238"/>
        <v>1.0300892419913981</v>
      </c>
      <c r="J985">
        <f t="shared" si="239"/>
        <v>1.1168287862058466</v>
      </c>
      <c r="K985">
        <f t="shared" si="240"/>
        <v>0.55674275151672037</v>
      </c>
      <c r="L985">
        <f t="shared" si="241"/>
        <v>1.2519576920914237</v>
      </c>
      <c r="M985">
        <f t="shared" si="242"/>
        <v>1.0052433248136845</v>
      </c>
      <c r="N985">
        <f t="shared" si="243"/>
        <v>0.99028877006800464</v>
      </c>
      <c r="O985">
        <v>3.6478685567896772E-3</v>
      </c>
      <c r="P985">
        <v>6.6692035947284326E-3</v>
      </c>
      <c r="Q985">
        <f t="shared" si="244"/>
        <v>4063.8013434161526</v>
      </c>
      <c r="R985">
        <f t="shared" si="245"/>
        <v>4.0638013434161522</v>
      </c>
    </row>
    <row r="986" spans="1:18" x14ac:dyDescent="0.3">
      <c r="A986">
        <v>1.97</v>
      </c>
      <c r="B986" s="4"/>
      <c r="C986">
        <v>-33.6798070167033</v>
      </c>
      <c r="D986">
        <v>1.95</v>
      </c>
      <c r="E986">
        <f t="shared" si="234"/>
        <v>145.16938886579169</v>
      </c>
      <c r="F986">
        <f t="shared" si="235"/>
        <v>1.7633418096237783E-2</v>
      </c>
      <c r="G986">
        <f t="shared" si="236"/>
        <v>5.4536344627539535E-2</v>
      </c>
      <c r="H986">
        <f t="shared" si="237"/>
        <v>57.605486305427313</v>
      </c>
      <c r="I986">
        <f t="shared" si="238"/>
        <v>1.0300892419913981</v>
      </c>
      <c r="J986">
        <f t="shared" si="239"/>
        <v>1.1168287862058466</v>
      </c>
      <c r="K986">
        <f t="shared" si="240"/>
        <v>0.55674275151672037</v>
      </c>
      <c r="L986">
        <f t="shared" si="241"/>
        <v>1.2519576920914237</v>
      </c>
      <c r="M986">
        <f t="shared" si="242"/>
        <v>1.0034319655634567</v>
      </c>
      <c r="N986">
        <f t="shared" si="243"/>
        <v>0.99127730149541593</v>
      </c>
      <c r="O986">
        <v>3.7213374038951781E-3</v>
      </c>
      <c r="P986">
        <v>6.6244636497550923E-3</v>
      </c>
      <c r="Q986">
        <f t="shared" si="244"/>
        <v>4063.8013434161526</v>
      </c>
      <c r="R986">
        <f t="shared" si="245"/>
        <v>4.0638013434161522</v>
      </c>
    </row>
    <row r="987" spans="1:18" x14ac:dyDescent="0.3">
      <c r="A987">
        <v>1.972</v>
      </c>
      <c r="B987" s="4"/>
      <c r="C987">
        <v>-33.6798070167033</v>
      </c>
      <c r="D987">
        <v>1.95</v>
      </c>
      <c r="E987">
        <f t="shared" si="234"/>
        <v>145.16938886579169</v>
      </c>
      <c r="F987">
        <f t="shared" si="235"/>
        <v>1.7633418096237783E-2</v>
      </c>
      <c r="G987">
        <f t="shared" si="236"/>
        <v>5.4536344627539535E-2</v>
      </c>
      <c r="H987">
        <f t="shared" si="237"/>
        <v>57.605486305427313</v>
      </c>
      <c r="I987">
        <f t="shared" si="238"/>
        <v>1.0300892419913981</v>
      </c>
      <c r="J987">
        <f t="shared" si="239"/>
        <v>1.1168287862058466</v>
      </c>
      <c r="K987">
        <f t="shared" si="240"/>
        <v>0.55674275151672037</v>
      </c>
      <c r="L987">
        <f t="shared" si="241"/>
        <v>1.2519576920914237</v>
      </c>
      <c r="M987">
        <f t="shared" si="242"/>
        <v>1.0016110567300593</v>
      </c>
      <c r="N987">
        <f t="shared" si="243"/>
        <v>0.99249646251030421</v>
      </c>
      <c r="O987">
        <v>3.8192607775645016E-3</v>
      </c>
      <c r="P987">
        <v>6.5642833950785243E-3</v>
      </c>
      <c r="Q987">
        <f t="shared" si="244"/>
        <v>4063.8013434161526</v>
      </c>
      <c r="R987">
        <f t="shared" si="245"/>
        <v>4.0638013434161522</v>
      </c>
    </row>
    <row r="988" spans="1:18" x14ac:dyDescent="0.3">
      <c r="A988">
        <v>1.974</v>
      </c>
      <c r="B988" s="4">
        <v>72</v>
      </c>
      <c r="C988">
        <v>-33.147433709399202</v>
      </c>
      <c r="D988">
        <v>1.95</v>
      </c>
      <c r="E988">
        <f>$E$987+$R$987</f>
        <v>149.23319020920783</v>
      </c>
      <c r="F988">
        <f t="shared" si="235"/>
        <v>1.7878525252737171E-2</v>
      </c>
      <c r="G988">
        <f t="shared" si="236"/>
        <v>5.52944079981562E-2</v>
      </c>
      <c r="H988">
        <f t="shared" si="237"/>
        <v>56.815739010978291</v>
      </c>
      <c r="I988">
        <f t="shared" si="238"/>
        <v>1.0292639296162422</v>
      </c>
      <c r="J988">
        <f t="shared" si="239"/>
        <v>1.1135598396468784</v>
      </c>
      <c r="K988">
        <f t="shared" si="240"/>
        <v>0.5574523043416455</v>
      </c>
      <c r="L988">
        <f t="shared" si="241"/>
        <v>1.2507649103953558</v>
      </c>
      <c r="M988">
        <f t="shared" si="242"/>
        <v>1.0035731744711287</v>
      </c>
      <c r="N988">
        <f t="shared" si="243"/>
        <v>0.99755918504819607</v>
      </c>
      <c r="O988">
        <v>4.3948291459151604E-3</v>
      </c>
      <c r="P988">
        <v>6.199186160633462E-3</v>
      </c>
      <c r="Q988">
        <f t="shared" si="244"/>
        <v>4082.0167340181874</v>
      </c>
      <c r="R988">
        <f t="shared" si="245"/>
        <v>4.0820167340181879</v>
      </c>
    </row>
    <row r="989" spans="1:18" x14ac:dyDescent="0.3">
      <c r="A989">
        <v>1.976</v>
      </c>
      <c r="B989" s="4"/>
      <c r="C989">
        <v>-33.147433709399202</v>
      </c>
      <c r="D989">
        <v>1.95</v>
      </c>
      <c r="E989">
        <f t="shared" ref="E989:E1014" si="246">$E$987+$R$987</f>
        <v>149.23319020920783</v>
      </c>
      <c r="F989">
        <f t="shared" si="235"/>
        <v>1.7878525252737171E-2</v>
      </c>
      <c r="G989">
        <f t="shared" si="236"/>
        <v>5.52944079981562E-2</v>
      </c>
      <c r="H989">
        <f t="shared" si="237"/>
        <v>56.815739010978291</v>
      </c>
      <c r="I989">
        <f t="shared" si="238"/>
        <v>1.0292639296162422</v>
      </c>
      <c r="J989">
        <f t="shared" si="239"/>
        <v>1.1135598396468784</v>
      </c>
      <c r="K989">
        <f t="shared" si="240"/>
        <v>0.5574523043416455</v>
      </c>
      <c r="L989">
        <f t="shared" si="241"/>
        <v>1.2507649103953558</v>
      </c>
      <c r="M989">
        <f t="shared" si="242"/>
        <v>1.0007298645603322</v>
      </c>
      <c r="N989">
        <f t="shared" si="243"/>
        <v>0.99635786009589944</v>
      </c>
      <c r="O989">
        <v>4.2204442681179986E-3</v>
      </c>
      <c r="P989">
        <v>6.3137843297643966E-3</v>
      </c>
      <c r="Q989">
        <f t="shared" si="244"/>
        <v>4082.0167340181874</v>
      </c>
      <c r="R989">
        <f t="shared" si="245"/>
        <v>4.0820167340181879</v>
      </c>
    </row>
    <row r="990" spans="1:18" x14ac:dyDescent="0.3">
      <c r="A990">
        <v>1.978</v>
      </c>
      <c r="B990" s="4"/>
      <c r="C990">
        <v>-33.147433709399202</v>
      </c>
      <c r="D990">
        <v>1.95</v>
      </c>
      <c r="E990">
        <f t="shared" si="246"/>
        <v>149.23319020920783</v>
      </c>
      <c r="F990">
        <f t="shared" si="235"/>
        <v>1.7878525252737171E-2</v>
      </c>
      <c r="G990">
        <f t="shared" si="236"/>
        <v>5.52944079981562E-2</v>
      </c>
      <c r="H990">
        <f t="shared" si="237"/>
        <v>56.815739010978291</v>
      </c>
      <c r="I990">
        <f t="shared" si="238"/>
        <v>1.0292639296162422</v>
      </c>
      <c r="J990">
        <f t="shared" si="239"/>
        <v>1.1135598396468784</v>
      </c>
      <c r="K990">
        <f t="shared" si="240"/>
        <v>0.5574523043416455</v>
      </c>
      <c r="L990">
        <f t="shared" si="241"/>
        <v>1.2507649103953558</v>
      </c>
      <c r="M990">
        <f t="shared" si="242"/>
        <v>0.99736848386072741</v>
      </c>
      <c r="N990">
        <f t="shared" si="243"/>
        <v>0.99501999216952908</v>
      </c>
      <c r="O990">
        <v>4.0544585954635625E-3</v>
      </c>
      <c r="P990">
        <v>6.4149302497601181E-3</v>
      </c>
      <c r="Q990">
        <f t="shared" si="244"/>
        <v>4082.0167340181874</v>
      </c>
      <c r="R990">
        <f t="shared" si="245"/>
        <v>4.0820167340181879</v>
      </c>
    </row>
    <row r="991" spans="1:18" x14ac:dyDescent="0.3">
      <c r="A991">
        <v>1.98</v>
      </c>
      <c r="B991" s="4"/>
      <c r="C991">
        <v>-33.147433709399202</v>
      </c>
      <c r="D991">
        <v>1.95</v>
      </c>
      <c r="E991">
        <f t="shared" si="246"/>
        <v>149.23319020920783</v>
      </c>
      <c r="F991">
        <f t="shared" si="235"/>
        <v>1.7878525252737171E-2</v>
      </c>
      <c r="G991">
        <f t="shared" si="236"/>
        <v>5.52944079981562E-2</v>
      </c>
      <c r="H991">
        <f t="shared" si="237"/>
        <v>56.815739010978291</v>
      </c>
      <c r="I991">
        <f t="shared" si="238"/>
        <v>1.0292639296162422</v>
      </c>
      <c r="J991">
        <f t="shared" si="239"/>
        <v>1.1135598396468784</v>
      </c>
      <c r="K991">
        <f t="shared" si="240"/>
        <v>0.5574523043416455</v>
      </c>
      <c r="L991">
        <f t="shared" si="241"/>
        <v>1.2507649103953558</v>
      </c>
      <c r="M991">
        <f t="shared" si="242"/>
        <v>1.0004034662771066</v>
      </c>
      <c r="N991">
        <f t="shared" si="243"/>
        <v>0.99363430034467148</v>
      </c>
      <c r="O991">
        <v>3.9251050249158228E-3</v>
      </c>
      <c r="P991">
        <v>6.5020608624024147E-3</v>
      </c>
      <c r="Q991">
        <f t="shared" si="244"/>
        <v>4082.0167340181874</v>
      </c>
      <c r="R991">
        <f t="shared" si="245"/>
        <v>4.0820167340181879</v>
      </c>
    </row>
    <row r="992" spans="1:18" x14ac:dyDescent="0.3">
      <c r="A992">
        <v>1.982</v>
      </c>
      <c r="B992" s="4"/>
      <c r="C992">
        <v>-33.147433709399202</v>
      </c>
      <c r="D992">
        <v>1.95</v>
      </c>
      <c r="E992">
        <f t="shared" si="246"/>
        <v>149.23319020920783</v>
      </c>
      <c r="F992">
        <f t="shared" si="235"/>
        <v>1.7878525252737171E-2</v>
      </c>
      <c r="G992">
        <f t="shared" si="236"/>
        <v>5.52944079981562E-2</v>
      </c>
      <c r="H992">
        <f t="shared" si="237"/>
        <v>56.815739010978291</v>
      </c>
      <c r="I992">
        <f t="shared" si="238"/>
        <v>1.0292639296162422</v>
      </c>
      <c r="J992">
        <f t="shared" si="239"/>
        <v>1.1135598396468784</v>
      </c>
      <c r="K992">
        <f t="shared" si="240"/>
        <v>0.5574523043416455</v>
      </c>
      <c r="L992">
        <f t="shared" si="241"/>
        <v>1.2507649103953558</v>
      </c>
      <c r="M992">
        <f t="shared" si="242"/>
        <v>1.0017862504064727</v>
      </c>
      <c r="N992">
        <f t="shared" si="243"/>
        <v>0.9922979149466461</v>
      </c>
      <c r="O992">
        <v>3.8078427708939512E-3</v>
      </c>
      <c r="P992">
        <v>6.5747345827741575E-3</v>
      </c>
      <c r="Q992">
        <f t="shared" si="244"/>
        <v>4082.0167340181874</v>
      </c>
      <c r="R992">
        <f t="shared" si="245"/>
        <v>4.0820167340181879</v>
      </c>
    </row>
    <row r="993" spans="1:18" x14ac:dyDescent="0.3">
      <c r="A993">
        <v>1.984</v>
      </c>
      <c r="B993" s="4"/>
      <c r="C993">
        <v>-33.147433709399202</v>
      </c>
      <c r="D993">
        <v>1.95</v>
      </c>
      <c r="E993">
        <f t="shared" si="246"/>
        <v>149.23319020920783</v>
      </c>
      <c r="F993">
        <f t="shared" si="235"/>
        <v>1.7878525252737171E-2</v>
      </c>
      <c r="G993">
        <f t="shared" si="236"/>
        <v>5.52944079981562E-2</v>
      </c>
      <c r="H993">
        <f t="shared" si="237"/>
        <v>56.815739010978291</v>
      </c>
      <c r="I993">
        <f t="shared" si="238"/>
        <v>1.0292639296162422</v>
      </c>
      <c r="J993">
        <f t="shared" si="239"/>
        <v>1.1135598396468784</v>
      </c>
      <c r="K993">
        <f t="shared" si="240"/>
        <v>0.5574523043416455</v>
      </c>
      <c r="L993">
        <f t="shared" si="241"/>
        <v>1.2507649103953558</v>
      </c>
      <c r="M993">
        <f t="shared" si="242"/>
        <v>1.0036051086487652</v>
      </c>
      <c r="N993">
        <f t="shared" si="243"/>
        <v>0.9911074018944428</v>
      </c>
      <c r="O993">
        <v>3.7133804815181757E-3</v>
      </c>
      <c r="P993">
        <v>6.6326132495139901E-3</v>
      </c>
      <c r="Q993">
        <f t="shared" si="244"/>
        <v>4082.0167340181874</v>
      </c>
      <c r="R993">
        <f t="shared" si="245"/>
        <v>4.0820167340181879</v>
      </c>
    </row>
    <row r="994" spans="1:18" x14ac:dyDescent="0.3">
      <c r="A994">
        <v>1.986</v>
      </c>
      <c r="B994" s="4"/>
      <c r="C994">
        <v>-33.147433709399202</v>
      </c>
      <c r="D994">
        <v>1.95</v>
      </c>
      <c r="E994">
        <f t="shared" si="246"/>
        <v>149.23319020920783</v>
      </c>
      <c r="F994">
        <f t="shared" si="235"/>
        <v>1.7878525252737171E-2</v>
      </c>
      <c r="G994">
        <f t="shared" si="236"/>
        <v>5.52944079981562E-2</v>
      </c>
      <c r="H994">
        <f t="shared" si="237"/>
        <v>56.815739010978291</v>
      </c>
      <c r="I994">
        <f t="shared" si="238"/>
        <v>1.0292639296162422</v>
      </c>
      <c r="J994">
        <f t="shared" si="239"/>
        <v>1.1135598396468784</v>
      </c>
      <c r="K994">
        <f t="shared" si="240"/>
        <v>0.5574523043416455</v>
      </c>
      <c r="L994">
        <f t="shared" si="241"/>
        <v>1.2507649103953558</v>
      </c>
      <c r="M994">
        <f t="shared" si="242"/>
        <v>1.005374050340742</v>
      </c>
      <c r="N994">
        <f t="shared" si="243"/>
        <v>0.99015026270043427</v>
      </c>
      <c r="O994">
        <v>3.6428513025061064E-3</v>
      </c>
      <c r="P994">
        <v>6.6754468334479494E-3</v>
      </c>
      <c r="Q994">
        <f t="shared" si="244"/>
        <v>4082.0167340181874</v>
      </c>
      <c r="R994">
        <f t="shared" si="245"/>
        <v>4.0820167340181879</v>
      </c>
    </row>
    <row r="995" spans="1:18" x14ac:dyDescent="0.3">
      <c r="A995">
        <v>1.988</v>
      </c>
      <c r="B995" s="4"/>
      <c r="C995">
        <v>-33.147433709399202</v>
      </c>
      <c r="D995">
        <v>1.95</v>
      </c>
      <c r="E995">
        <f t="shared" si="246"/>
        <v>149.23319020920783</v>
      </c>
      <c r="F995">
        <f t="shared" si="235"/>
        <v>1.7878525252737171E-2</v>
      </c>
      <c r="G995">
        <f t="shared" si="236"/>
        <v>5.52944079981562E-2</v>
      </c>
      <c r="H995">
        <f t="shared" si="237"/>
        <v>56.815739010978291</v>
      </c>
      <c r="I995">
        <f t="shared" si="238"/>
        <v>1.0292639296162422</v>
      </c>
      <c r="J995">
        <f t="shared" si="239"/>
        <v>1.1135598396468784</v>
      </c>
      <c r="K995">
        <f t="shared" si="240"/>
        <v>0.5574523043416455</v>
      </c>
      <c r="L995">
        <f t="shared" si="241"/>
        <v>1.2507649103953558</v>
      </c>
      <c r="M995">
        <f t="shared" si="242"/>
        <v>1.0095927020204105</v>
      </c>
      <c r="N995">
        <f t="shared" si="243"/>
        <v>0.99981649062827049</v>
      </c>
      <c r="O995">
        <v>3.6084681499625707E-3</v>
      </c>
      <c r="P995">
        <v>6.7254708610545036E-3</v>
      </c>
      <c r="Q995">
        <f t="shared" si="244"/>
        <v>4082.0167340181874</v>
      </c>
      <c r="R995">
        <f t="shared" si="245"/>
        <v>4.0820167340181879</v>
      </c>
    </row>
    <row r="996" spans="1:18" x14ac:dyDescent="0.3">
      <c r="A996">
        <v>1.99</v>
      </c>
      <c r="B996" s="4"/>
      <c r="C996">
        <v>-33.147433709399202</v>
      </c>
      <c r="D996">
        <v>1.95</v>
      </c>
      <c r="E996">
        <f t="shared" si="246"/>
        <v>149.23319020920783</v>
      </c>
      <c r="F996">
        <f t="shared" si="235"/>
        <v>1.7878525252737171E-2</v>
      </c>
      <c r="G996">
        <f t="shared" si="236"/>
        <v>5.52944079981562E-2</v>
      </c>
      <c r="H996">
        <f t="shared" si="237"/>
        <v>56.815739010978291</v>
      </c>
      <c r="I996">
        <f t="shared" si="238"/>
        <v>1.0292639296162422</v>
      </c>
      <c r="J996">
        <f t="shared" si="239"/>
        <v>1.1135598396468784</v>
      </c>
      <c r="K996">
        <f t="shared" si="240"/>
        <v>0.5574523043416455</v>
      </c>
      <c r="L996">
        <f t="shared" si="241"/>
        <v>1.2507649103953558</v>
      </c>
      <c r="M996">
        <f t="shared" si="242"/>
        <v>1.0009349693112293</v>
      </c>
      <c r="N996">
        <f t="shared" si="243"/>
        <v>0.99980841618408034</v>
      </c>
      <c r="O996">
        <v>3.5510801052071115E-3</v>
      </c>
      <c r="P996">
        <v>6.7383518384549505E-3</v>
      </c>
      <c r="Q996">
        <f t="shared" si="244"/>
        <v>4082.0167340181874</v>
      </c>
      <c r="R996">
        <f t="shared" si="245"/>
        <v>4.0820167340181879</v>
      </c>
    </row>
    <row r="997" spans="1:18" x14ac:dyDescent="0.3">
      <c r="A997">
        <v>1.992</v>
      </c>
      <c r="B997" s="4"/>
      <c r="C997">
        <v>-33.147433709399202</v>
      </c>
      <c r="D997">
        <v>1.95</v>
      </c>
      <c r="E997">
        <f t="shared" si="246"/>
        <v>149.23319020920783</v>
      </c>
      <c r="F997">
        <f t="shared" si="235"/>
        <v>1.7878525252737171E-2</v>
      </c>
      <c r="G997">
        <f t="shared" si="236"/>
        <v>5.52944079981562E-2</v>
      </c>
      <c r="H997">
        <f t="shared" si="237"/>
        <v>56.815739010978291</v>
      </c>
      <c r="I997">
        <f t="shared" si="238"/>
        <v>1.0292639296162422</v>
      </c>
      <c r="J997">
        <f t="shared" si="239"/>
        <v>1.1135598396468784</v>
      </c>
      <c r="K997">
        <f t="shared" si="240"/>
        <v>0.5574523043416455</v>
      </c>
      <c r="L997">
        <f t="shared" si="241"/>
        <v>1.2507649103953558</v>
      </c>
      <c r="M997">
        <f t="shared" si="242"/>
        <v>1.0008364502619598</v>
      </c>
      <c r="N997">
        <f t="shared" si="243"/>
        <v>0.99981046966356346</v>
      </c>
      <c r="O997">
        <v>3.5565153460563872E-3</v>
      </c>
      <c r="P997">
        <v>6.7351162448616884E-3</v>
      </c>
      <c r="Q997">
        <f t="shared" si="244"/>
        <v>4082.0167340181874</v>
      </c>
      <c r="R997">
        <f t="shared" si="245"/>
        <v>4.0820167340181879</v>
      </c>
    </row>
    <row r="998" spans="1:18" x14ac:dyDescent="0.3">
      <c r="A998">
        <v>1.994</v>
      </c>
      <c r="B998" s="4"/>
      <c r="C998">
        <v>-33.147433709399202</v>
      </c>
      <c r="D998">
        <v>1.95</v>
      </c>
      <c r="E998">
        <f t="shared" si="246"/>
        <v>149.23319020920783</v>
      </c>
      <c r="F998">
        <f t="shared" si="235"/>
        <v>1.7878525252737171E-2</v>
      </c>
      <c r="G998">
        <f t="shared" si="236"/>
        <v>5.52944079981562E-2</v>
      </c>
      <c r="H998">
        <f t="shared" si="237"/>
        <v>56.815739010978291</v>
      </c>
      <c r="I998">
        <f t="shared" si="238"/>
        <v>1.0292639296162422</v>
      </c>
      <c r="J998">
        <f t="shared" si="239"/>
        <v>1.1135598396468784</v>
      </c>
      <c r="K998">
        <f t="shared" si="240"/>
        <v>0.5574523043416455</v>
      </c>
      <c r="L998">
        <f t="shared" si="241"/>
        <v>1.2507649103953558</v>
      </c>
      <c r="M998">
        <f t="shared" si="242"/>
        <v>1.0062452847065002</v>
      </c>
      <c r="N998">
        <f t="shared" si="243"/>
        <v>0.9998223871523324</v>
      </c>
      <c r="O998">
        <v>3.612441569600174E-3</v>
      </c>
      <c r="P998">
        <v>6.7157854800002047E-3</v>
      </c>
      <c r="Q998">
        <f t="shared" si="244"/>
        <v>4082.0167340181874</v>
      </c>
      <c r="R998">
        <f t="shared" si="245"/>
        <v>4.0820167340181879</v>
      </c>
    </row>
    <row r="999" spans="1:18" x14ac:dyDescent="0.3">
      <c r="A999">
        <v>1.996</v>
      </c>
      <c r="B999" s="4"/>
      <c r="C999">
        <v>-33.147433709399202</v>
      </c>
      <c r="D999">
        <v>1.95</v>
      </c>
      <c r="E999">
        <f t="shared" si="246"/>
        <v>149.23319020920783</v>
      </c>
      <c r="F999">
        <f t="shared" si="235"/>
        <v>1.7878525252737171E-2</v>
      </c>
      <c r="G999">
        <f t="shared" si="236"/>
        <v>5.52944079981562E-2</v>
      </c>
      <c r="H999">
        <f t="shared" si="237"/>
        <v>56.815739010978291</v>
      </c>
      <c r="I999">
        <f t="shared" si="238"/>
        <v>1.0292639296162422</v>
      </c>
      <c r="J999">
        <f t="shared" si="239"/>
        <v>1.1135598396468784</v>
      </c>
      <c r="K999">
        <f t="shared" si="240"/>
        <v>0.5574523043416455</v>
      </c>
      <c r="L999">
        <f t="shared" si="241"/>
        <v>1.2507649103953558</v>
      </c>
      <c r="M999">
        <f t="shared" si="242"/>
        <v>1.0046972904410247</v>
      </c>
      <c r="N999">
        <f t="shared" si="243"/>
        <v>0.99050134636341802</v>
      </c>
      <c r="O999">
        <v>3.6682198349953401E-3</v>
      </c>
      <c r="P999">
        <v>6.6600773004458604E-3</v>
      </c>
      <c r="Q999">
        <f t="shared" si="244"/>
        <v>4082.0167340181874</v>
      </c>
      <c r="R999">
        <f t="shared" si="245"/>
        <v>4.0820167340181879</v>
      </c>
    </row>
    <row r="1000" spans="1:18" x14ac:dyDescent="0.3">
      <c r="A1000">
        <v>1.998</v>
      </c>
      <c r="B1000" s="4"/>
      <c r="C1000">
        <v>-33.147433709399202</v>
      </c>
      <c r="D1000">
        <v>1.95</v>
      </c>
      <c r="E1000">
        <f t="shared" si="246"/>
        <v>149.23319020920783</v>
      </c>
      <c r="F1000">
        <f t="shared" si="235"/>
        <v>1.7878525252737171E-2</v>
      </c>
      <c r="G1000">
        <f t="shared" si="236"/>
        <v>5.52944079981562E-2</v>
      </c>
      <c r="H1000">
        <f t="shared" si="237"/>
        <v>56.815739010978291</v>
      </c>
      <c r="I1000">
        <f t="shared" si="238"/>
        <v>1.0292639296162422</v>
      </c>
      <c r="J1000">
        <f t="shared" si="239"/>
        <v>1.1135598396468784</v>
      </c>
      <c r="K1000">
        <f t="shared" si="240"/>
        <v>0.5574523043416455</v>
      </c>
      <c r="L1000">
        <f t="shared" si="241"/>
        <v>1.2507649103953558</v>
      </c>
      <c r="M1000">
        <f t="shared" si="242"/>
        <v>1.0028559196742601</v>
      </c>
      <c r="N1000">
        <f t="shared" si="243"/>
        <v>0.99156174777610662</v>
      </c>
      <c r="O1000">
        <v>3.7484714272142581E-3</v>
      </c>
      <c r="P1000">
        <v>6.6111810021124663E-3</v>
      </c>
      <c r="Q1000">
        <f t="shared" si="244"/>
        <v>4082.0167340181874</v>
      </c>
      <c r="R1000">
        <f t="shared" si="245"/>
        <v>4.0820167340181879</v>
      </c>
    </row>
    <row r="1001" spans="1:18" x14ac:dyDescent="0.3">
      <c r="A1001">
        <v>2</v>
      </c>
      <c r="B1001" s="4"/>
      <c r="C1001">
        <v>-33.147433709399202</v>
      </c>
      <c r="D1001">
        <v>1.95</v>
      </c>
      <c r="E1001">
        <f t="shared" si="246"/>
        <v>149.23319020920783</v>
      </c>
      <c r="F1001">
        <f t="shared" si="235"/>
        <v>1.7878525252737171E-2</v>
      </c>
      <c r="G1001">
        <f t="shared" si="236"/>
        <v>5.52944079981562E-2</v>
      </c>
      <c r="H1001">
        <f t="shared" si="237"/>
        <v>56.815739010978291</v>
      </c>
      <c r="I1001">
        <f t="shared" si="238"/>
        <v>1.0292639296162422</v>
      </c>
      <c r="J1001">
        <f t="shared" si="239"/>
        <v>1.1135598396468784</v>
      </c>
      <c r="K1001">
        <f t="shared" si="240"/>
        <v>0.5574523043416455</v>
      </c>
      <c r="L1001">
        <f t="shared" si="241"/>
        <v>1.2507649103953558</v>
      </c>
      <c r="M1001">
        <f t="shared" si="242"/>
        <v>1.0011488423080543</v>
      </c>
      <c r="N1001">
        <f t="shared" si="243"/>
        <v>0.99282200194939096</v>
      </c>
      <c r="O1001">
        <v>3.8522356898352964E-3</v>
      </c>
      <c r="P1001">
        <v>6.5473302290411876E-3</v>
      </c>
      <c r="Q1001">
        <f t="shared" si="244"/>
        <v>4082.0167340181874</v>
      </c>
      <c r="R1001">
        <f t="shared" si="245"/>
        <v>4.0820167340181879</v>
      </c>
    </row>
    <row r="1002" spans="1:18" x14ac:dyDescent="0.3">
      <c r="A1002">
        <v>2.0019999999999998</v>
      </c>
      <c r="B1002" s="4"/>
      <c r="C1002">
        <v>-33.147433709399202</v>
      </c>
      <c r="D1002">
        <v>1.95</v>
      </c>
      <c r="E1002">
        <f t="shared" si="246"/>
        <v>149.23319020920783</v>
      </c>
      <c r="F1002">
        <f t="shared" si="235"/>
        <v>1.7878525252737171E-2</v>
      </c>
      <c r="G1002">
        <f t="shared" si="236"/>
        <v>5.52944079981562E-2</v>
      </c>
      <c r="H1002">
        <f t="shared" si="237"/>
        <v>56.815739010978291</v>
      </c>
      <c r="I1002">
        <f t="shared" si="238"/>
        <v>1.0292639296162422</v>
      </c>
      <c r="J1002">
        <f t="shared" si="239"/>
        <v>1.1135598396468784</v>
      </c>
      <c r="K1002">
        <f t="shared" si="240"/>
        <v>0.5574523043416455</v>
      </c>
      <c r="L1002">
        <f t="shared" si="241"/>
        <v>1.2507649103953558</v>
      </c>
      <c r="M1002">
        <f t="shared" si="242"/>
        <v>1.000095361072519</v>
      </c>
      <c r="N1002">
        <f t="shared" si="243"/>
        <v>0.99419000562213466</v>
      </c>
      <c r="O1002">
        <v>3.9782659045219685E-3</v>
      </c>
      <c r="P1002">
        <v>6.4688087306147609E-3</v>
      </c>
      <c r="Q1002">
        <f t="shared" si="244"/>
        <v>4082.0167340181874</v>
      </c>
      <c r="R1002">
        <f t="shared" si="245"/>
        <v>4.0820167340181879</v>
      </c>
    </row>
    <row r="1003" spans="1:18" x14ac:dyDescent="0.3">
      <c r="A1003">
        <v>2.004</v>
      </c>
      <c r="B1003" s="4"/>
      <c r="C1003">
        <v>-33.147433709399202</v>
      </c>
      <c r="D1003">
        <v>1.95</v>
      </c>
      <c r="E1003">
        <f t="shared" si="246"/>
        <v>149.23319020920783</v>
      </c>
      <c r="F1003">
        <f t="shared" si="235"/>
        <v>1.7878525252737171E-2</v>
      </c>
      <c r="G1003">
        <f t="shared" si="236"/>
        <v>5.52944079981562E-2</v>
      </c>
      <c r="H1003">
        <f t="shared" si="237"/>
        <v>56.815739010978291</v>
      </c>
      <c r="I1003">
        <f t="shared" si="238"/>
        <v>1.0292639296162422</v>
      </c>
      <c r="J1003">
        <f t="shared" si="239"/>
        <v>1.1135598396468784</v>
      </c>
      <c r="K1003">
        <f t="shared" si="240"/>
        <v>0.5574523043416455</v>
      </c>
      <c r="L1003">
        <f t="shared" si="241"/>
        <v>1.2507649103953558</v>
      </c>
      <c r="M1003">
        <f t="shared" si="242"/>
        <v>0.99161562370665945</v>
      </c>
      <c r="N1003">
        <f t="shared" si="243"/>
        <v>0.99556790373449155</v>
      </c>
      <c r="O1003">
        <v>4.095003181418198E-3</v>
      </c>
      <c r="P1003">
        <v>6.3759941744082199E-3</v>
      </c>
      <c r="Q1003">
        <f t="shared" si="244"/>
        <v>4082.0167340181874</v>
      </c>
      <c r="R1003">
        <f t="shared" si="245"/>
        <v>4.0820167340181879</v>
      </c>
    </row>
    <row r="1004" spans="1:18" x14ac:dyDescent="0.3">
      <c r="A1004">
        <v>2.0059999999999998</v>
      </c>
      <c r="B1004" s="4"/>
      <c r="C1004">
        <v>-33.147433709399202</v>
      </c>
      <c r="D1004">
        <v>1.95</v>
      </c>
      <c r="E1004">
        <f t="shared" si="246"/>
        <v>149.23319020920783</v>
      </c>
      <c r="F1004">
        <f t="shared" si="235"/>
        <v>1.7878525252737171E-2</v>
      </c>
      <c r="G1004">
        <f t="shared" si="236"/>
        <v>5.52944079981562E-2</v>
      </c>
      <c r="H1004">
        <f t="shared" si="237"/>
        <v>56.815739010978291</v>
      </c>
      <c r="I1004">
        <f t="shared" si="238"/>
        <v>1.0292639296162422</v>
      </c>
      <c r="J1004">
        <f t="shared" si="239"/>
        <v>1.1135598396468784</v>
      </c>
      <c r="K1004">
        <f t="shared" si="240"/>
        <v>0.5574523043416455</v>
      </c>
      <c r="L1004">
        <f t="shared" si="241"/>
        <v>1.2507649103953558</v>
      </c>
      <c r="M1004">
        <f t="shared" si="242"/>
        <v>1.0015856470987379</v>
      </c>
      <c r="N1004">
        <f t="shared" si="243"/>
        <v>0.99686085957945436</v>
      </c>
      <c r="O1004">
        <v>4.2884274843767913E-3</v>
      </c>
      <c r="P1004">
        <v>6.2693745828094763E-3</v>
      </c>
      <c r="Q1004">
        <f t="shared" si="244"/>
        <v>4082.0167340181874</v>
      </c>
      <c r="R1004">
        <f t="shared" si="245"/>
        <v>4.0820167340181879</v>
      </c>
    </row>
    <row r="1005" spans="1:18" x14ac:dyDescent="0.3">
      <c r="A1005">
        <v>2.008</v>
      </c>
      <c r="B1005" s="4"/>
      <c r="C1005">
        <v>-33.147433709399202</v>
      </c>
      <c r="D1005">
        <v>1.95</v>
      </c>
      <c r="E1005">
        <f t="shared" si="246"/>
        <v>149.23319020920783</v>
      </c>
      <c r="F1005">
        <f t="shared" si="235"/>
        <v>1.7878525252737171E-2</v>
      </c>
      <c r="G1005">
        <f t="shared" si="236"/>
        <v>5.52944079981562E-2</v>
      </c>
      <c r="H1005">
        <f t="shared" si="237"/>
        <v>56.815739010978291</v>
      </c>
      <c r="I1005">
        <f t="shared" si="238"/>
        <v>1.0292639296162422</v>
      </c>
      <c r="J1005">
        <f t="shared" si="239"/>
        <v>1.1135598396468784</v>
      </c>
      <c r="K1005">
        <f t="shared" si="240"/>
        <v>0.5574523043416455</v>
      </c>
      <c r="L1005">
        <f t="shared" si="241"/>
        <v>1.2507649103953558</v>
      </c>
      <c r="M1005">
        <f t="shared" si="242"/>
        <v>1.0054336354045659</v>
      </c>
      <c r="N1005">
        <f t="shared" si="243"/>
        <v>0.99798602581530216</v>
      </c>
      <c r="O1005">
        <v>4.4692874281987462E-3</v>
      </c>
      <c r="P1005">
        <v>6.1495673843658663E-3</v>
      </c>
      <c r="Q1005">
        <f t="shared" si="244"/>
        <v>4082.0167340181874</v>
      </c>
      <c r="R1005">
        <f t="shared" si="245"/>
        <v>4.0820167340181879</v>
      </c>
    </row>
    <row r="1006" spans="1:18" x14ac:dyDescent="0.3">
      <c r="A1006">
        <v>2.0099999999999998</v>
      </c>
      <c r="B1006" s="4"/>
      <c r="C1006">
        <v>-33.147433709399202</v>
      </c>
      <c r="D1006">
        <v>1.95</v>
      </c>
      <c r="E1006">
        <f t="shared" si="246"/>
        <v>149.23319020920783</v>
      </c>
      <c r="F1006">
        <f t="shared" si="235"/>
        <v>1.7878525252737171E-2</v>
      </c>
      <c r="G1006">
        <f t="shared" si="236"/>
        <v>5.52944079981562E-2</v>
      </c>
      <c r="H1006">
        <f t="shared" si="237"/>
        <v>56.815739010978291</v>
      </c>
      <c r="I1006">
        <f t="shared" si="238"/>
        <v>1.0292639296162422</v>
      </c>
      <c r="J1006">
        <f t="shared" si="239"/>
        <v>1.1135598396468784</v>
      </c>
      <c r="K1006">
        <f t="shared" si="240"/>
        <v>0.5574523043416455</v>
      </c>
      <c r="L1006">
        <f t="shared" si="241"/>
        <v>1.2507649103953558</v>
      </c>
      <c r="M1006">
        <f t="shared" si="242"/>
        <v>1.0025425914229997</v>
      </c>
      <c r="N1006">
        <f t="shared" si="243"/>
        <v>0.99888096432844797</v>
      </c>
      <c r="O1006">
        <v>4.6351324590959463E-3</v>
      </c>
      <c r="P1006">
        <v>6.0173405882090114E-3</v>
      </c>
      <c r="Q1006">
        <f t="shared" si="244"/>
        <v>4082.0167340181874</v>
      </c>
      <c r="R1006">
        <f t="shared" si="245"/>
        <v>4.0820167340181879</v>
      </c>
    </row>
    <row r="1007" spans="1:18" x14ac:dyDescent="0.3">
      <c r="A1007">
        <v>2.012</v>
      </c>
      <c r="B1007" s="4"/>
      <c r="C1007">
        <v>-33.147433709399202</v>
      </c>
      <c r="D1007">
        <v>1.95</v>
      </c>
      <c r="E1007">
        <f t="shared" si="246"/>
        <v>149.23319020920783</v>
      </c>
      <c r="F1007">
        <f t="shared" si="235"/>
        <v>1.7878525252737171E-2</v>
      </c>
      <c r="G1007">
        <f t="shared" si="236"/>
        <v>5.52944079981562E-2</v>
      </c>
      <c r="H1007">
        <f t="shared" si="237"/>
        <v>56.815739010978291</v>
      </c>
      <c r="I1007">
        <f t="shared" si="238"/>
        <v>1.0292639296162422</v>
      </c>
      <c r="J1007">
        <f t="shared" si="239"/>
        <v>1.1135598396468784</v>
      </c>
      <c r="K1007">
        <f t="shared" si="240"/>
        <v>0.5574523043416455</v>
      </c>
      <c r="L1007">
        <f t="shared" si="241"/>
        <v>1.2507649103953558</v>
      </c>
      <c r="M1007">
        <f t="shared" si="242"/>
        <v>1.0085249256956184</v>
      </c>
      <c r="N1007">
        <f t="shared" si="243"/>
        <v>0.99951069554909489</v>
      </c>
      <c r="O1007">
        <v>4.831897097583809E-3</v>
      </c>
      <c r="P1007">
        <v>5.8736353521890274E-3</v>
      </c>
      <c r="Q1007">
        <f t="shared" si="244"/>
        <v>4082.0167340181874</v>
      </c>
      <c r="R1007">
        <f t="shared" si="245"/>
        <v>4.0820167340181879</v>
      </c>
    </row>
    <row r="1008" spans="1:18" x14ac:dyDescent="0.3">
      <c r="A1008">
        <v>2.0139999999999998</v>
      </c>
      <c r="B1008" s="4"/>
      <c r="C1008">
        <v>-33.147433709399202</v>
      </c>
      <c r="D1008">
        <v>1.95</v>
      </c>
      <c r="E1008">
        <f t="shared" si="246"/>
        <v>149.23319020920783</v>
      </c>
      <c r="F1008">
        <f t="shared" si="235"/>
        <v>1.7878525252737171E-2</v>
      </c>
      <c r="G1008">
        <f t="shared" si="236"/>
        <v>5.52944079981562E-2</v>
      </c>
      <c r="H1008">
        <f t="shared" si="237"/>
        <v>56.815739010978291</v>
      </c>
      <c r="I1008">
        <f t="shared" si="238"/>
        <v>1.0292639296162422</v>
      </c>
      <c r="J1008">
        <f t="shared" si="239"/>
        <v>1.1135598396468784</v>
      </c>
      <c r="K1008">
        <f t="shared" si="240"/>
        <v>0.5574523043416455</v>
      </c>
      <c r="L1008">
        <f t="shared" si="241"/>
        <v>1.2507649103953558</v>
      </c>
      <c r="M1008">
        <f t="shared" si="242"/>
        <v>0.99910392920283086</v>
      </c>
      <c r="N1008">
        <f t="shared" si="243"/>
        <v>1.0076009813234734</v>
      </c>
      <c r="O1008">
        <v>4.9846000885799728E-3</v>
      </c>
      <c r="P1008">
        <v>5.7390626175664377E-3</v>
      </c>
      <c r="Q1008">
        <f t="shared" si="244"/>
        <v>4082.0167340181874</v>
      </c>
      <c r="R1008">
        <f t="shared" si="245"/>
        <v>4.0820167340181879</v>
      </c>
    </row>
    <row r="1009" spans="1:18" x14ac:dyDescent="0.3">
      <c r="A1009">
        <v>2.016</v>
      </c>
      <c r="B1009" s="4"/>
      <c r="C1009">
        <v>-33.147433709399202</v>
      </c>
      <c r="D1009">
        <v>1.95</v>
      </c>
      <c r="E1009">
        <f t="shared" si="246"/>
        <v>149.23319020920783</v>
      </c>
      <c r="F1009">
        <f t="shared" si="235"/>
        <v>1.7878525252737171E-2</v>
      </c>
      <c r="G1009">
        <f t="shared" si="236"/>
        <v>5.52944079981562E-2</v>
      </c>
      <c r="H1009">
        <f t="shared" si="237"/>
        <v>56.815739010978291</v>
      </c>
      <c r="I1009">
        <f t="shared" si="238"/>
        <v>1.0292639296162422</v>
      </c>
      <c r="J1009">
        <f t="shared" si="239"/>
        <v>1.1135598396468784</v>
      </c>
      <c r="K1009">
        <f t="shared" si="240"/>
        <v>0.5574523043416455</v>
      </c>
      <c r="L1009">
        <f t="shared" si="241"/>
        <v>1.2507649103953558</v>
      </c>
      <c r="M1009">
        <f t="shared" si="242"/>
        <v>0.99795846279469691</v>
      </c>
      <c r="N1009">
        <f t="shared" si="243"/>
        <v>0.99001567130367818</v>
      </c>
      <c r="O1009">
        <v>5.1611723457336669E-3</v>
      </c>
      <c r="P1009">
        <v>5.5305989827073481E-3</v>
      </c>
      <c r="Q1009">
        <f t="shared" si="244"/>
        <v>4082.0167340181874</v>
      </c>
      <c r="R1009">
        <f t="shared" si="245"/>
        <v>4.0820167340181879</v>
      </c>
    </row>
    <row r="1010" spans="1:18" x14ac:dyDescent="0.3">
      <c r="A1010">
        <v>2.0179999999999998</v>
      </c>
      <c r="B1010" s="4"/>
      <c r="C1010">
        <v>-33.147433709399202</v>
      </c>
      <c r="D1010">
        <v>1.95</v>
      </c>
      <c r="E1010">
        <f t="shared" si="246"/>
        <v>149.23319020920783</v>
      </c>
      <c r="F1010">
        <f t="shared" si="235"/>
        <v>1.7878525252737171E-2</v>
      </c>
      <c r="G1010">
        <f t="shared" si="236"/>
        <v>5.52944079981562E-2</v>
      </c>
      <c r="H1010">
        <f t="shared" si="237"/>
        <v>56.815739010978291</v>
      </c>
      <c r="I1010">
        <f t="shared" si="238"/>
        <v>1.0292639296162422</v>
      </c>
      <c r="J1010">
        <f t="shared" si="239"/>
        <v>1.1135598396468784</v>
      </c>
      <c r="K1010">
        <f t="shared" si="240"/>
        <v>0.5574523043416455</v>
      </c>
      <c r="L1010">
        <f t="shared" si="241"/>
        <v>1.2507649103953558</v>
      </c>
      <c r="M1010">
        <f t="shared" si="242"/>
        <v>1.001026605934652</v>
      </c>
      <c r="N1010">
        <f t="shared" si="243"/>
        <v>0.9977383319643035</v>
      </c>
      <c r="O1010">
        <v>5.3462686103374641E-3</v>
      </c>
      <c r="P1010">
        <v>5.3802142175623409E-3</v>
      </c>
      <c r="Q1010">
        <f t="shared" si="244"/>
        <v>4082.0167340181874</v>
      </c>
      <c r="R1010">
        <f t="shared" si="245"/>
        <v>4.0820167340181879</v>
      </c>
    </row>
    <row r="1011" spans="1:18" x14ac:dyDescent="0.3">
      <c r="A1011">
        <v>2.02</v>
      </c>
      <c r="B1011" s="4"/>
      <c r="C1011">
        <v>-33.147433709399202</v>
      </c>
      <c r="D1011">
        <v>1.95</v>
      </c>
      <c r="E1011">
        <f t="shared" si="246"/>
        <v>149.23319020920783</v>
      </c>
      <c r="F1011">
        <f t="shared" si="235"/>
        <v>1.7878525252737171E-2</v>
      </c>
      <c r="G1011">
        <f t="shared" si="236"/>
        <v>5.52944079981562E-2</v>
      </c>
      <c r="H1011">
        <f t="shared" si="237"/>
        <v>56.815739010978291</v>
      </c>
      <c r="I1011">
        <f t="shared" si="238"/>
        <v>1.0292639296162422</v>
      </c>
      <c r="J1011">
        <f t="shared" si="239"/>
        <v>1.1135598396468784</v>
      </c>
      <c r="K1011">
        <f t="shared" si="240"/>
        <v>0.5574523043416455</v>
      </c>
      <c r="L1011">
        <f t="shared" si="241"/>
        <v>1.2507649103953558</v>
      </c>
      <c r="M1011">
        <f t="shared" si="242"/>
        <v>1.0080880360236393</v>
      </c>
      <c r="N1011">
        <f t="shared" si="243"/>
        <v>0.99894072507059906</v>
      </c>
      <c r="O1011">
        <v>5.5363623669192012E-3</v>
      </c>
      <c r="P1011">
        <v>5.207722427906643E-3</v>
      </c>
      <c r="Q1011">
        <f t="shared" si="244"/>
        <v>4082.0167340181874</v>
      </c>
      <c r="R1011">
        <f t="shared" si="245"/>
        <v>4.0820167340181879</v>
      </c>
    </row>
    <row r="1012" spans="1:18" x14ac:dyDescent="0.3">
      <c r="A1012">
        <v>2.0219999999999998</v>
      </c>
      <c r="B1012" s="4"/>
      <c r="C1012">
        <v>-33.147433709399202</v>
      </c>
      <c r="D1012">
        <v>1.95</v>
      </c>
      <c r="E1012">
        <f t="shared" si="246"/>
        <v>149.23319020920783</v>
      </c>
      <c r="F1012">
        <f t="shared" si="235"/>
        <v>1.7878525252737171E-2</v>
      </c>
      <c r="G1012">
        <f t="shared" si="236"/>
        <v>5.52944079981562E-2</v>
      </c>
      <c r="H1012">
        <f t="shared" si="237"/>
        <v>56.815739010978291</v>
      </c>
      <c r="I1012">
        <f t="shared" si="238"/>
        <v>1.0292639296162422</v>
      </c>
      <c r="J1012">
        <f t="shared" si="239"/>
        <v>1.1135598396468784</v>
      </c>
      <c r="K1012">
        <f t="shared" si="240"/>
        <v>0.5574523043416455</v>
      </c>
      <c r="L1012">
        <f t="shared" si="241"/>
        <v>1.2507649103953558</v>
      </c>
      <c r="M1012">
        <f t="shared" si="242"/>
        <v>0.99941568423016491</v>
      </c>
      <c r="N1012">
        <f t="shared" si="243"/>
        <v>0.99963226557144824</v>
      </c>
      <c r="O1012">
        <v>5.6789865584528894E-3</v>
      </c>
      <c r="P1012">
        <v>5.0304812452454818E-3</v>
      </c>
      <c r="Q1012">
        <f t="shared" si="244"/>
        <v>4082.0167340181874</v>
      </c>
      <c r="R1012">
        <f t="shared" si="245"/>
        <v>4.0820167340181879</v>
      </c>
    </row>
    <row r="1013" spans="1:18" x14ac:dyDescent="0.3">
      <c r="A1013">
        <v>2.024</v>
      </c>
      <c r="B1013" s="4"/>
      <c r="C1013">
        <v>-33.147433709399202</v>
      </c>
      <c r="D1013">
        <v>1.95</v>
      </c>
      <c r="E1013">
        <f t="shared" si="246"/>
        <v>149.23319020920783</v>
      </c>
      <c r="F1013">
        <f t="shared" si="235"/>
        <v>1.7878525252737171E-2</v>
      </c>
      <c r="G1013">
        <f t="shared" si="236"/>
        <v>5.52944079981562E-2</v>
      </c>
      <c r="H1013">
        <f t="shared" si="237"/>
        <v>56.815739010978291</v>
      </c>
      <c r="I1013">
        <f t="shared" si="238"/>
        <v>1.0292639296162422</v>
      </c>
      <c r="J1013">
        <f t="shared" si="239"/>
        <v>1.1135598396468784</v>
      </c>
      <c r="K1013">
        <f t="shared" si="240"/>
        <v>0.5574523043416455</v>
      </c>
      <c r="L1013">
        <f t="shared" si="241"/>
        <v>1.2507649103953558</v>
      </c>
      <c r="M1013">
        <f t="shared" si="242"/>
        <v>0.99864200856340413</v>
      </c>
      <c r="N1013">
        <f t="shared" si="243"/>
        <v>1.0036600228606387</v>
      </c>
      <c r="O1013">
        <v>5.8342353228221927E-3</v>
      </c>
      <c r="P1013">
        <v>4.8617370997656997E-3</v>
      </c>
      <c r="Q1013">
        <f t="shared" si="244"/>
        <v>4082.0167340181874</v>
      </c>
      <c r="R1013">
        <f t="shared" si="245"/>
        <v>4.0820167340181879</v>
      </c>
    </row>
    <row r="1014" spans="1:18" x14ac:dyDescent="0.3">
      <c r="A1014">
        <v>2.0259999999999998</v>
      </c>
      <c r="B1014" s="4"/>
      <c r="C1014">
        <v>-33.147433709399202</v>
      </c>
      <c r="D1014">
        <v>1.95</v>
      </c>
      <c r="E1014">
        <f t="shared" si="246"/>
        <v>149.23319020920783</v>
      </c>
      <c r="F1014">
        <f t="shared" si="235"/>
        <v>1.7878525252737171E-2</v>
      </c>
      <c r="G1014">
        <f t="shared" si="236"/>
        <v>5.52944079981562E-2</v>
      </c>
      <c r="H1014">
        <f t="shared" si="237"/>
        <v>56.815739010978291</v>
      </c>
      <c r="I1014">
        <f t="shared" si="238"/>
        <v>1.0292639296162422</v>
      </c>
      <c r="J1014">
        <f t="shared" si="239"/>
        <v>1.1135598396468784</v>
      </c>
      <c r="K1014">
        <f t="shared" si="240"/>
        <v>0.5574523043416455</v>
      </c>
      <c r="L1014">
        <f t="shared" si="241"/>
        <v>1.2507649103953558</v>
      </c>
      <c r="M1014">
        <f t="shared" si="242"/>
        <v>0.99750796532383601</v>
      </c>
      <c r="N1014">
        <f t="shared" si="243"/>
        <v>1.0049463173850857</v>
      </c>
      <c r="O1014">
        <v>5.9792705727242639E-3</v>
      </c>
      <c r="P1014">
        <v>4.6862327258054629E-3</v>
      </c>
      <c r="Q1014">
        <f t="shared" si="244"/>
        <v>4082.0167340181874</v>
      </c>
      <c r="R1014">
        <f t="shared" si="245"/>
        <v>4.0820167340181879</v>
      </c>
    </row>
    <row r="1015" spans="1:18" x14ac:dyDescent="0.3">
      <c r="A1015">
        <v>2.028</v>
      </c>
      <c r="B1015" s="4">
        <v>73</v>
      </c>
      <c r="C1015">
        <v>-32.553780021398197</v>
      </c>
      <c r="D1015">
        <v>1.95</v>
      </c>
      <c r="E1015">
        <f>$E$1014+$R$1014</f>
        <v>153.31520694322603</v>
      </c>
      <c r="F1015">
        <f t="shared" si="235"/>
        <v>1.8121393768236328E-2</v>
      </c>
      <c r="G1015">
        <f t="shared" si="236"/>
        <v>5.6045547736813389E-2</v>
      </c>
      <c r="H1015">
        <f t="shared" si="237"/>
        <v>56.054276931015615</v>
      </c>
      <c r="I1015">
        <f t="shared" si="238"/>
        <v>1.0284792741109061</v>
      </c>
      <c r="J1015">
        <f t="shared" si="239"/>
        <v>1.1104553045490984</v>
      </c>
      <c r="K1015">
        <f t="shared" si="240"/>
        <v>0.55812820690836784</v>
      </c>
      <c r="L1015">
        <f t="shared" si="241"/>
        <v>1.2496305419003348</v>
      </c>
      <c r="M1015">
        <f t="shared" si="242"/>
        <v>1.0006031342033064</v>
      </c>
      <c r="N1015">
        <f t="shared" si="243"/>
        <v>0.9933222441425249</v>
      </c>
      <c r="O1015">
        <v>3.9015159419696125E-3</v>
      </c>
      <c r="P1015">
        <v>6.5200960907188747E-3</v>
      </c>
      <c r="Q1015">
        <f t="shared" si="244"/>
        <v>4102.9304950939377</v>
      </c>
      <c r="R1015">
        <f t="shared" si="245"/>
        <v>4.102930495093938</v>
      </c>
    </row>
    <row r="1016" spans="1:18" x14ac:dyDescent="0.3">
      <c r="A1016">
        <v>2.0299999999999998</v>
      </c>
      <c r="B1016" s="4"/>
      <c r="C1016">
        <v>-32.553780021398197</v>
      </c>
      <c r="D1016">
        <v>1.95</v>
      </c>
      <c r="E1016">
        <f t="shared" ref="E1016:E1042" si="247">$E$1014+$R$1014</f>
        <v>153.31520694322603</v>
      </c>
      <c r="F1016">
        <f t="shared" si="235"/>
        <v>1.8121393768236328E-2</v>
      </c>
      <c r="G1016">
        <f t="shared" si="236"/>
        <v>5.6045547736813389E-2</v>
      </c>
      <c r="H1016">
        <f t="shared" si="237"/>
        <v>56.054276931015615</v>
      </c>
      <c r="I1016">
        <f t="shared" si="238"/>
        <v>1.0284792741109061</v>
      </c>
      <c r="J1016">
        <f t="shared" si="239"/>
        <v>1.1104553045490984</v>
      </c>
      <c r="K1016">
        <f t="shared" si="240"/>
        <v>0.55812820690836784</v>
      </c>
      <c r="L1016">
        <f t="shared" si="241"/>
        <v>1.2496305419003348</v>
      </c>
      <c r="M1016">
        <f t="shared" si="242"/>
        <v>1.0056215507525612</v>
      </c>
      <c r="N1016">
        <f t="shared" si="243"/>
        <v>0.99469550775685034</v>
      </c>
      <c r="O1016">
        <v>4.0544585954635625E-3</v>
      </c>
      <c r="P1016">
        <v>6.4368626467086968E-3</v>
      </c>
      <c r="Q1016">
        <f t="shared" si="244"/>
        <v>4102.9304950939377</v>
      </c>
      <c r="R1016">
        <f t="shared" si="245"/>
        <v>4.102930495093938</v>
      </c>
    </row>
    <row r="1017" spans="1:18" x14ac:dyDescent="0.3">
      <c r="A1017">
        <v>2.032</v>
      </c>
      <c r="B1017" s="4"/>
      <c r="C1017">
        <v>-32.553780021398197</v>
      </c>
      <c r="D1017">
        <v>1.95</v>
      </c>
      <c r="E1017">
        <f t="shared" si="247"/>
        <v>153.31520694322603</v>
      </c>
      <c r="F1017">
        <f t="shared" si="235"/>
        <v>1.8121393768236328E-2</v>
      </c>
      <c r="G1017">
        <f t="shared" si="236"/>
        <v>5.6045547736813389E-2</v>
      </c>
      <c r="H1017">
        <f t="shared" si="237"/>
        <v>56.054276931015615</v>
      </c>
      <c r="I1017">
        <f t="shared" si="238"/>
        <v>1.0284792741109061</v>
      </c>
      <c r="J1017">
        <f t="shared" si="239"/>
        <v>1.1104553045490984</v>
      </c>
      <c r="K1017">
        <f t="shared" si="240"/>
        <v>0.55812820690836784</v>
      </c>
      <c r="L1017">
        <f t="shared" si="241"/>
        <v>1.2496305419003348</v>
      </c>
      <c r="M1017">
        <f t="shared" si="242"/>
        <v>1.0004183702106579</v>
      </c>
      <c r="N1017">
        <f t="shared" si="243"/>
        <v>0.9960413683463859</v>
      </c>
      <c r="O1017">
        <v>4.1858925604316925E-3</v>
      </c>
      <c r="P1017">
        <v>6.3398808665857224E-3</v>
      </c>
      <c r="Q1017">
        <f t="shared" si="244"/>
        <v>4102.9304950939377</v>
      </c>
      <c r="R1017">
        <f t="shared" si="245"/>
        <v>4.102930495093938</v>
      </c>
    </row>
    <row r="1018" spans="1:18" x14ac:dyDescent="0.3">
      <c r="A1018">
        <v>2.0339999999999998</v>
      </c>
      <c r="B1018" s="4"/>
      <c r="C1018">
        <v>-32.553780021398197</v>
      </c>
      <c r="D1018">
        <v>1.95</v>
      </c>
      <c r="E1018">
        <f t="shared" si="247"/>
        <v>153.31520694322603</v>
      </c>
      <c r="F1018">
        <f t="shared" si="235"/>
        <v>1.8121393768236328E-2</v>
      </c>
      <c r="G1018">
        <f t="shared" si="236"/>
        <v>5.6045547736813389E-2</v>
      </c>
      <c r="H1018">
        <f t="shared" si="237"/>
        <v>56.054276931015615</v>
      </c>
      <c r="I1018">
        <f t="shared" si="238"/>
        <v>1.0284792741109061</v>
      </c>
      <c r="J1018">
        <f t="shared" si="239"/>
        <v>1.1104553045490984</v>
      </c>
      <c r="K1018">
        <f t="shared" si="240"/>
        <v>0.55812820690836784</v>
      </c>
      <c r="L1018">
        <f t="shared" si="241"/>
        <v>1.2496305419003348</v>
      </c>
      <c r="M1018">
        <f t="shared" si="242"/>
        <v>1.0027255603024878</v>
      </c>
      <c r="N1018">
        <f t="shared" si="243"/>
        <v>0.9972717942542344</v>
      </c>
      <c r="O1018">
        <v>4.354587252120944E-3</v>
      </c>
      <c r="P1018">
        <v>6.2296630331869851E-3</v>
      </c>
      <c r="Q1018">
        <f t="shared" si="244"/>
        <v>4102.9304950939377</v>
      </c>
      <c r="R1018">
        <f t="shared" si="245"/>
        <v>4.102930495093938</v>
      </c>
    </row>
    <row r="1019" spans="1:18" x14ac:dyDescent="0.3">
      <c r="A1019">
        <v>2.036</v>
      </c>
      <c r="B1019" s="4"/>
      <c r="C1019">
        <v>-32.553780021398197</v>
      </c>
      <c r="D1019">
        <v>1.95</v>
      </c>
      <c r="E1019">
        <f t="shared" si="247"/>
        <v>153.31520694322603</v>
      </c>
      <c r="F1019">
        <f t="shared" si="235"/>
        <v>1.8121393768236328E-2</v>
      </c>
      <c r="G1019">
        <f t="shared" si="236"/>
        <v>5.6045547736813389E-2</v>
      </c>
      <c r="H1019">
        <f t="shared" si="237"/>
        <v>56.054276931015615</v>
      </c>
      <c r="I1019">
        <f t="shared" si="238"/>
        <v>1.0284792741109061</v>
      </c>
      <c r="J1019">
        <f t="shared" si="239"/>
        <v>1.1104553045490984</v>
      </c>
      <c r="K1019">
        <f t="shared" si="240"/>
        <v>0.55812820690836784</v>
      </c>
      <c r="L1019">
        <f t="shared" si="241"/>
        <v>1.2496305419003348</v>
      </c>
      <c r="M1019">
        <f t="shared" si="242"/>
        <v>0.9953843556819173</v>
      </c>
      <c r="N1019">
        <f t="shared" si="243"/>
        <v>0.99831326699387535</v>
      </c>
      <c r="O1019">
        <v>4.5004490409645539E-3</v>
      </c>
      <c r="P1019">
        <v>6.1068513821946648E-3</v>
      </c>
      <c r="Q1019">
        <f t="shared" si="244"/>
        <v>4102.9304950939377</v>
      </c>
      <c r="R1019">
        <f t="shared" si="245"/>
        <v>4.102930495093938</v>
      </c>
    </row>
    <row r="1020" spans="1:18" x14ac:dyDescent="0.3">
      <c r="A1020">
        <v>2.0379999999999998</v>
      </c>
      <c r="B1020" s="4"/>
      <c r="C1020">
        <v>-32.553780021398197</v>
      </c>
      <c r="D1020">
        <v>1.95</v>
      </c>
      <c r="E1020">
        <f t="shared" si="247"/>
        <v>153.31520694322603</v>
      </c>
      <c r="F1020">
        <f t="shared" si="235"/>
        <v>1.8121393768236328E-2</v>
      </c>
      <c r="G1020">
        <f t="shared" si="236"/>
        <v>5.6045547736813389E-2</v>
      </c>
      <c r="H1020">
        <f t="shared" si="237"/>
        <v>56.054276931015615</v>
      </c>
      <c r="I1020">
        <f t="shared" si="238"/>
        <v>1.0284792741109061</v>
      </c>
      <c r="J1020">
        <f t="shared" si="239"/>
        <v>1.1104553045490984</v>
      </c>
      <c r="K1020">
        <f t="shared" si="240"/>
        <v>0.55812820690836784</v>
      </c>
      <c r="L1020">
        <f t="shared" si="241"/>
        <v>1.2496305419003348</v>
      </c>
      <c r="M1020">
        <f t="shared" si="242"/>
        <v>1.0043029065887599</v>
      </c>
      <c r="N1020">
        <f t="shared" si="243"/>
        <v>0.99911429198388424</v>
      </c>
      <c r="O1020">
        <v>4.7031806068529953E-3</v>
      </c>
      <c r="P1020">
        <v>5.9722386028397013E-3</v>
      </c>
      <c r="Q1020">
        <f t="shared" si="244"/>
        <v>4102.9304950939377</v>
      </c>
      <c r="R1020">
        <f t="shared" si="245"/>
        <v>4.102930495093938</v>
      </c>
    </row>
    <row r="1021" spans="1:18" x14ac:dyDescent="0.3">
      <c r="A1021">
        <v>2.04</v>
      </c>
      <c r="B1021" s="4"/>
      <c r="C1021">
        <v>-32.553780021398197</v>
      </c>
      <c r="D1021">
        <v>1.95</v>
      </c>
      <c r="E1021">
        <f t="shared" si="247"/>
        <v>153.31520694322603</v>
      </c>
      <c r="F1021">
        <f t="shared" si="235"/>
        <v>1.8121393768236328E-2</v>
      </c>
      <c r="G1021">
        <f t="shared" si="236"/>
        <v>5.6045547736813389E-2</v>
      </c>
      <c r="H1021">
        <f t="shared" si="237"/>
        <v>56.054276931015615</v>
      </c>
      <c r="I1021">
        <f t="shared" si="238"/>
        <v>1.0284792741109061</v>
      </c>
      <c r="J1021">
        <f t="shared" si="239"/>
        <v>1.1104553045490984</v>
      </c>
      <c r="K1021">
        <f t="shared" si="240"/>
        <v>0.55812820690836784</v>
      </c>
      <c r="L1021">
        <f t="shared" si="241"/>
        <v>1.2496305419003348</v>
      </c>
      <c r="M1021">
        <f t="shared" si="242"/>
        <v>0.9995618531038748</v>
      </c>
      <c r="N1021">
        <f t="shared" si="243"/>
        <v>0.99965136306302926</v>
      </c>
      <c r="O1021">
        <v>4.8666029319120209E-3</v>
      </c>
      <c r="P1021">
        <v>5.8267893351769328E-3</v>
      </c>
      <c r="Q1021">
        <f t="shared" si="244"/>
        <v>4102.9304950939377</v>
      </c>
      <c r="R1021">
        <f t="shared" si="245"/>
        <v>4.102930495093938</v>
      </c>
    </row>
    <row r="1022" spans="1:18" x14ac:dyDescent="0.3">
      <c r="A1022">
        <v>2.0419999999999998</v>
      </c>
      <c r="B1022" s="4"/>
      <c r="C1022">
        <v>-32.553780021398197</v>
      </c>
      <c r="D1022">
        <v>1.95</v>
      </c>
      <c r="E1022">
        <f t="shared" si="247"/>
        <v>153.31520694322603</v>
      </c>
      <c r="F1022">
        <f t="shared" si="235"/>
        <v>1.8121393768236328E-2</v>
      </c>
      <c r="G1022">
        <f t="shared" si="236"/>
        <v>5.6045547736813389E-2</v>
      </c>
      <c r="H1022">
        <f t="shared" si="237"/>
        <v>56.054276931015615</v>
      </c>
      <c r="I1022">
        <f t="shared" si="238"/>
        <v>1.0284792741109061</v>
      </c>
      <c r="J1022">
        <f t="shared" si="239"/>
        <v>1.1104553045490984</v>
      </c>
      <c r="K1022">
        <f t="shared" si="240"/>
        <v>0.55812820690836784</v>
      </c>
      <c r="L1022">
        <f t="shared" si="241"/>
        <v>1.2496305419003348</v>
      </c>
      <c r="M1022">
        <f t="shared" si="242"/>
        <v>0.99879487509731757</v>
      </c>
      <c r="N1022">
        <f t="shared" si="243"/>
        <v>1.0053569630505086</v>
      </c>
      <c r="O1022">
        <v>5.0428335585847323E-3</v>
      </c>
      <c r="P1022">
        <v>5.6854569766362825E-3</v>
      </c>
      <c r="Q1022">
        <f t="shared" si="244"/>
        <v>4102.9304950939377</v>
      </c>
      <c r="R1022">
        <f t="shared" si="245"/>
        <v>4.102930495093938</v>
      </c>
    </row>
    <row r="1023" spans="1:18" x14ac:dyDescent="0.3">
      <c r="A1023">
        <v>2.044</v>
      </c>
      <c r="B1023" s="4"/>
      <c r="C1023">
        <v>-32.553780021398197</v>
      </c>
      <c r="D1023">
        <v>1.95</v>
      </c>
      <c r="E1023">
        <f t="shared" si="247"/>
        <v>153.31520694322603</v>
      </c>
      <c r="F1023">
        <f t="shared" si="235"/>
        <v>1.8121393768236328E-2</v>
      </c>
      <c r="G1023">
        <f t="shared" si="236"/>
        <v>5.6045547736813389E-2</v>
      </c>
      <c r="H1023">
        <f t="shared" si="237"/>
        <v>56.054276931015615</v>
      </c>
      <c r="I1023">
        <f t="shared" si="238"/>
        <v>1.0284792741109061</v>
      </c>
      <c r="J1023">
        <f t="shared" si="239"/>
        <v>1.1104553045490984</v>
      </c>
      <c r="K1023">
        <f t="shared" si="240"/>
        <v>0.55812820690836784</v>
      </c>
      <c r="L1023">
        <f t="shared" si="241"/>
        <v>1.2496305419003348</v>
      </c>
      <c r="M1023">
        <f t="shared" si="242"/>
        <v>0.99764044316897305</v>
      </c>
      <c r="N1023">
        <f t="shared" si="243"/>
        <v>1.0085609176178967</v>
      </c>
      <c r="O1023">
        <v>5.2165284273820054E-3</v>
      </c>
      <c r="P1023">
        <v>5.5305989827073481E-3</v>
      </c>
      <c r="Q1023">
        <f t="shared" si="244"/>
        <v>4102.9304950939377</v>
      </c>
      <c r="R1023">
        <f t="shared" si="245"/>
        <v>4.102930495093938</v>
      </c>
    </row>
    <row r="1024" spans="1:18" x14ac:dyDescent="0.3">
      <c r="A1024">
        <v>2.0459999999999998</v>
      </c>
      <c r="B1024" s="4"/>
      <c r="C1024">
        <v>-32.553780021398197</v>
      </c>
      <c r="D1024">
        <v>1.95</v>
      </c>
      <c r="E1024">
        <f t="shared" si="247"/>
        <v>153.31520694322603</v>
      </c>
      <c r="F1024">
        <f t="shared" si="235"/>
        <v>1.8121393768236328E-2</v>
      </c>
      <c r="G1024">
        <f t="shared" si="236"/>
        <v>5.6045547736813389E-2</v>
      </c>
      <c r="H1024">
        <f t="shared" si="237"/>
        <v>56.054276931015615</v>
      </c>
      <c r="I1024">
        <f t="shared" si="238"/>
        <v>1.0284792741109061</v>
      </c>
      <c r="J1024">
        <f t="shared" si="239"/>
        <v>1.1104553045490984</v>
      </c>
      <c r="K1024">
        <f t="shared" si="240"/>
        <v>0.55812820690836784</v>
      </c>
      <c r="L1024">
        <f t="shared" si="241"/>
        <v>1.2496305419003348</v>
      </c>
      <c r="M1024">
        <f t="shared" si="242"/>
        <v>1.0029061268617885</v>
      </c>
      <c r="N1024">
        <f t="shared" si="243"/>
        <v>0.99812830329018998</v>
      </c>
      <c r="O1024">
        <v>5.4040195470804516E-3</v>
      </c>
      <c r="P1024">
        <v>5.3332528918965845E-3</v>
      </c>
      <c r="Q1024">
        <f t="shared" si="244"/>
        <v>4102.9304950939377</v>
      </c>
      <c r="R1024">
        <f t="shared" si="245"/>
        <v>4.102930495093938</v>
      </c>
    </row>
    <row r="1025" spans="1:18" x14ac:dyDescent="0.3">
      <c r="A1025">
        <v>2.048</v>
      </c>
      <c r="B1025" s="4"/>
      <c r="C1025">
        <v>-32.553780021398197</v>
      </c>
      <c r="D1025">
        <v>1.95</v>
      </c>
      <c r="E1025">
        <f t="shared" si="247"/>
        <v>153.31520694322603</v>
      </c>
      <c r="F1025">
        <f t="shared" si="235"/>
        <v>1.8121393768236328E-2</v>
      </c>
      <c r="G1025">
        <f t="shared" si="236"/>
        <v>5.6045547736813389E-2</v>
      </c>
      <c r="H1025">
        <f t="shared" si="237"/>
        <v>56.054276931015615</v>
      </c>
      <c r="I1025">
        <f t="shared" si="238"/>
        <v>1.0284792741109061</v>
      </c>
      <c r="J1025">
        <f t="shared" si="239"/>
        <v>1.1104553045490984</v>
      </c>
      <c r="K1025">
        <f t="shared" si="240"/>
        <v>0.55812820690836784</v>
      </c>
      <c r="L1025">
        <f t="shared" si="241"/>
        <v>1.2496305419003348</v>
      </c>
      <c r="M1025">
        <f t="shared" si="242"/>
        <v>0.99975478230353965</v>
      </c>
      <c r="N1025">
        <f t="shared" si="243"/>
        <v>0.99916891468490998</v>
      </c>
      <c r="O1025">
        <v>5.5635946334806081E-3</v>
      </c>
      <c r="P1025">
        <v>5.1613600264919261E-3</v>
      </c>
      <c r="Q1025">
        <f t="shared" si="244"/>
        <v>4102.9304950939377</v>
      </c>
      <c r="R1025">
        <f t="shared" si="245"/>
        <v>4.102930495093938</v>
      </c>
    </row>
    <row r="1026" spans="1:18" x14ac:dyDescent="0.3">
      <c r="A1026">
        <v>2.0499999999999998</v>
      </c>
      <c r="B1026" s="4"/>
      <c r="C1026">
        <v>-32.553780021398197</v>
      </c>
      <c r="D1026">
        <v>1.95</v>
      </c>
      <c r="E1026">
        <f t="shared" si="247"/>
        <v>153.31520694322603</v>
      </c>
      <c r="F1026">
        <f t="shared" si="235"/>
        <v>1.8121393768236328E-2</v>
      </c>
      <c r="G1026">
        <f t="shared" si="236"/>
        <v>5.6045547736813389E-2</v>
      </c>
      <c r="H1026">
        <f t="shared" si="237"/>
        <v>56.054276931015615</v>
      </c>
      <c r="I1026">
        <f t="shared" si="238"/>
        <v>1.0284792741109061</v>
      </c>
      <c r="J1026">
        <f t="shared" si="239"/>
        <v>1.1104553045490984</v>
      </c>
      <c r="K1026">
        <f t="shared" si="240"/>
        <v>0.55812820690836784</v>
      </c>
      <c r="L1026">
        <f t="shared" si="241"/>
        <v>1.2496305419003348</v>
      </c>
      <c r="M1026">
        <f t="shared" si="242"/>
        <v>0.99923551193109073</v>
      </c>
      <c r="N1026">
        <f t="shared" si="243"/>
        <v>1.0084222104090894</v>
      </c>
      <c r="O1026">
        <v>5.7234325768662272E-3</v>
      </c>
      <c r="P1026">
        <v>5.0103389472620843E-3</v>
      </c>
      <c r="Q1026">
        <f t="shared" si="244"/>
        <v>4102.9304950939377</v>
      </c>
      <c r="R1026">
        <f t="shared" si="245"/>
        <v>4.102930495093938</v>
      </c>
    </row>
    <row r="1027" spans="1:18" x14ac:dyDescent="0.3">
      <c r="A1027">
        <v>2.052</v>
      </c>
      <c r="B1027" s="4"/>
      <c r="C1027">
        <v>-32.553780021398197</v>
      </c>
      <c r="D1027">
        <v>1.95</v>
      </c>
      <c r="E1027">
        <f t="shared" si="247"/>
        <v>153.31520694322603</v>
      </c>
      <c r="F1027">
        <f t="shared" ref="F1027:F1090" si="248">0.0462806*SQRT(E1027/1000)</f>
        <v>1.8121393768236328E-2</v>
      </c>
      <c r="G1027">
        <f t="shared" ref="G1027:G1090" si="249">$U$3*F1027/2</f>
        <v>5.6045547736813389E-2</v>
      </c>
      <c r="H1027">
        <f t="shared" ref="H1027:H1090" si="250">PI()/G1027</f>
        <v>56.054276931015615</v>
      </c>
      <c r="I1027">
        <f t="shared" ref="I1027:I1090" si="251">BESSELI(H1027*$Y$5,0)</f>
        <v>1.0284792741109061</v>
      </c>
      <c r="J1027">
        <f t="shared" ref="J1027:J1090" si="252">BESSELI(H1027*D1027*$Y$5,0)</f>
        <v>1.1104553045490984</v>
      </c>
      <c r="K1027">
        <f t="shared" ref="K1027:K1090" si="253">(D1027^2-1)/(D1027^2*I1027+J1027)</f>
        <v>0.55812820690836784</v>
      </c>
      <c r="L1027">
        <f t="shared" ref="L1027:L1090" si="254">I1027+J1027/(D1027^2*I1027+J1027)</f>
        <v>1.2496305419003348</v>
      </c>
      <c r="M1027">
        <f t="shared" ref="M1027:M1090" si="255">((L1027*O1027^2)/$Y$5^2)+(K1027*BESSELI(O1027*H1027,0)*COS(H1027*A1027))</f>
        <v>0.99837385743494833</v>
      </c>
      <c r="N1027">
        <f t="shared" ref="N1027:N1090" si="256">((L1027*P1027^2)/$Y$5^2)-(K1027*BESSELI(P1027*H1027,0)*COS(H1027*A1027))</f>
        <v>1.0024755615077867</v>
      </c>
      <c r="O1027">
        <v>5.8742509897192017E-3</v>
      </c>
      <c r="P1027">
        <v>4.8150782510562925E-3</v>
      </c>
      <c r="Q1027">
        <f t="shared" ref="Q1027:Q1090" si="257">PI()*K1027*$U$4*J1027*COS(C1027*$Y$7)/(4*$Y$6)</f>
        <v>4102.9304950939377</v>
      </c>
      <c r="R1027">
        <f t="shared" ref="R1027:R1090" si="258">Q1027/1000</f>
        <v>4.102930495093938</v>
      </c>
    </row>
    <row r="1028" spans="1:18" x14ac:dyDescent="0.3">
      <c r="A1028">
        <v>2.0539999999999998</v>
      </c>
      <c r="B1028" s="4"/>
      <c r="C1028">
        <v>-32.553780021398197</v>
      </c>
      <c r="D1028">
        <v>1.95</v>
      </c>
      <c r="E1028">
        <f t="shared" si="247"/>
        <v>153.31520694322603</v>
      </c>
      <c r="F1028">
        <f t="shared" si="248"/>
        <v>1.8121393768236328E-2</v>
      </c>
      <c r="G1028">
        <f t="shared" si="249"/>
        <v>5.6045547736813389E-2</v>
      </c>
      <c r="H1028">
        <f t="shared" si="250"/>
        <v>56.054276931015615</v>
      </c>
      <c r="I1028">
        <f t="shared" si="251"/>
        <v>1.0284792741109061</v>
      </c>
      <c r="J1028">
        <f t="shared" si="252"/>
        <v>1.1104553045490984</v>
      </c>
      <c r="K1028">
        <f t="shared" si="253"/>
        <v>0.55812820690836784</v>
      </c>
      <c r="L1028">
        <f t="shared" si="254"/>
        <v>1.2496305419003348</v>
      </c>
      <c r="M1028">
        <f t="shared" si="255"/>
        <v>0.99716127677256527</v>
      </c>
      <c r="N1028">
        <f t="shared" si="256"/>
        <v>1.0057189235335475</v>
      </c>
      <c r="O1028">
        <v>6.0148134253277859E-3</v>
      </c>
      <c r="P1028">
        <v>4.648213283382812E-3</v>
      </c>
      <c r="Q1028">
        <f t="shared" si="257"/>
        <v>4102.9304950939377</v>
      </c>
      <c r="R1028">
        <f t="shared" si="258"/>
        <v>4.102930495093938</v>
      </c>
    </row>
    <row r="1029" spans="1:18" x14ac:dyDescent="0.3">
      <c r="A1029">
        <v>2.056</v>
      </c>
      <c r="B1029" s="4"/>
      <c r="C1029">
        <v>-32.553780021398197</v>
      </c>
      <c r="D1029">
        <v>1.95</v>
      </c>
      <c r="E1029">
        <f t="shared" si="247"/>
        <v>153.31520694322603</v>
      </c>
      <c r="F1029">
        <f t="shared" si="248"/>
        <v>1.8121393768236328E-2</v>
      </c>
      <c r="G1029">
        <f t="shared" si="249"/>
        <v>5.6045547736813389E-2</v>
      </c>
      <c r="H1029">
        <f t="shared" si="250"/>
        <v>56.054276931015615</v>
      </c>
      <c r="I1029">
        <f t="shared" si="251"/>
        <v>1.0284792741109061</v>
      </c>
      <c r="J1029">
        <f t="shared" si="252"/>
        <v>1.1104553045490984</v>
      </c>
      <c r="K1029">
        <f t="shared" si="253"/>
        <v>0.55812820690836784</v>
      </c>
      <c r="L1029">
        <f t="shared" si="254"/>
        <v>1.2496305419003348</v>
      </c>
      <c r="M1029">
        <f t="shared" si="255"/>
        <v>0.99562612189068622</v>
      </c>
      <c r="N1029">
        <f t="shared" si="256"/>
        <v>1.001669759951695</v>
      </c>
      <c r="O1029">
        <v>6.1440929220197872E-3</v>
      </c>
      <c r="P1029">
        <v>4.4625110945134385E-3</v>
      </c>
      <c r="Q1029">
        <f t="shared" si="257"/>
        <v>4102.9304950939377</v>
      </c>
      <c r="R1029">
        <f t="shared" si="258"/>
        <v>4.102930495093938</v>
      </c>
    </row>
    <row r="1030" spans="1:18" x14ac:dyDescent="0.3">
      <c r="A1030">
        <v>2.0579999999999998</v>
      </c>
      <c r="B1030" s="4"/>
      <c r="C1030">
        <v>-32.553780021398197</v>
      </c>
      <c r="D1030">
        <v>1.95</v>
      </c>
      <c r="E1030">
        <f t="shared" si="247"/>
        <v>153.31520694322603</v>
      </c>
      <c r="F1030">
        <f t="shared" si="248"/>
        <v>1.8121393768236328E-2</v>
      </c>
      <c r="G1030">
        <f t="shared" si="249"/>
        <v>5.6045547736813389E-2</v>
      </c>
      <c r="H1030">
        <f t="shared" si="250"/>
        <v>56.054276931015615</v>
      </c>
      <c r="I1030">
        <f t="shared" si="251"/>
        <v>1.0284792741109061</v>
      </c>
      <c r="J1030">
        <f t="shared" si="252"/>
        <v>1.1104553045490984</v>
      </c>
      <c r="K1030">
        <f t="shared" si="253"/>
        <v>0.55812820690836784</v>
      </c>
      <c r="L1030">
        <f t="shared" si="254"/>
        <v>1.2496305419003348</v>
      </c>
      <c r="M1030">
        <f t="shared" si="255"/>
        <v>0.99383032046460085</v>
      </c>
      <c r="N1030">
        <f t="shared" si="256"/>
        <v>0.99218367064763968</v>
      </c>
      <c r="O1030">
        <v>6.2612485526626323E-3</v>
      </c>
      <c r="P1030">
        <v>4.2640495973545207E-3</v>
      </c>
      <c r="Q1030">
        <f t="shared" si="257"/>
        <v>4102.9304950939377</v>
      </c>
      <c r="R1030">
        <f t="shared" si="258"/>
        <v>4.102930495093938</v>
      </c>
    </row>
    <row r="1031" spans="1:18" x14ac:dyDescent="0.3">
      <c r="A1031">
        <v>2.06</v>
      </c>
      <c r="B1031" s="4"/>
      <c r="C1031">
        <v>-32.553780021398197</v>
      </c>
      <c r="D1031">
        <v>1.95</v>
      </c>
      <c r="E1031">
        <f t="shared" si="247"/>
        <v>153.31520694322603</v>
      </c>
      <c r="F1031">
        <f t="shared" si="248"/>
        <v>1.8121393768236328E-2</v>
      </c>
      <c r="G1031">
        <f t="shared" si="249"/>
        <v>5.6045547736813389E-2</v>
      </c>
      <c r="H1031">
        <f t="shared" si="250"/>
        <v>56.054276931015615</v>
      </c>
      <c r="I1031">
        <f t="shared" si="251"/>
        <v>1.0284792741109061</v>
      </c>
      <c r="J1031">
        <f t="shared" si="252"/>
        <v>1.1104553045490984</v>
      </c>
      <c r="K1031">
        <f t="shared" si="253"/>
        <v>0.55812820690836784</v>
      </c>
      <c r="L1031">
        <f t="shared" si="254"/>
        <v>1.2496305419003348</v>
      </c>
      <c r="M1031">
        <f t="shared" si="255"/>
        <v>0.99186329820676922</v>
      </c>
      <c r="N1031">
        <f t="shared" si="256"/>
        <v>1.0001451904023231</v>
      </c>
      <c r="O1031">
        <v>6.3656015355270292E-3</v>
      </c>
      <c r="P1031">
        <v>4.1329736538138172E-3</v>
      </c>
      <c r="Q1031">
        <f t="shared" si="257"/>
        <v>4102.9304950939377</v>
      </c>
      <c r="R1031">
        <f t="shared" si="258"/>
        <v>4.102930495093938</v>
      </c>
    </row>
    <row r="1032" spans="1:18" x14ac:dyDescent="0.3">
      <c r="A1032">
        <v>2.0619999999999998</v>
      </c>
      <c r="B1032" s="4"/>
      <c r="C1032">
        <v>-32.553780021398197</v>
      </c>
      <c r="D1032">
        <v>1.95</v>
      </c>
      <c r="E1032">
        <f t="shared" si="247"/>
        <v>153.31520694322603</v>
      </c>
      <c r="F1032">
        <f t="shared" si="248"/>
        <v>1.8121393768236328E-2</v>
      </c>
      <c r="G1032">
        <f t="shared" si="249"/>
        <v>5.6045547736813389E-2</v>
      </c>
      <c r="H1032">
        <f t="shared" si="250"/>
        <v>56.054276931015615</v>
      </c>
      <c r="I1032">
        <f t="shared" si="251"/>
        <v>1.0284792741109061</v>
      </c>
      <c r="J1032">
        <f t="shared" si="252"/>
        <v>1.1104553045490984</v>
      </c>
      <c r="K1032">
        <f t="shared" si="253"/>
        <v>0.55812820690836784</v>
      </c>
      <c r="L1032">
        <f t="shared" si="254"/>
        <v>1.2496305419003348</v>
      </c>
      <c r="M1032">
        <f t="shared" si="255"/>
        <v>0.99981794358275722</v>
      </c>
      <c r="N1032">
        <f t="shared" si="256"/>
        <v>1.0015039805991683</v>
      </c>
      <c r="O1032">
        <v>6.4790758238850452E-3</v>
      </c>
      <c r="P1032">
        <v>3.9925520563359029E-3</v>
      </c>
      <c r="Q1032">
        <f t="shared" si="257"/>
        <v>4102.9304950939377</v>
      </c>
      <c r="R1032">
        <f t="shared" si="258"/>
        <v>4.102930495093938</v>
      </c>
    </row>
    <row r="1033" spans="1:18" x14ac:dyDescent="0.3">
      <c r="A1033">
        <v>2.0640000000000001</v>
      </c>
      <c r="B1033" s="4"/>
      <c r="C1033">
        <v>-32.553780021398197</v>
      </c>
      <c r="D1033">
        <v>1.95</v>
      </c>
      <c r="E1033">
        <f t="shared" si="247"/>
        <v>153.31520694322603</v>
      </c>
      <c r="F1033">
        <f t="shared" si="248"/>
        <v>1.8121393768236328E-2</v>
      </c>
      <c r="G1033">
        <f t="shared" si="249"/>
        <v>5.6045547736813389E-2</v>
      </c>
      <c r="H1033">
        <f t="shared" si="250"/>
        <v>56.054276931015615</v>
      </c>
      <c r="I1033">
        <f t="shared" si="251"/>
        <v>1.0284792741109061</v>
      </c>
      <c r="J1033">
        <f t="shared" si="252"/>
        <v>1.1104553045490984</v>
      </c>
      <c r="K1033">
        <f t="shared" si="253"/>
        <v>0.55812820690836784</v>
      </c>
      <c r="L1033">
        <f t="shared" si="254"/>
        <v>1.2496305419003348</v>
      </c>
      <c r="M1033">
        <f t="shared" si="255"/>
        <v>0.99976122131624723</v>
      </c>
      <c r="N1033">
        <f t="shared" si="256"/>
        <v>1.0037891665616214</v>
      </c>
      <c r="O1033">
        <v>6.5603302902735791E-3</v>
      </c>
      <c r="P1033">
        <v>3.8714575904719708E-3</v>
      </c>
      <c r="Q1033">
        <f t="shared" si="257"/>
        <v>4102.9304950939377</v>
      </c>
      <c r="R1033">
        <f t="shared" si="258"/>
        <v>4.102930495093938</v>
      </c>
    </row>
    <row r="1034" spans="1:18" x14ac:dyDescent="0.3">
      <c r="A1034">
        <v>2.0659999999999998</v>
      </c>
      <c r="B1034" s="4"/>
      <c r="C1034">
        <v>-32.553780021398197</v>
      </c>
      <c r="D1034">
        <v>1.95</v>
      </c>
      <c r="E1034">
        <f t="shared" si="247"/>
        <v>153.31520694322603</v>
      </c>
      <c r="F1034">
        <f t="shared" si="248"/>
        <v>1.8121393768236328E-2</v>
      </c>
      <c r="G1034">
        <f t="shared" si="249"/>
        <v>5.6045547736813389E-2</v>
      </c>
      <c r="H1034">
        <f t="shared" si="250"/>
        <v>56.054276931015615</v>
      </c>
      <c r="I1034">
        <f t="shared" si="251"/>
        <v>1.0284792741109061</v>
      </c>
      <c r="J1034">
        <f t="shared" si="252"/>
        <v>1.1104553045490984</v>
      </c>
      <c r="K1034">
        <f t="shared" si="253"/>
        <v>0.55812820690836784</v>
      </c>
      <c r="L1034">
        <f t="shared" si="254"/>
        <v>1.2496305419003348</v>
      </c>
      <c r="M1034">
        <f t="shared" si="255"/>
        <v>0.99970517307972984</v>
      </c>
      <c r="N1034">
        <f t="shared" si="256"/>
        <v>1.0064657993395163</v>
      </c>
      <c r="O1034">
        <v>6.627081485779493E-3</v>
      </c>
      <c r="P1034">
        <v>3.7711158653886273E-3</v>
      </c>
      <c r="Q1034">
        <f t="shared" si="257"/>
        <v>4102.9304950939377</v>
      </c>
      <c r="R1034">
        <f t="shared" si="258"/>
        <v>4.102930495093938</v>
      </c>
    </row>
    <row r="1035" spans="1:18" x14ac:dyDescent="0.3">
      <c r="A1035">
        <v>2.0680000000000001</v>
      </c>
      <c r="B1035" s="4"/>
      <c r="C1035">
        <v>-32.553780021398197</v>
      </c>
      <c r="D1035">
        <v>1.95</v>
      </c>
      <c r="E1035">
        <f t="shared" si="247"/>
        <v>153.31520694322603</v>
      </c>
      <c r="F1035">
        <f t="shared" si="248"/>
        <v>1.8121393768236328E-2</v>
      </c>
      <c r="G1035">
        <f t="shared" si="249"/>
        <v>5.6045547736813389E-2</v>
      </c>
      <c r="H1035">
        <f t="shared" si="250"/>
        <v>56.054276931015615</v>
      </c>
      <c r="I1035">
        <f t="shared" si="251"/>
        <v>1.0284792741109061</v>
      </c>
      <c r="J1035">
        <f t="shared" si="252"/>
        <v>1.1104553045490984</v>
      </c>
      <c r="K1035">
        <f t="shared" si="253"/>
        <v>0.55812820690836784</v>
      </c>
      <c r="L1035">
        <f t="shared" si="254"/>
        <v>1.2496305419003348</v>
      </c>
      <c r="M1035">
        <f t="shared" si="255"/>
        <v>0.9997580969156703</v>
      </c>
      <c r="N1035">
        <f t="shared" si="256"/>
        <v>1.0016881425044548</v>
      </c>
      <c r="O1035">
        <v>6.6791151498144562E-3</v>
      </c>
      <c r="P1035">
        <v>3.6642089900996463E-3</v>
      </c>
      <c r="Q1035">
        <f t="shared" si="257"/>
        <v>4102.9304950939377</v>
      </c>
      <c r="R1035">
        <f t="shared" si="258"/>
        <v>4.102930495093938</v>
      </c>
    </row>
    <row r="1036" spans="1:18" x14ac:dyDescent="0.3">
      <c r="A1036">
        <v>2.0699999999999998</v>
      </c>
      <c r="B1036" s="4"/>
      <c r="C1036">
        <v>-32.553780021398197</v>
      </c>
      <c r="D1036">
        <v>1.95</v>
      </c>
      <c r="E1036">
        <f t="shared" si="247"/>
        <v>153.31520694322603</v>
      </c>
      <c r="F1036">
        <f t="shared" si="248"/>
        <v>1.8121393768236328E-2</v>
      </c>
      <c r="G1036">
        <f t="shared" si="249"/>
        <v>5.6045547736813389E-2</v>
      </c>
      <c r="H1036">
        <f t="shared" si="250"/>
        <v>56.054276931015615</v>
      </c>
      <c r="I1036">
        <f t="shared" si="251"/>
        <v>1.0284792741109061</v>
      </c>
      <c r="J1036">
        <f t="shared" si="252"/>
        <v>1.1104553045490984</v>
      </c>
      <c r="K1036">
        <f t="shared" si="253"/>
        <v>0.55812820690836784</v>
      </c>
      <c r="L1036">
        <f t="shared" si="254"/>
        <v>1.2496305419003348</v>
      </c>
      <c r="M1036">
        <f t="shared" si="255"/>
        <v>0.99981780597471226</v>
      </c>
      <c r="N1036">
        <f t="shared" si="256"/>
        <v>1.0030686798739508</v>
      </c>
      <c r="O1036">
        <v>6.715859368111708E-3</v>
      </c>
      <c r="P1036">
        <v>3.6053883722596807E-3</v>
      </c>
      <c r="Q1036">
        <f t="shared" si="257"/>
        <v>4102.9304950939377</v>
      </c>
      <c r="R1036">
        <f t="shared" si="258"/>
        <v>4.102930495093938</v>
      </c>
    </row>
    <row r="1037" spans="1:18" x14ac:dyDescent="0.3">
      <c r="A1037">
        <v>2.0720000000000001</v>
      </c>
      <c r="B1037" s="4"/>
      <c r="C1037">
        <v>-32.553780021398197</v>
      </c>
      <c r="D1037">
        <v>1.95</v>
      </c>
      <c r="E1037">
        <f t="shared" si="247"/>
        <v>153.31520694322603</v>
      </c>
      <c r="F1037">
        <f t="shared" si="248"/>
        <v>1.8121393768236328E-2</v>
      </c>
      <c r="G1037">
        <f t="shared" si="249"/>
        <v>5.6045547736813389E-2</v>
      </c>
      <c r="H1037">
        <f t="shared" si="250"/>
        <v>56.054276931015615</v>
      </c>
      <c r="I1037">
        <f t="shared" si="251"/>
        <v>1.0284792741109061</v>
      </c>
      <c r="J1037">
        <f t="shared" si="252"/>
        <v>1.1104553045490984</v>
      </c>
      <c r="K1037">
        <f t="shared" si="253"/>
        <v>0.55812820690836784</v>
      </c>
      <c r="L1037">
        <f t="shared" si="254"/>
        <v>1.2496305419003348</v>
      </c>
      <c r="M1037">
        <f t="shared" si="255"/>
        <v>0.99984907780655807</v>
      </c>
      <c r="N1037">
        <f t="shared" si="256"/>
        <v>1.0039768053463285</v>
      </c>
      <c r="O1037">
        <v>6.7369966613977286E-3</v>
      </c>
      <c r="P1037">
        <v>3.5714340296340817E-3</v>
      </c>
      <c r="Q1037">
        <f t="shared" si="257"/>
        <v>4102.9304950939377</v>
      </c>
      <c r="R1037">
        <f t="shared" si="258"/>
        <v>4.102930495093938</v>
      </c>
    </row>
    <row r="1038" spans="1:18" x14ac:dyDescent="0.3">
      <c r="A1038">
        <v>2.0739999999999998</v>
      </c>
      <c r="B1038" s="4"/>
      <c r="C1038">
        <v>-32.553780021398197</v>
      </c>
      <c r="D1038">
        <v>1.95</v>
      </c>
      <c r="E1038">
        <f t="shared" si="247"/>
        <v>153.31520694322603</v>
      </c>
      <c r="F1038">
        <f t="shared" si="248"/>
        <v>1.8121393768236328E-2</v>
      </c>
      <c r="G1038">
        <f t="shared" si="249"/>
        <v>5.6045547736813389E-2</v>
      </c>
      <c r="H1038">
        <f t="shared" si="250"/>
        <v>56.054276931015615</v>
      </c>
      <c r="I1038">
        <f t="shared" si="251"/>
        <v>1.0284792741109061</v>
      </c>
      <c r="J1038">
        <f t="shared" si="252"/>
        <v>1.1104553045490984</v>
      </c>
      <c r="K1038">
        <f t="shared" si="253"/>
        <v>0.55812820690836784</v>
      </c>
      <c r="L1038">
        <f t="shared" si="254"/>
        <v>1.2496305419003348</v>
      </c>
      <c r="M1038">
        <f t="shared" si="255"/>
        <v>0.99985668449350984</v>
      </c>
      <c r="N1038">
        <f t="shared" si="256"/>
        <v>1.0042224096791612</v>
      </c>
      <c r="O1038">
        <v>6.7423998432326387E-3</v>
      </c>
      <c r="P1038">
        <v>3.5627406900079019E-3</v>
      </c>
      <c r="Q1038">
        <f t="shared" si="257"/>
        <v>4102.9304950939377</v>
      </c>
      <c r="R1038">
        <f t="shared" si="258"/>
        <v>4.102930495093938</v>
      </c>
    </row>
    <row r="1039" spans="1:18" x14ac:dyDescent="0.3">
      <c r="A1039">
        <v>2.0760000000000001</v>
      </c>
      <c r="B1039" s="4"/>
      <c r="C1039">
        <v>-32.553780021398197</v>
      </c>
      <c r="D1039">
        <v>1.95</v>
      </c>
      <c r="E1039">
        <f t="shared" si="247"/>
        <v>153.31520694322603</v>
      </c>
      <c r="F1039">
        <f t="shared" si="248"/>
        <v>1.8121393768236328E-2</v>
      </c>
      <c r="G1039">
        <f t="shared" si="249"/>
        <v>5.6045547736813389E-2</v>
      </c>
      <c r="H1039">
        <f t="shared" si="250"/>
        <v>56.054276931015615</v>
      </c>
      <c r="I1039">
        <f t="shared" si="251"/>
        <v>1.0284792741109061</v>
      </c>
      <c r="J1039">
        <f t="shared" si="252"/>
        <v>1.1104553045490984</v>
      </c>
      <c r="K1039">
        <f t="shared" si="253"/>
        <v>0.55812820690836784</v>
      </c>
      <c r="L1039">
        <f t="shared" si="254"/>
        <v>1.2496305419003348</v>
      </c>
      <c r="M1039">
        <f t="shared" si="255"/>
        <v>0.99984195386286623</v>
      </c>
      <c r="N1039">
        <f t="shared" si="256"/>
        <v>1.0037561837556173</v>
      </c>
      <c r="O1039">
        <v>6.7320366793812078E-3</v>
      </c>
      <c r="P1039">
        <v>3.5794093324501013E-3</v>
      </c>
      <c r="Q1039">
        <f t="shared" si="257"/>
        <v>4102.9304950939377</v>
      </c>
      <c r="R1039">
        <f t="shared" si="258"/>
        <v>4.102930495093938</v>
      </c>
    </row>
    <row r="1040" spans="1:18" x14ac:dyDescent="0.3">
      <c r="A1040">
        <v>2.0779999999999998</v>
      </c>
      <c r="B1040" s="4"/>
      <c r="C1040">
        <v>-32.553780021398197</v>
      </c>
      <c r="D1040">
        <v>1.95</v>
      </c>
      <c r="E1040">
        <f t="shared" si="247"/>
        <v>153.31520694322603</v>
      </c>
      <c r="F1040">
        <f t="shared" si="248"/>
        <v>1.8121393768236328E-2</v>
      </c>
      <c r="G1040">
        <f t="shared" si="249"/>
        <v>5.6045547736813389E-2</v>
      </c>
      <c r="H1040">
        <f t="shared" si="250"/>
        <v>56.054276931015615</v>
      </c>
      <c r="I1040">
        <f t="shared" si="251"/>
        <v>1.0284792741109061</v>
      </c>
      <c r="J1040">
        <f t="shared" si="252"/>
        <v>1.1104553045490984</v>
      </c>
      <c r="K1040">
        <f t="shared" si="253"/>
        <v>0.55812820690836784</v>
      </c>
      <c r="L1040">
        <f t="shared" si="254"/>
        <v>1.2496305419003348</v>
      </c>
      <c r="M1040">
        <f t="shared" si="255"/>
        <v>0.9998023780680908</v>
      </c>
      <c r="N1040">
        <f t="shared" si="256"/>
        <v>1.0026724452439919</v>
      </c>
      <c r="O1040">
        <v>6.7059690936803742E-3</v>
      </c>
      <c r="P1040">
        <v>3.6212463094830133E-3</v>
      </c>
      <c r="Q1040">
        <f t="shared" si="257"/>
        <v>4102.9304950939377</v>
      </c>
      <c r="R1040">
        <f t="shared" si="258"/>
        <v>4.102930495093938</v>
      </c>
    </row>
    <row r="1041" spans="1:18" x14ac:dyDescent="0.3">
      <c r="A1041">
        <v>2.08</v>
      </c>
      <c r="B1041" s="4"/>
      <c r="C1041">
        <v>-32.553780021398197</v>
      </c>
      <c r="D1041">
        <v>1.95</v>
      </c>
      <c r="E1041">
        <f t="shared" si="247"/>
        <v>153.31520694322603</v>
      </c>
      <c r="F1041">
        <f t="shared" si="248"/>
        <v>1.8121393768236328E-2</v>
      </c>
      <c r="G1041">
        <f t="shared" si="249"/>
        <v>5.6045547736813389E-2</v>
      </c>
      <c r="H1041">
        <f t="shared" si="250"/>
        <v>56.054276931015615</v>
      </c>
      <c r="I1041">
        <f t="shared" si="251"/>
        <v>1.0284792741109061</v>
      </c>
      <c r="J1041">
        <f t="shared" si="252"/>
        <v>1.1104553045490984</v>
      </c>
      <c r="K1041">
        <f t="shared" si="253"/>
        <v>0.55812820690836784</v>
      </c>
      <c r="L1041">
        <f t="shared" si="254"/>
        <v>1.2496305419003348</v>
      </c>
      <c r="M1041">
        <f t="shared" si="255"/>
        <v>0.99973236064529114</v>
      </c>
      <c r="N1041">
        <f t="shared" si="256"/>
        <v>1.0012037290037152</v>
      </c>
      <c r="O1041">
        <v>6.6643546894590401E-3</v>
      </c>
      <c r="P1041">
        <v>3.6877650319210864E-3</v>
      </c>
      <c r="Q1041">
        <f t="shared" si="257"/>
        <v>4102.9304950939377</v>
      </c>
      <c r="R1041">
        <f t="shared" si="258"/>
        <v>4.102930495093938</v>
      </c>
    </row>
    <row r="1042" spans="1:18" x14ac:dyDescent="0.3">
      <c r="A1042">
        <v>2.0819999999999999</v>
      </c>
      <c r="B1042" s="4"/>
      <c r="C1042">
        <v>-32.553780021398197</v>
      </c>
      <c r="D1042">
        <v>1.95</v>
      </c>
      <c r="E1042">
        <f t="shared" si="247"/>
        <v>153.31520694322603</v>
      </c>
      <c r="F1042">
        <f t="shared" si="248"/>
        <v>1.8121393768236328E-2</v>
      </c>
      <c r="G1042">
        <f t="shared" si="249"/>
        <v>5.6045547736813389E-2</v>
      </c>
      <c r="H1042">
        <f t="shared" si="250"/>
        <v>56.054276931015615</v>
      </c>
      <c r="I1042">
        <f t="shared" si="251"/>
        <v>1.0284792741109061</v>
      </c>
      <c r="J1042">
        <f t="shared" si="252"/>
        <v>1.1104553045490984</v>
      </c>
      <c r="K1042">
        <f t="shared" si="253"/>
        <v>0.55812820690836784</v>
      </c>
      <c r="L1042">
        <f t="shared" si="254"/>
        <v>1.2496305419003348</v>
      </c>
      <c r="M1042">
        <f t="shared" si="255"/>
        <v>0.99972242224957264</v>
      </c>
      <c r="N1042">
        <f t="shared" si="256"/>
        <v>1.0056117033200667</v>
      </c>
      <c r="O1042">
        <v>6.6076653261599814E-3</v>
      </c>
      <c r="P1042">
        <v>3.8003825176937305E-3</v>
      </c>
      <c r="Q1042">
        <f t="shared" si="257"/>
        <v>4102.9304950939377</v>
      </c>
      <c r="R1042">
        <f t="shared" si="258"/>
        <v>4.102930495093938</v>
      </c>
    </row>
    <row r="1043" spans="1:18" x14ac:dyDescent="0.3">
      <c r="A1043">
        <v>2.0840000000000001</v>
      </c>
      <c r="B1043" s="4">
        <v>74</v>
      </c>
      <c r="C1043">
        <v>-31.986936499952002</v>
      </c>
      <c r="D1043">
        <v>1.95</v>
      </c>
      <c r="E1043">
        <f>$E$1042+$R$1042</f>
        <v>157.41813743831997</v>
      </c>
      <c r="F1043">
        <f t="shared" si="248"/>
        <v>1.8362269850217935E-2</v>
      </c>
      <c r="G1043">
        <f t="shared" si="249"/>
        <v>5.6790525309952378E-2</v>
      </c>
      <c r="H1043">
        <f t="shared" si="250"/>
        <v>55.318957457138332</v>
      </c>
      <c r="I1043">
        <f t="shared" si="251"/>
        <v>1.0277318866336358</v>
      </c>
      <c r="J1043">
        <f t="shared" si="252"/>
        <v>1.107501281714804</v>
      </c>
      <c r="K1043">
        <f t="shared" si="253"/>
        <v>0.55877319184251628</v>
      </c>
      <c r="L1043">
        <f t="shared" si="254"/>
        <v>1.2485497371790271</v>
      </c>
      <c r="M1043">
        <f t="shared" si="255"/>
        <v>0.99501677079198347</v>
      </c>
      <c r="N1043">
        <f t="shared" si="256"/>
        <v>1.0009023384031734</v>
      </c>
      <c r="O1043">
        <v>6.1871580398549708E-3</v>
      </c>
      <c r="P1043">
        <v>4.4050364443663278E-3</v>
      </c>
      <c r="Q1043">
        <f t="shared" si="257"/>
        <v>4122.4179728430909</v>
      </c>
      <c r="R1043">
        <f t="shared" si="258"/>
        <v>4.122417972843091</v>
      </c>
    </row>
    <row r="1044" spans="1:18" x14ac:dyDescent="0.3">
      <c r="A1044">
        <v>2.0859999999999999</v>
      </c>
      <c r="B1044" s="4"/>
      <c r="C1044">
        <v>-31.986936499952002</v>
      </c>
      <c r="D1044">
        <v>1.95</v>
      </c>
      <c r="E1044">
        <f t="shared" ref="E1044:E1070" si="259">$E$1042+$R$1042</f>
        <v>157.41813743831997</v>
      </c>
      <c r="F1044">
        <f t="shared" si="248"/>
        <v>1.8362269850217935E-2</v>
      </c>
      <c r="G1044">
        <f t="shared" si="249"/>
        <v>5.6790525309952378E-2</v>
      </c>
      <c r="H1044">
        <f t="shared" si="250"/>
        <v>55.318957457138332</v>
      </c>
      <c r="I1044">
        <f t="shared" si="251"/>
        <v>1.0277318866336358</v>
      </c>
      <c r="J1044">
        <f t="shared" si="252"/>
        <v>1.107501281714804</v>
      </c>
      <c r="K1044">
        <f t="shared" si="253"/>
        <v>0.55877319184251628</v>
      </c>
      <c r="L1044">
        <f t="shared" si="254"/>
        <v>1.2485497371790271</v>
      </c>
      <c r="M1044">
        <f t="shared" si="255"/>
        <v>0.99316880473534819</v>
      </c>
      <c r="N1044">
        <f t="shared" si="256"/>
        <v>0.99471575510094334</v>
      </c>
      <c r="O1044">
        <v>6.2987889950665565E-3</v>
      </c>
      <c r="P1044">
        <v>4.2218312845094261E-3</v>
      </c>
      <c r="Q1044">
        <f t="shared" si="257"/>
        <v>4122.4179728430909</v>
      </c>
      <c r="R1044">
        <f t="shared" si="258"/>
        <v>4.122417972843091</v>
      </c>
    </row>
    <row r="1045" spans="1:18" x14ac:dyDescent="0.3">
      <c r="A1045">
        <v>2.0880000000000001</v>
      </c>
      <c r="B1045" s="4"/>
      <c r="C1045">
        <v>-31.986936499952002</v>
      </c>
      <c r="D1045">
        <v>1.95</v>
      </c>
      <c r="E1045">
        <f t="shared" si="259"/>
        <v>157.41813743831997</v>
      </c>
      <c r="F1045">
        <f t="shared" si="248"/>
        <v>1.8362269850217935E-2</v>
      </c>
      <c r="G1045">
        <f t="shared" si="249"/>
        <v>5.6790525309952378E-2</v>
      </c>
      <c r="H1045">
        <f t="shared" si="250"/>
        <v>55.318957457138332</v>
      </c>
      <c r="I1045">
        <f t="shared" si="251"/>
        <v>1.0277318866336358</v>
      </c>
      <c r="J1045">
        <f t="shared" si="252"/>
        <v>1.107501281714804</v>
      </c>
      <c r="K1045">
        <f t="shared" si="253"/>
        <v>0.55877319184251628</v>
      </c>
      <c r="L1045">
        <f t="shared" si="254"/>
        <v>1.2485497371790271</v>
      </c>
      <c r="M1045">
        <f t="shared" si="255"/>
        <v>0.99118618461797214</v>
      </c>
      <c r="N1045">
        <f t="shared" si="256"/>
        <v>1.0004232393780816</v>
      </c>
      <c r="O1045">
        <v>6.3977578843168389E-3</v>
      </c>
      <c r="P1045">
        <v>4.0887574903087573E-3</v>
      </c>
      <c r="Q1045">
        <f t="shared" si="257"/>
        <v>4122.4179728430909</v>
      </c>
      <c r="R1045">
        <f t="shared" si="258"/>
        <v>4.122417972843091</v>
      </c>
    </row>
    <row r="1046" spans="1:18" x14ac:dyDescent="0.3">
      <c r="A1046">
        <v>2.09</v>
      </c>
      <c r="B1046" s="4"/>
      <c r="C1046">
        <v>-31.986936499952002</v>
      </c>
      <c r="D1046">
        <v>1.95</v>
      </c>
      <c r="E1046">
        <f t="shared" si="259"/>
        <v>157.41813743831997</v>
      </c>
      <c r="F1046">
        <f t="shared" si="248"/>
        <v>1.8362269850217935E-2</v>
      </c>
      <c r="G1046">
        <f t="shared" si="249"/>
        <v>5.6790525309952378E-2</v>
      </c>
      <c r="H1046">
        <f t="shared" si="250"/>
        <v>55.318957457138332</v>
      </c>
      <c r="I1046">
        <f t="shared" si="251"/>
        <v>1.0277318866336358</v>
      </c>
      <c r="J1046">
        <f t="shared" si="252"/>
        <v>1.107501281714804</v>
      </c>
      <c r="K1046">
        <f t="shared" si="253"/>
        <v>0.55877319184251628</v>
      </c>
      <c r="L1046">
        <f t="shared" si="254"/>
        <v>1.2485497371790271</v>
      </c>
      <c r="M1046">
        <f t="shared" si="255"/>
        <v>0.99979960646125821</v>
      </c>
      <c r="N1046">
        <f t="shared" si="256"/>
        <v>1.0020921645167684</v>
      </c>
      <c r="O1046">
        <v>6.5074025914342607E-3</v>
      </c>
      <c r="P1046">
        <v>3.955446410453263E-3</v>
      </c>
      <c r="Q1046">
        <f t="shared" si="257"/>
        <v>4122.4179728430909</v>
      </c>
      <c r="R1046">
        <f t="shared" si="258"/>
        <v>4.122417972843091</v>
      </c>
    </row>
    <row r="1047" spans="1:18" x14ac:dyDescent="0.3">
      <c r="A1047">
        <v>2.0920000000000001</v>
      </c>
      <c r="B1047" s="4"/>
      <c r="C1047">
        <v>-31.986936499952002</v>
      </c>
      <c r="D1047">
        <v>1.95</v>
      </c>
      <c r="E1047">
        <f t="shared" si="259"/>
        <v>157.41813743831997</v>
      </c>
      <c r="F1047">
        <f t="shared" si="248"/>
        <v>1.8362269850217935E-2</v>
      </c>
      <c r="G1047">
        <f t="shared" si="249"/>
        <v>5.6790525309952378E-2</v>
      </c>
      <c r="H1047">
        <f t="shared" si="250"/>
        <v>55.318957457138332</v>
      </c>
      <c r="I1047">
        <f t="shared" si="251"/>
        <v>1.0277318866336358</v>
      </c>
      <c r="J1047">
        <f t="shared" si="252"/>
        <v>1.107501281714804</v>
      </c>
      <c r="K1047">
        <f t="shared" si="253"/>
        <v>0.55877319184251628</v>
      </c>
      <c r="L1047">
        <f t="shared" si="254"/>
        <v>1.2485497371790271</v>
      </c>
      <c r="M1047">
        <f t="shared" si="255"/>
        <v>0.9997428407802067</v>
      </c>
      <c r="N1047">
        <f t="shared" si="256"/>
        <v>1.0045107528003372</v>
      </c>
      <c r="O1047">
        <v>6.5835929906518176E-3</v>
      </c>
      <c r="P1047">
        <v>3.8414214402289347E-3</v>
      </c>
      <c r="Q1047">
        <f t="shared" si="257"/>
        <v>4122.4179728430909</v>
      </c>
      <c r="R1047">
        <f t="shared" si="258"/>
        <v>4.122417972843091</v>
      </c>
    </row>
    <row r="1048" spans="1:18" x14ac:dyDescent="0.3">
      <c r="A1048">
        <v>2.0939999999999999</v>
      </c>
      <c r="B1048" s="4"/>
      <c r="C1048">
        <v>-31.986936499952002</v>
      </c>
      <c r="D1048">
        <v>1.95</v>
      </c>
      <c r="E1048">
        <f t="shared" si="259"/>
        <v>157.41813743831997</v>
      </c>
      <c r="F1048">
        <f t="shared" si="248"/>
        <v>1.8362269850217935E-2</v>
      </c>
      <c r="G1048">
        <f t="shared" si="249"/>
        <v>5.6790525309952378E-2</v>
      </c>
      <c r="H1048">
        <f t="shared" si="250"/>
        <v>55.318957457138332</v>
      </c>
      <c r="I1048">
        <f t="shared" si="251"/>
        <v>1.0277318866336358</v>
      </c>
      <c r="J1048">
        <f t="shared" si="252"/>
        <v>1.107501281714804</v>
      </c>
      <c r="K1048">
        <f t="shared" si="253"/>
        <v>0.55877319184251628</v>
      </c>
      <c r="L1048">
        <f t="shared" si="254"/>
        <v>1.2485497371790271</v>
      </c>
      <c r="M1048">
        <f t="shared" si="255"/>
        <v>0.99969838387727772</v>
      </c>
      <c r="N1048">
        <f t="shared" si="256"/>
        <v>1.0096603376562152</v>
      </c>
      <c r="O1048">
        <v>6.645542617098813E-3</v>
      </c>
      <c r="P1048">
        <v>3.7574298432133889E-3</v>
      </c>
      <c r="Q1048">
        <f t="shared" si="257"/>
        <v>4122.4179728430909</v>
      </c>
      <c r="R1048">
        <f t="shared" si="258"/>
        <v>4.122417972843091</v>
      </c>
    </row>
    <row r="1049" spans="1:18" x14ac:dyDescent="0.3">
      <c r="A1049">
        <v>2.0960000000000001</v>
      </c>
      <c r="B1049" s="4"/>
      <c r="C1049">
        <v>-31.986936499952002</v>
      </c>
      <c r="D1049">
        <v>1.95</v>
      </c>
      <c r="E1049">
        <f t="shared" si="259"/>
        <v>157.41813743831997</v>
      </c>
      <c r="F1049">
        <f t="shared" si="248"/>
        <v>1.8362269850217935E-2</v>
      </c>
      <c r="G1049">
        <f t="shared" si="249"/>
        <v>5.6790525309952378E-2</v>
      </c>
      <c r="H1049">
        <f t="shared" si="250"/>
        <v>55.318957457138332</v>
      </c>
      <c r="I1049">
        <f t="shared" si="251"/>
        <v>1.0277318866336358</v>
      </c>
      <c r="J1049">
        <f t="shared" si="252"/>
        <v>1.107501281714804</v>
      </c>
      <c r="K1049">
        <f t="shared" si="253"/>
        <v>0.55877319184251628</v>
      </c>
      <c r="L1049">
        <f t="shared" si="254"/>
        <v>1.2485497371790271</v>
      </c>
      <c r="M1049">
        <f t="shared" si="255"/>
        <v>0.99978168352735408</v>
      </c>
      <c r="N1049">
        <f t="shared" si="256"/>
        <v>1.0020697416886324</v>
      </c>
      <c r="O1049">
        <v>6.6930979876054699E-3</v>
      </c>
      <c r="P1049">
        <v>3.6467620829804845E-3</v>
      </c>
      <c r="Q1049">
        <f t="shared" si="257"/>
        <v>4122.4179728430909</v>
      </c>
      <c r="R1049">
        <f t="shared" si="258"/>
        <v>4.122417972843091</v>
      </c>
    </row>
    <row r="1050" spans="1:18" x14ac:dyDescent="0.3">
      <c r="A1050">
        <v>2.0979999999999999</v>
      </c>
      <c r="B1050" s="4"/>
      <c r="C1050">
        <v>-31.986936499952002</v>
      </c>
      <c r="D1050">
        <v>1.95</v>
      </c>
      <c r="E1050">
        <f t="shared" si="259"/>
        <v>157.41813743831997</v>
      </c>
      <c r="F1050">
        <f t="shared" si="248"/>
        <v>1.8362269850217935E-2</v>
      </c>
      <c r="G1050">
        <f t="shared" si="249"/>
        <v>5.6790525309952378E-2</v>
      </c>
      <c r="H1050">
        <f t="shared" si="250"/>
        <v>55.318957457138332</v>
      </c>
      <c r="I1050">
        <f t="shared" si="251"/>
        <v>1.0277318866336358</v>
      </c>
      <c r="J1050">
        <f t="shared" si="252"/>
        <v>1.107501281714804</v>
      </c>
      <c r="K1050">
        <f t="shared" si="253"/>
        <v>0.55877319184251628</v>
      </c>
      <c r="L1050">
        <f t="shared" si="254"/>
        <v>1.2485497371790271</v>
      </c>
      <c r="M1050">
        <f t="shared" si="255"/>
        <v>0.99983259271824887</v>
      </c>
      <c r="N1050">
        <f t="shared" si="256"/>
        <v>1.0033448435342249</v>
      </c>
      <c r="O1050">
        <v>6.7256018299435309E-3</v>
      </c>
      <c r="P1050">
        <v>3.5945855662888352E-3</v>
      </c>
      <c r="Q1050">
        <f t="shared" si="257"/>
        <v>4122.4179728430909</v>
      </c>
      <c r="R1050">
        <f t="shared" si="258"/>
        <v>4.122417972843091</v>
      </c>
    </row>
    <row r="1051" spans="1:18" x14ac:dyDescent="0.3">
      <c r="A1051">
        <v>2.1</v>
      </c>
      <c r="B1051" s="4"/>
      <c r="C1051">
        <v>-31.986936499952002</v>
      </c>
      <c r="D1051">
        <v>1.95</v>
      </c>
      <c r="E1051">
        <f t="shared" si="259"/>
        <v>157.41813743831997</v>
      </c>
      <c r="F1051">
        <f t="shared" si="248"/>
        <v>1.8362269850217935E-2</v>
      </c>
      <c r="G1051">
        <f t="shared" si="249"/>
        <v>5.6790525309952378E-2</v>
      </c>
      <c r="H1051">
        <f t="shared" si="250"/>
        <v>55.318957457138332</v>
      </c>
      <c r="I1051">
        <f t="shared" si="251"/>
        <v>1.0277318866336358</v>
      </c>
      <c r="J1051">
        <f t="shared" si="252"/>
        <v>1.107501281714804</v>
      </c>
      <c r="K1051">
        <f t="shared" si="253"/>
        <v>0.55877319184251628</v>
      </c>
      <c r="L1051">
        <f t="shared" si="254"/>
        <v>1.2485497371790271</v>
      </c>
      <c r="M1051">
        <f t="shared" si="255"/>
        <v>0.99985739414834951</v>
      </c>
      <c r="N1051">
        <f t="shared" si="256"/>
        <v>1.0041023570722798</v>
      </c>
      <c r="O1051">
        <v>6.7428620682481368E-3</v>
      </c>
      <c r="P1051">
        <v>3.5667952647112987E-3</v>
      </c>
      <c r="Q1051">
        <f t="shared" si="257"/>
        <v>4122.4179728430909</v>
      </c>
      <c r="R1051">
        <f t="shared" si="258"/>
        <v>4.122417972843091</v>
      </c>
    </row>
    <row r="1052" spans="1:18" x14ac:dyDescent="0.3">
      <c r="A1052">
        <v>2.1019999999999999</v>
      </c>
      <c r="B1052" s="4"/>
      <c r="C1052">
        <v>-31.986936499952002</v>
      </c>
      <c r="D1052">
        <v>1.95</v>
      </c>
      <c r="E1052">
        <f t="shared" si="259"/>
        <v>157.41813743831997</v>
      </c>
      <c r="F1052">
        <f t="shared" si="248"/>
        <v>1.8362269850217935E-2</v>
      </c>
      <c r="G1052">
        <f t="shared" si="249"/>
        <v>5.6790525309952378E-2</v>
      </c>
      <c r="H1052">
        <f t="shared" si="250"/>
        <v>55.318957457138332</v>
      </c>
      <c r="I1052">
        <f t="shared" si="251"/>
        <v>1.0277318866336358</v>
      </c>
      <c r="J1052">
        <f t="shared" si="252"/>
        <v>1.107501281714804</v>
      </c>
      <c r="K1052">
        <f t="shared" si="253"/>
        <v>0.55877319184251628</v>
      </c>
      <c r="L1052">
        <f t="shared" si="254"/>
        <v>1.2485497371790271</v>
      </c>
      <c r="M1052">
        <f t="shared" si="255"/>
        <v>0.99986004657286831</v>
      </c>
      <c r="N1052">
        <f t="shared" si="256"/>
        <v>1.0041899206347749</v>
      </c>
      <c r="O1052">
        <v>6.7447783336510719E-3</v>
      </c>
      <c r="P1052">
        <v>3.5637063498364448E-3</v>
      </c>
      <c r="Q1052">
        <f t="shared" si="257"/>
        <v>4122.4179728430909</v>
      </c>
      <c r="R1052">
        <f t="shared" si="258"/>
        <v>4.122417972843091</v>
      </c>
    </row>
    <row r="1053" spans="1:18" x14ac:dyDescent="0.3">
      <c r="A1053">
        <v>2.1040000000000001</v>
      </c>
      <c r="B1053" s="4"/>
      <c r="C1053">
        <v>-31.986936499952002</v>
      </c>
      <c r="D1053">
        <v>1.95</v>
      </c>
      <c r="E1053">
        <f t="shared" si="259"/>
        <v>157.41813743831997</v>
      </c>
      <c r="F1053">
        <f t="shared" si="248"/>
        <v>1.8362269850217935E-2</v>
      </c>
      <c r="G1053">
        <f t="shared" si="249"/>
        <v>5.6790525309952378E-2</v>
      </c>
      <c r="H1053">
        <f t="shared" si="250"/>
        <v>55.318957457138332</v>
      </c>
      <c r="I1053">
        <f t="shared" si="251"/>
        <v>1.0277318866336358</v>
      </c>
      <c r="J1053">
        <f t="shared" si="252"/>
        <v>1.107501281714804</v>
      </c>
      <c r="K1053">
        <f t="shared" si="253"/>
        <v>0.55877319184251628</v>
      </c>
      <c r="L1053">
        <f t="shared" si="254"/>
        <v>1.2485497371790271</v>
      </c>
      <c r="M1053">
        <f t="shared" si="255"/>
        <v>0.99984101655676738</v>
      </c>
      <c r="N1053">
        <f t="shared" si="256"/>
        <v>1.0035904399618951</v>
      </c>
      <c r="O1053">
        <v>6.7313395524385188E-3</v>
      </c>
      <c r="P1053">
        <v>3.5853538329213169E-3</v>
      </c>
      <c r="Q1053">
        <f t="shared" si="257"/>
        <v>4122.4179728430909</v>
      </c>
      <c r="R1053">
        <f t="shared" si="258"/>
        <v>4.122417972843091</v>
      </c>
    </row>
    <row r="1054" spans="1:18" x14ac:dyDescent="0.3">
      <c r="A1054">
        <v>2.1059999999999999</v>
      </c>
      <c r="B1054" s="4"/>
      <c r="C1054">
        <v>-31.986936499952002</v>
      </c>
      <c r="D1054">
        <v>1.95</v>
      </c>
      <c r="E1054">
        <f t="shared" si="259"/>
        <v>157.41813743831997</v>
      </c>
      <c r="F1054">
        <f t="shared" si="248"/>
        <v>1.8362269850217935E-2</v>
      </c>
      <c r="G1054">
        <f t="shared" si="249"/>
        <v>5.6790525309952378E-2</v>
      </c>
      <c r="H1054">
        <f t="shared" si="250"/>
        <v>55.318957457138332</v>
      </c>
      <c r="I1054">
        <f t="shared" si="251"/>
        <v>1.0277318866336358</v>
      </c>
      <c r="J1054">
        <f t="shared" si="252"/>
        <v>1.107501281714804</v>
      </c>
      <c r="K1054">
        <f t="shared" si="253"/>
        <v>0.55877319184251628</v>
      </c>
      <c r="L1054">
        <f t="shared" si="254"/>
        <v>1.2485497371790271</v>
      </c>
      <c r="M1054">
        <f t="shared" si="255"/>
        <v>0.99979714628675198</v>
      </c>
      <c r="N1054">
        <f t="shared" si="256"/>
        <v>1.0024230434069823</v>
      </c>
      <c r="O1054">
        <v>6.70262367713021E-3</v>
      </c>
      <c r="P1054">
        <v>3.6314922653087793E-3</v>
      </c>
      <c r="Q1054">
        <f t="shared" si="257"/>
        <v>4122.4179728430909</v>
      </c>
      <c r="R1054">
        <f t="shared" si="258"/>
        <v>4.122417972843091</v>
      </c>
    </row>
    <row r="1055" spans="1:18" x14ac:dyDescent="0.3">
      <c r="A1055">
        <v>2.1080000000000001</v>
      </c>
      <c r="B1055" s="4"/>
      <c r="C1055">
        <v>-31.986936499952002</v>
      </c>
      <c r="D1055">
        <v>1.95</v>
      </c>
      <c r="E1055">
        <f t="shared" si="259"/>
        <v>157.41813743831997</v>
      </c>
      <c r="F1055">
        <f t="shared" si="248"/>
        <v>1.8362269850217935E-2</v>
      </c>
      <c r="G1055">
        <f t="shared" si="249"/>
        <v>5.6790525309952378E-2</v>
      </c>
      <c r="H1055">
        <f t="shared" si="250"/>
        <v>55.318957457138332</v>
      </c>
      <c r="I1055">
        <f t="shared" si="251"/>
        <v>1.0277318866336358</v>
      </c>
      <c r="J1055">
        <f t="shared" si="252"/>
        <v>1.107501281714804</v>
      </c>
      <c r="K1055">
        <f t="shared" si="253"/>
        <v>0.55877319184251628</v>
      </c>
      <c r="L1055">
        <f t="shared" si="254"/>
        <v>1.2485497371790271</v>
      </c>
      <c r="M1055">
        <f t="shared" si="255"/>
        <v>0.9997225701242739</v>
      </c>
      <c r="N1055">
        <f t="shared" si="256"/>
        <v>1.0009364172107853</v>
      </c>
      <c r="O1055">
        <v>6.6587995675790445E-3</v>
      </c>
      <c r="P1055">
        <v>3.7015978426557599E-3</v>
      </c>
      <c r="Q1055">
        <f t="shared" si="257"/>
        <v>4122.4179728430909</v>
      </c>
      <c r="R1055">
        <f t="shared" si="258"/>
        <v>4.122417972843091</v>
      </c>
    </row>
    <row r="1056" spans="1:18" x14ac:dyDescent="0.3">
      <c r="A1056">
        <v>2.11</v>
      </c>
      <c r="B1056" s="4"/>
      <c r="C1056">
        <v>-31.986936499952002</v>
      </c>
      <c r="D1056">
        <v>1.95</v>
      </c>
      <c r="E1056">
        <f t="shared" si="259"/>
        <v>157.41813743831997</v>
      </c>
      <c r="F1056">
        <f t="shared" si="248"/>
        <v>1.8362269850217935E-2</v>
      </c>
      <c r="G1056">
        <f t="shared" si="249"/>
        <v>5.6790525309952378E-2</v>
      </c>
      <c r="H1056">
        <f t="shared" si="250"/>
        <v>55.318957457138332</v>
      </c>
      <c r="I1056">
        <f t="shared" si="251"/>
        <v>1.0277318866336358</v>
      </c>
      <c r="J1056">
        <f t="shared" si="252"/>
        <v>1.107501281714804</v>
      </c>
      <c r="K1056">
        <f t="shared" si="253"/>
        <v>0.55877319184251628</v>
      </c>
      <c r="L1056">
        <f t="shared" si="254"/>
        <v>1.2485497371790271</v>
      </c>
      <c r="M1056">
        <f t="shared" si="255"/>
        <v>0.99972880941295028</v>
      </c>
      <c r="N1056">
        <f t="shared" si="256"/>
        <v>1.0051709085594824</v>
      </c>
      <c r="O1056">
        <v>6.6003920879871307E-3</v>
      </c>
      <c r="P1056">
        <v>3.8161427558501878E-3</v>
      </c>
      <c r="Q1056">
        <f t="shared" si="257"/>
        <v>4122.4179728430909</v>
      </c>
      <c r="R1056">
        <f t="shared" si="258"/>
        <v>4.122417972843091</v>
      </c>
    </row>
    <row r="1057" spans="1:18" x14ac:dyDescent="0.3">
      <c r="A1057">
        <v>2.1120000000000001</v>
      </c>
      <c r="B1057" s="4"/>
      <c r="C1057">
        <v>-31.986936499952002</v>
      </c>
      <c r="D1057">
        <v>1.95</v>
      </c>
      <c r="E1057">
        <f t="shared" si="259"/>
        <v>157.41813743831997</v>
      </c>
      <c r="F1057">
        <f t="shared" si="248"/>
        <v>1.8362269850217935E-2</v>
      </c>
      <c r="G1057">
        <f t="shared" si="249"/>
        <v>5.6790525309952378E-2</v>
      </c>
      <c r="H1057">
        <f t="shared" si="250"/>
        <v>55.318957457138332</v>
      </c>
      <c r="I1057">
        <f t="shared" si="251"/>
        <v>1.0277318866336358</v>
      </c>
      <c r="J1057">
        <f t="shared" si="252"/>
        <v>1.107501281714804</v>
      </c>
      <c r="K1057">
        <f t="shared" si="253"/>
        <v>0.55877319184251628</v>
      </c>
      <c r="L1057">
        <f t="shared" si="254"/>
        <v>1.2485497371790271</v>
      </c>
      <c r="M1057">
        <f t="shared" si="255"/>
        <v>0.99978552585210179</v>
      </c>
      <c r="N1057">
        <f t="shared" si="256"/>
        <v>1.0026456582262089</v>
      </c>
      <c r="O1057">
        <v>6.5277171964680785E-3</v>
      </c>
      <c r="P1057">
        <v>3.9251440854499147E-3</v>
      </c>
      <c r="Q1057">
        <f t="shared" si="257"/>
        <v>4122.4179728430909</v>
      </c>
      <c r="R1057">
        <f t="shared" si="258"/>
        <v>4.122417972843091</v>
      </c>
    </row>
    <row r="1058" spans="1:18" x14ac:dyDescent="0.3">
      <c r="A1058">
        <v>2.1139999999999999</v>
      </c>
      <c r="B1058" s="4"/>
      <c r="C1058">
        <v>-31.986936499952002</v>
      </c>
      <c r="D1058">
        <v>1.95</v>
      </c>
      <c r="E1058">
        <f t="shared" si="259"/>
        <v>157.41813743831997</v>
      </c>
      <c r="F1058">
        <f t="shared" si="248"/>
        <v>1.8362269850217935E-2</v>
      </c>
      <c r="G1058">
        <f t="shared" si="249"/>
        <v>5.6790525309952378E-2</v>
      </c>
      <c r="H1058">
        <f t="shared" si="250"/>
        <v>55.318957457138332</v>
      </c>
      <c r="I1058">
        <f t="shared" si="251"/>
        <v>1.0277318866336358</v>
      </c>
      <c r="J1058">
        <f t="shared" si="252"/>
        <v>1.107501281714804</v>
      </c>
      <c r="K1058">
        <f t="shared" si="253"/>
        <v>0.55877319184251628</v>
      </c>
      <c r="L1058">
        <f t="shared" si="254"/>
        <v>1.2485497371790271</v>
      </c>
      <c r="M1058">
        <f t="shared" si="255"/>
        <v>0.99068319622567413</v>
      </c>
      <c r="N1058">
        <f t="shared" si="256"/>
        <v>1.0007404209866635</v>
      </c>
      <c r="O1058">
        <v>6.4204128132248064E-3</v>
      </c>
      <c r="P1058">
        <v>4.0537796420329168E-3</v>
      </c>
      <c r="Q1058">
        <f t="shared" si="257"/>
        <v>4122.4179728430909</v>
      </c>
      <c r="R1058">
        <f t="shared" si="258"/>
        <v>4.122417972843091</v>
      </c>
    </row>
    <row r="1059" spans="1:18" x14ac:dyDescent="0.3">
      <c r="A1059">
        <v>2.1160000000000001</v>
      </c>
      <c r="B1059" s="4"/>
      <c r="C1059">
        <v>-31.986936499952002</v>
      </c>
      <c r="D1059">
        <v>1.95</v>
      </c>
      <c r="E1059">
        <f t="shared" si="259"/>
        <v>157.41813743831997</v>
      </c>
      <c r="F1059">
        <f t="shared" si="248"/>
        <v>1.8362269850217935E-2</v>
      </c>
      <c r="G1059">
        <f t="shared" si="249"/>
        <v>5.6790525309952378E-2</v>
      </c>
      <c r="H1059">
        <f t="shared" si="250"/>
        <v>55.318957457138332</v>
      </c>
      <c r="I1059">
        <f t="shared" si="251"/>
        <v>1.0277318866336358</v>
      </c>
      <c r="J1059">
        <f t="shared" si="252"/>
        <v>1.107501281714804</v>
      </c>
      <c r="K1059">
        <f t="shared" si="253"/>
        <v>0.55877319184251628</v>
      </c>
      <c r="L1059">
        <f t="shared" si="254"/>
        <v>1.2485497371790271</v>
      </c>
      <c r="M1059">
        <f t="shared" si="255"/>
        <v>0.99268281926071045</v>
      </c>
      <c r="N1059">
        <f t="shared" si="256"/>
        <v>1.0062481106875369</v>
      </c>
      <c r="O1059">
        <v>6.3246813803452175E-3</v>
      </c>
      <c r="P1059">
        <v>4.2218312845094261E-3</v>
      </c>
      <c r="Q1059">
        <f t="shared" si="257"/>
        <v>4122.4179728430909</v>
      </c>
      <c r="R1059">
        <f t="shared" si="258"/>
        <v>4.122417972843091</v>
      </c>
    </row>
    <row r="1060" spans="1:18" x14ac:dyDescent="0.3">
      <c r="A1060">
        <v>2.1179999999999999</v>
      </c>
      <c r="B1060" s="4"/>
      <c r="C1060">
        <v>-31.986936499952002</v>
      </c>
      <c r="D1060">
        <v>1.95</v>
      </c>
      <c r="E1060">
        <f t="shared" si="259"/>
        <v>157.41813743831997</v>
      </c>
      <c r="F1060">
        <f t="shared" si="248"/>
        <v>1.8362269850217935E-2</v>
      </c>
      <c r="G1060">
        <f t="shared" si="249"/>
        <v>5.6790525309952378E-2</v>
      </c>
      <c r="H1060">
        <f t="shared" si="250"/>
        <v>55.318957457138332</v>
      </c>
      <c r="I1060">
        <f t="shared" si="251"/>
        <v>1.0277318866336358</v>
      </c>
      <c r="J1060">
        <f t="shared" si="252"/>
        <v>1.107501281714804</v>
      </c>
      <c r="K1060">
        <f t="shared" si="253"/>
        <v>0.55877319184251628</v>
      </c>
      <c r="L1060">
        <f t="shared" si="254"/>
        <v>1.2485497371790271</v>
      </c>
      <c r="M1060">
        <f t="shared" si="255"/>
        <v>0.99457387513803575</v>
      </c>
      <c r="N1060">
        <f t="shared" si="256"/>
        <v>1.0004830999773286</v>
      </c>
      <c r="O1060">
        <v>6.216157484363701E-3</v>
      </c>
      <c r="P1060">
        <v>4.3623998047584754E-3</v>
      </c>
      <c r="Q1060">
        <f t="shared" si="257"/>
        <v>4122.4179728430909</v>
      </c>
      <c r="R1060">
        <f t="shared" si="258"/>
        <v>4.122417972843091</v>
      </c>
    </row>
    <row r="1061" spans="1:18" x14ac:dyDescent="0.3">
      <c r="A1061">
        <v>2.12</v>
      </c>
      <c r="B1061" s="4"/>
      <c r="C1061">
        <v>-31.986936499952002</v>
      </c>
      <c r="D1061">
        <v>1.95</v>
      </c>
      <c r="E1061">
        <f t="shared" si="259"/>
        <v>157.41813743831997</v>
      </c>
      <c r="F1061">
        <f t="shared" si="248"/>
        <v>1.8362269850217935E-2</v>
      </c>
      <c r="G1061">
        <f t="shared" si="249"/>
        <v>5.6790525309952378E-2</v>
      </c>
      <c r="H1061">
        <f t="shared" si="250"/>
        <v>55.318957457138332</v>
      </c>
      <c r="I1061">
        <f t="shared" si="251"/>
        <v>1.0277318866336358</v>
      </c>
      <c r="J1061">
        <f t="shared" si="252"/>
        <v>1.107501281714804</v>
      </c>
      <c r="K1061">
        <f t="shared" si="253"/>
        <v>0.55877319184251628</v>
      </c>
      <c r="L1061">
        <f t="shared" si="254"/>
        <v>1.2485497371790271</v>
      </c>
      <c r="M1061">
        <f t="shared" si="255"/>
        <v>0.99625824521231654</v>
      </c>
      <c r="N1061">
        <f t="shared" si="256"/>
        <v>1.0030320334087885</v>
      </c>
      <c r="O1061">
        <v>6.0954121070525167E-3</v>
      </c>
      <c r="P1061">
        <v>4.5384285301752125E-3</v>
      </c>
      <c r="Q1061">
        <f t="shared" si="257"/>
        <v>4122.4179728430909</v>
      </c>
      <c r="R1061">
        <f t="shared" si="258"/>
        <v>4.122417972843091</v>
      </c>
    </row>
    <row r="1062" spans="1:18" x14ac:dyDescent="0.3">
      <c r="A1062">
        <v>2.1219999999999999</v>
      </c>
      <c r="B1062" s="4"/>
      <c r="C1062">
        <v>-31.986936499952002</v>
      </c>
      <c r="D1062">
        <v>1.95</v>
      </c>
      <c r="E1062">
        <f t="shared" si="259"/>
        <v>157.41813743831997</v>
      </c>
      <c r="F1062">
        <f t="shared" si="248"/>
        <v>1.8362269850217935E-2</v>
      </c>
      <c r="G1062">
        <f t="shared" si="249"/>
        <v>5.6790525309952378E-2</v>
      </c>
      <c r="H1062">
        <f t="shared" si="250"/>
        <v>55.318957457138332</v>
      </c>
      <c r="I1062">
        <f t="shared" si="251"/>
        <v>1.0277318866336358</v>
      </c>
      <c r="J1062">
        <f t="shared" si="252"/>
        <v>1.107501281714804</v>
      </c>
      <c r="K1062">
        <f t="shared" si="253"/>
        <v>0.55877319184251628</v>
      </c>
      <c r="L1062">
        <f t="shared" si="254"/>
        <v>1.2485497371790271</v>
      </c>
      <c r="M1062">
        <f t="shared" si="255"/>
        <v>0.99765968243824865</v>
      </c>
      <c r="N1062">
        <f t="shared" si="256"/>
        <v>0.99483397817111441</v>
      </c>
      <c r="O1062">
        <v>5.9631572058835821E-3</v>
      </c>
      <c r="P1062">
        <v>4.6862327258054629E-3</v>
      </c>
      <c r="Q1062">
        <f t="shared" si="257"/>
        <v>4122.4179728430909</v>
      </c>
      <c r="R1062">
        <f t="shared" si="258"/>
        <v>4.122417972843091</v>
      </c>
    </row>
    <row r="1063" spans="1:18" x14ac:dyDescent="0.3">
      <c r="A1063">
        <v>2.1240000000000001</v>
      </c>
      <c r="B1063" s="4"/>
      <c r="C1063">
        <v>-31.986936499952002</v>
      </c>
      <c r="D1063">
        <v>1.95</v>
      </c>
      <c r="E1063">
        <f t="shared" si="259"/>
        <v>157.41813743831997</v>
      </c>
      <c r="F1063">
        <f t="shared" si="248"/>
        <v>1.8362269850217935E-2</v>
      </c>
      <c r="G1063">
        <f t="shared" si="249"/>
        <v>5.6790525309952378E-2</v>
      </c>
      <c r="H1063">
        <f t="shared" si="250"/>
        <v>55.318957457138332</v>
      </c>
      <c r="I1063">
        <f t="shared" si="251"/>
        <v>1.0277318866336358</v>
      </c>
      <c r="J1063">
        <f t="shared" si="252"/>
        <v>1.107501281714804</v>
      </c>
      <c r="K1063">
        <f t="shared" si="253"/>
        <v>0.55877319184251628</v>
      </c>
      <c r="L1063">
        <f t="shared" si="254"/>
        <v>1.2485497371790271</v>
      </c>
      <c r="M1063">
        <f t="shared" si="255"/>
        <v>0.9987307004847239</v>
      </c>
      <c r="N1063">
        <f t="shared" si="256"/>
        <v>1.0044693625975905</v>
      </c>
      <c r="O1063">
        <v>5.8202678878912523E-3</v>
      </c>
      <c r="P1063">
        <v>4.890988223371205E-3</v>
      </c>
      <c r="Q1063">
        <f t="shared" si="257"/>
        <v>4122.4179728430909</v>
      </c>
      <c r="R1063">
        <f t="shared" si="258"/>
        <v>4.122417972843091</v>
      </c>
    </row>
    <row r="1064" spans="1:18" x14ac:dyDescent="0.3">
      <c r="A1064">
        <v>2.1259999999999999</v>
      </c>
      <c r="B1064" s="4"/>
      <c r="C1064">
        <v>-31.986936499952002</v>
      </c>
      <c r="D1064">
        <v>1.95</v>
      </c>
      <c r="E1064">
        <f t="shared" si="259"/>
        <v>157.41813743831997</v>
      </c>
      <c r="F1064">
        <f t="shared" si="248"/>
        <v>1.8362269850217935E-2</v>
      </c>
      <c r="G1064">
        <f t="shared" si="249"/>
        <v>5.6790525309952378E-2</v>
      </c>
      <c r="H1064">
        <f t="shared" si="250"/>
        <v>55.318957457138332</v>
      </c>
      <c r="I1064">
        <f t="shared" si="251"/>
        <v>1.0277318866336358</v>
      </c>
      <c r="J1064">
        <f t="shared" si="252"/>
        <v>1.107501281714804</v>
      </c>
      <c r="K1064">
        <f t="shared" si="253"/>
        <v>0.55877319184251628</v>
      </c>
      <c r="L1064">
        <f t="shared" si="254"/>
        <v>1.2485497371790271</v>
      </c>
      <c r="M1064">
        <f t="shared" si="255"/>
        <v>0.99945734232449279</v>
      </c>
      <c r="N1064">
        <f t="shared" si="256"/>
        <v>0.99957051232688376</v>
      </c>
      <c r="O1064">
        <v>5.6678049251479836E-3</v>
      </c>
      <c r="P1064">
        <v>5.0528522685467352E-3</v>
      </c>
      <c r="Q1064">
        <f t="shared" si="257"/>
        <v>4122.4179728430909</v>
      </c>
      <c r="R1064">
        <f t="shared" si="258"/>
        <v>4.122417972843091</v>
      </c>
    </row>
    <row r="1065" spans="1:18" x14ac:dyDescent="0.3">
      <c r="A1065">
        <v>2.1280000000000001</v>
      </c>
      <c r="B1065" s="4"/>
      <c r="C1065">
        <v>-31.986936499952002</v>
      </c>
      <c r="D1065">
        <v>1.95</v>
      </c>
      <c r="E1065">
        <f t="shared" si="259"/>
        <v>157.41813743831997</v>
      </c>
      <c r="F1065">
        <f t="shared" si="248"/>
        <v>1.8362269850217935E-2</v>
      </c>
      <c r="G1065">
        <f t="shared" si="249"/>
        <v>5.6790525309952378E-2</v>
      </c>
      <c r="H1065">
        <f t="shared" si="250"/>
        <v>55.318957457138332</v>
      </c>
      <c r="I1065">
        <f t="shared" si="251"/>
        <v>1.0277318866336358</v>
      </c>
      <c r="J1065">
        <f t="shared" si="252"/>
        <v>1.107501281714804</v>
      </c>
      <c r="K1065">
        <f t="shared" si="253"/>
        <v>0.55877319184251628</v>
      </c>
      <c r="L1065">
        <f t="shared" si="254"/>
        <v>1.2485497371790271</v>
      </c>
      <c r="M1065">
        <f t="shared" si="255"/>
        <v>1.0076916271220915</v>
      </c>
      <c r="N1065">
        <f t="shared" si="256"/>
        <v>0.99884588603802349</v>
      </c>
      <c r="O1065">
        <v>5.5275207400051181E-3</v>
      </c>
      <c r="P1065">
        <v>5.225475768596625E-3</v>
      </c>
      <c r="Q1065">
        <f t="shared" si="257"/>
        <v>4122.4179728430909</v>
      </c>
      <c r="R1065">
        <f t="shared" si="258"/>
        <v>4.122417972843091</v>
      </c>
    </row>
    <row r="1066" spans="1:18" x14ac:dyDescent="0.3">
      <c r="A1066">
        <v>2.13</v>
      </c>
      <c r="B1066" s="4"/>
      <c r="C1066">
        <v>-31.986936499952002</v>
      </c>
      <c r="D1066">
        <v>1.95</v>
      </c>
      <c r="E1066">
        <f t="shared" si="259"/>
        <v>157.41813743831997</v>
      </c>
      <c r="F1066">
        <f t="shared" si="248"/>
        <v>1.8362269850217935E-2</v>
      </c>
      <c r="G1066">
        <f t="shared" si="249"/>
        <v>5.6790525309952378E-2</v>
      </c>
      <c r="H1066">
        <f t="shared" si="250"/>
        <v>55.318957457138332</v>
      </c>
      <c r="I1066">
        <f t="shared" si="251"/>
        <v>1.0277318866336358</v>
      </c>
      <c r="J1066">
        <f t="shared" si="252"/>
        <v>1.107501281714804</v>
      </c>
      <c r="K1066">
        <f t="shared" si="253"/>
        <v>0.55877319184251628</v>
      </c>
      <c r="L1066">
        <f t="shared" si="254"/>
        <v>1.2485497371790271</v>
      </c>
      <c r="M1066">
        <f t="shared" si="255"/>
        <v>1.0008910533741266</v>
      </c>
      <c r="N1066">
        <f t="shared" si="256"/>
        <v>0.9976244564868314</v>
      </c>
      <c r="O1066">
        <v>5.3418674738201326E-3</v>
      </c>
      <c r="P1066">
        <v>5.3933931927557799E-3</v>
      </c>
      <c r="Q1066">
        <f t="shared" si="257"/>
        <v>4122.4179728430909</v>
      </c>
      <c r="R1066">
        <f t="shared" si="258"/>
        <v>4.122417972843091</v>
      </c>
    </row>
    <row r="1067" spans="1:18" x14ac:dyDescent="0.3">
      <c r="A1067">
        <v>2.1320000000000001</v>
      </c>
      <c r="B1067" s="4"/>
      <c r="C1067">
        <v>-31.986936499952002</v>
      </c>
      <c r="D1067">
        <v>1.95</v>
      </c>
      <c r="E1067">
        <f t="shared" si="259"/>
        <v>157.41813743831997</v>
      </c>
      <c r="F1067">
        <f t="shared" si="248"/>
        <v>1.8362269850217935E-2</v>
      </c>
      <c r="G1067">
        <f t="shared" si="249"/>
        <v>5.6790525309952378E-2</v>
      </c>
      <c r="H1067">
        <f t="shared" si="250"/>
        <v>55.318957457138332</v>
      </c>
      <c r="I1067">
        <f t="shared" si="251"/>
        <v>1.0277318866336358</v>
      </c>
      <c r="J1067">
        <f t="shared" si="252"/>
        <v>1.107501281714804</v>
      </c>
      <c r="K1067">
        <f t="shared" si="253"/>
        <v>0.55877319184251628</v>
      </c>
      <c r="L1067">
        <f t="shared" si="254"/>
        <v>1.2485497371790271</v>
      </c>
      <c r="M1067">
        <f t="shared" si="255"/>
        <v>0.99796150864739552</v>
      </c>
      <c r="N1067">
        <f t="shared" si="256"/>
        <v>1.0011636080301749</v>
      </c>
      <c r="O1067">
        <v>5.1612535784717681E-3</v>
      </c>
      <c r="P1067">
        <v>5.5686820517809842E-3</v>
      </c>
      <c r="Q1067">
        <f t="shared" si="257"/>
        <v>4122.4179728430909</v>
      </c>
      <c r="R1067">
        <f t="shared" si="258"/>
        <v>4.122417972843091</v>
      </c>
    </row>
    <row r="1068" spans="1:18" x14ac:dyDescent="0.3">
      <c r="A1068">
        <v>2.1339999999999999</v>
      </c>
      <c r="B1068" s="4"/>
      <c r="C1068">
        <v>-31.986936499952002</v>
      </c>
      <c r="D1068">
        <v>1.95</v>
      </c>
      <c r="E1068">
        <f t="shared" si="259"/>
        <v>157.41813743831997</v>
      </c>
      <c r="F1068">
        <f t="shared" si="248"/>
        <v>1.8362269850217935E-2</v>
      </c>
      <c r="G1068">
        <f t="shared" si="249"/>
        <v>5.6790525309952378E-2</v>
      </c>
      <c r="H1068">
        <f t="shared" si="250"/>
        <v>55.318957457138332</v>
      </c>
      <c r="I1068">
        <f t="shared" si="251"/>
        <v>1.0277318866336358</v>
      </c>
      <c r="J1068">
        <f t="shared" si="252"/>
        <v>1.107501281714804</v>
      </c>
      <c r="K1068">
        <f t="shared" si="253"/>
        <v>0.55877319184251628</v>
      </c>
      <c r="L1068">
        <f t="shared" si="254"/>
        <v>1.2485497371790271</v>
      </c>
      <c r="M1068">
        <f t="shared" si="255"/>
        <v>0.99908476723701367</v>
      </c>
      <c r="N1068">
        <f t="shared" si="256"/>
        <v>1.0078346533099145</v>
      </c>
      <c r="O1068">
        <v>4.9889114748982652E-3</v>
      </c>
      <c r="P1068">
        <v>5.7446759652532882E-3</v>
      </c>
      <c r="Q1068">
        <f t="shared" si="257"/>
        <v>4122.4179728430909</v>
      </c>
      <c r="R1068">
        <f t="shared" si="258"/>
        <v>4.122417972843091</v>
      </c>
    </row>
    <row r="1069" spans="1:18" x14ac:dyDescent="0.3">
      <c r="A1069">
        <v>2.1360000000000001</v>
      </c>
      <c r="B1069" s="4"/>
      <c r="C1069">
        <v>-31.986936499952002</v>
      </c>
      <c r="D1069">
        <v>1.95</v>
      </c>
      <c r="E1069">
        <f t="shared" si="259"/>
        <v>157.41813743831997</v>
      </c>
      <c r="F1069">
        <f t="shared" si="248"/>
        <v>1.8362269850217935E-2</v>
      </c>
      <c r="G1069">
        <f t="shared" si="249"/>
        <v>5.6790525309952378E-2</v>
      </c>
      <c r="H1069">
        <f t="shared" si="250"/>
        <v>55.318957457138332</v>
      </c>
      <c r="I1069">
        <f t="shared" si="251"/>
        <v>1.0277318866336358</v>
      </c>
      <c r="J1069">
        <f t="shared" si="252"/>
        <v>1.107501281714804</v>
      </c>
      <c r="K1069">
        <f t="shared" si="253"/>
        <v>0.55877319184251628</v>
      </c>
      <c r="L1069">
        <f t="shared" si="254"/>
        <v>1.2485497371790271</v>
      </c>
      <c r="M1069">
        <f t="shared" si="255"/>
        <v>1.0088716653985206</v>
      </c>
      <c r="N1069">
        <f t="shared" si="256"/>
        <v>0.99950706992781868</v>
      </c>
      <c r="O1069">
        <v>4.8415930124290681E-3</v>
      </c>
      <c r="P1069">
        <v>5.8749467533069644E-3</v>
      </c>
      <c r="Q1069">
        <f t="shared" si="257"/>
        <v>4122.4179728430909</v>
      </c>
      <c r="R1069">
        <f t="shared" si="258"/>
        <v>4.122417972843091</v>
      </c>
    </row>
    <row r="1070" spans="1:18" x14ac:dyDescent="0.3">
      <c r="A1070">
        <v>2.1379999999999999</v>
      </c>
      <c r="B1070" s="4"/>
      <c r="C1070">
        <v>-31.986936499952002</v>
      </c>
      <c r="D1070">
        <v>1.95</v>
      </c>
      <c r="E1070">
        <f t="shared" si="259"/>
        <v>157.41813743831997</v>
      </c>
      <c r="F1070">
        <f t="shared" si="248"/>
        <v>1.8362269850217935E-2</v>
      </c>
      <c r="G1070">
        <f t="shared" si="249"/>
        <v>5.6790525309952378E-2</v>
      </c>
      <c r="H1070">
        <f t="shared" si="250"/>
        <v>55.318957457138332</v>
      </c>
      <c r="I1070">
        <f t="shared" si="251"/>
        <v>1.0277318866336358</v>
      </c>
      <c r="J1070">
        <f t="shared" si="252"/>
        <v>1.107501281714804</v>
      </c>
      <c r="K1070">
        <f t="shared" si="253"/>
        <v>0.55877319184251628</v>
      </c>
      <c r="L1070">
        <f t="shared" si="254"/>
        <v>1.2485497371790271</v>
      </c>
      <c r="M1070">
        <f t="shared" si="255"/>
        <v>1.002868205490848</v>
      </c>
      <c r="N1070">
        <f t="shared" si="256"/>
        <v>0.99889267851088193</v>
      </c>
      <c r="O1070">
        <v>4.6489164847611283E-3</v>
      </c>
      <c r="P1070">
        <v>6.0155005224329398E-3</v>
      </c>
      <c r="Q1070">
        <f t="shared" si="257"/>
        <v>4122.4179728430909</v>
      </c>
      <c r="R1070">
        <f t="shared" si="258"/>
        <v>4.122417972843091</v>
      </c>
    </row>
    <row r="1071" spans="1:18" x14ac:dyDescent="0.3">
      <c r="A1071">
        <v>2.14</v>
      </c>
      <c r="B1071" s="4">
        <v>75</v>
      </c>
      <c r="C1071">
        <v>-31.420092978505899</v>
      </c>
      <c r="D1071">
        <v>1.95</v>
      </c>
      <c r="E1071">
        <f>$E$1070+$R$1070</f>
        <v>161.54055541116307</v>
      </c>
      <c r="F1071">
        <f t="shared" si="248"/>
        <v>1.8601148784722861E-2</v>
      </c>
      <c r="G1071">
        <f t="shared" si="249"/>
        <v>5.7529326138318126E-2</v>
      </c>
      <c r="H1071">
        <f t="shared" si="250"/>
        <v>54.608542537704018</v>
      </c>
      <c r="I1071">
        <f t="shared" si="251"/>
        <v>1.0270194410193181</v>
      </c>
      <c r="J1071">
        <f t="shared" si="252"/>
        <v>1.1046881438462686</v>
      </c>
      <c r="K1071">
        <f t="shared" si="253"/>
        <v>0.55938910153951094</v>
      </c>
      <c r="L1071">
        <f t="shared" si="254"/>
        <v>1.2475191763511697</v>
      </c>
      <c r="M1071">
        <f t="shared" si="255"/>
        <v>0.99979819888467003</v>
      </c>
      <c r="N1071">
        <f t="shared" si="256"/>
        <v>1.0020652218318906</v>
      </c>
      <c r="O1071">
        <v>6.5096276025389411E-3</v>
      </c>
      <c r="P1071">
        <v>3.9568887964291661E-3</v>
      </c>
      <c r="Q1071">
        <f t="shared" si="257"/>
        <v>4141.7124663515806</v>
      </c>
      <c r="R1071">
        <f t="shared" si="258"/>
        <v>4.1417124663515805</v>
      </c>
    </row>
    <row r="1072" spans="1:18" x14ac:dyDescent="0.3">
      <c r="A1072">
        <v>2.1419999999999999</v>
      </c>
      <c r="B1072" s="4"/>
      <c r="C1072">
        <v>-31.420092978505899</v>
      </c>
      <c r="D1072">
        <v>1.95</v>
      </c>
      <c r="E1072">
        <f t="shared" ref="E1072:E1099" si="260">$E$1070+$R$1070</f>
        <v>161.54055541116307</v>
      </c>
      <c r="F1072">
        <f t="shared" si="248"/>
        <v>1.8601148784722861E-2</v>
      </c>
      <c r="G1072">
        <f t="shared" si="249"/>
        <v>5.7529326138318126E-2</v>
      </c>
      <c r="H1072">
        <f t="shared" si="250"/>
        <v>54.608542537704018</v>
      </c>
      <c r="I1072">
        <f t="shared" si="251"/>
        <v>1.0270194410193181</v>
      </c>
      <c r="J1072">
        <f t="shared" si="252"/>
        <v>1.1046881438462686</v>
      </c>
      <c r="K1072">
        <f t="shared" si="253"/>
        <v>0.55938910153951094</v>
      </c>
      <c r="L1072">
        <f t="shared" si="254"/>
        <v>1.2475191763511697</v>
      </c>
      <c r="M1072">
        <f t="shared" si="255"/>
        <v>0.9911220764159272</v>
      </c>
      <c r="N1072">
        <f t="shared" si="256"/>
        <v>1.0004225579511365</v>
      </c>
      <c r="O1072">
        <v>6.4009140382351249E-3</v>
      </c>
      <c r="P1072">
        <v>4.0887880044961494E-3</v>
      </c>
      <c r="Q1072">
        <f t="shared" si="257"/>
        <v>4141.7124663515806</v>
      </c>
      <c r="R1072">
        <f t="shared" si="258"/>
        <v>4.1417124663515805</v>
      </c>
    </row>
    <row r="1073" spans="1:18" x14ac:dyDescent="0.3">
      <c r="A1073">
        <v>2.1440000000000001</v>
      </c>
      <c r="B1073" s="4"/>
      <c r="C1073">
        <v>-31.420092978505899</v>
      </c>
      <c r="D1073">
        <v>1.95</v>
      </c>
      <c r="E1073">
        <f t="shared" si="260"/>
        <v>161.54055541116307</v>
      </c>
      <c r="F1073">
        <f t="shared" si="248"/>
        <v>1.8601148784722861E-2</v>
      </c>
      <c r="G1073">
        <f t="shared" si="249"/>
        <v>5.7529326138318126E-2</v>
      </c>
      <c r="H1073">
        <f t="shared" si="250"/>
        <v>54.608542537704018</v>
      </c>
      <c r="I1073">
        <f t="shared" si="251"/>
        <v>1.0270194410193181</v>
      </c>
      <c r="J1073">
        <f t="shared" si="252"/>
        <v>1.1046881438462686</v>
      </c>
      <c r="K1073">
        <f t="shared" si="253"/>
        <v>0.55938910153951094</v>
      </c>
      <c r="L1073">
        <f t="shared" si="254"/>
        <v>1.2475191763511697</v>
      </c>
      <c r="M1073">
        <f t="shared" si="255"/>
        <v>0.99308952248217297</v>
      </c>
      <c r="N1073">
        <f t="shared" si="256"/>
        <v>0.99525016260446075</v>
      </c>
      <c r="O1073">
        <v>6.303309995216117E-3</v>
      </c>
      <c r="P1073">
        <v>4.2218312845094261E-3</v>
      </c>
      <c r="Q1073">
        <f t="shared" si="257"/>
        <v>4141.7124663515806</v>
      </c>
      <c r="R1073">
        <f t="shared" si="258"/>
        <v>4.1417124663515805</v>
      </c>
    </row>
    <row r="1074" spans="1:18" x14ac:dyDescent="0.3">
      <c r="A1074">
        <v>2.1459999999999999</v>
      </c>
      <c r="B1074" s="4"/>
      <c r="C1074">
        <v>-31.420092978505899</v>
      </c>
      <c r="D1074">
        <v>1.95</v>
      </c>
      <c r="E1074">
        <f t="shared" si="260"/>
        <v>161.54055541116307</v>
      </c>
      <c r="F1074">
        <f t="shared" si="248"/>
        <v>1.8601148784722861E-2</v>
      </c>
      <c r="G1074">
        <f t="shared" si="249"/>
        <v>5.7529326138318126E-2</v>
      </c>
      <c r="H1074">
        <f t="shared" si="250"/>
        <v>54.608542537704018</v>
      </c>
      <c r="I1074">
        <f t="shared" si="251"/>
        <v>1.0270194410193181</v>
      </c>
      <c r="J1074">
        <f t="shared" si="252"/>
        <v>1.1046881438462686</v>
      </c>
      <c r="K1074">
        <f t="shared" si="253"/>
        <v>0.55938910153951094</v>
      </c>
      <c r="L1074">
        <f t="shared" si="254"/>
        <v>1.2475191763511697</v>
      </c>
      <c r="M1074">
        <f t="shared" si="255"/>
        <v>0.99492741730213363</v>
      </c>
      <c r="N1074">
        <f t="shared" si="256"/>
        <v>1.0008572664740709</v>
      </c>
      <c r="O1074">
        <v>6.1933471073145011E-3</v>
      </c>
      <c r="P1074">
        <v>4.4010818442748222E-3</v>
      </c>
      <c r="Q1074">
        <f t="shared" si="257"/>
        <v>4141.7124663515806</v>
      </c>
      <c r="R1074">
        <f t="shared" si="258"/>
        <v>4.1417124663515805</v>
      </c>
    </row>
    <row r="1075" spans="1:18" x14ac:dyDescent="0.3">
      <c r="A1075">
        <v>2.1480000000000001</v>
      </c>
      <c r="B1075" s="4"/>
      <c r="C1075">
        <v>-31.420092978505899</v>
      </c>
      <c r="D1075">
        <v>1.95</v>
      </c>
      <c r="E1075">
        <f t="shared" si="260"/>
        <v>161.54055541116307</v>
      </c>
      <c r="F1075">
        <f t="shared" si="248"/>
        <v>1.8601148784722861E-2</v>
      </c>
      <c r="G1075">
        <f t="shared" si="249"/>
        <v>5.7529326138318126E-2</v>
      </c>
      <c r="H1075">
        <f t="shared" si="250"/>
        <v>54.608542537704018</v>
      </c>
      <c r="I1075">
        <f t="shared" si="251"/>
        <v>1.0270194410193181</v>
      </c>
      <c r="J1075">
        <f t="shared" si="252"/>
        <v>1.1046881438462686</v>
      </c>
      <c r="K1075">
        <f t="shared" si="253"/>
        <v>0.55938910153951094</v>
      </c>
      <c r="L1075">
        <f t="shared" si="254"/>
        <v>1.2475191763511697</v>
      </c>
      <c r="M1075">
        <f t="shared" si="255"/>
        <v>0.99654506262584119</v>
      </c>
      <c r="N1075">
        <f t="shared" si="256"/>
        <v>1.0038967225000466</v>
      </c>
      <c r="O1075">
        <v>6.0716012280548209E-3</v>
      </c>
      <c r="P1075">
        <v>4.577937471015852E-3</v>
      </c>
      <c r="Q1075">
        <f t="shared" si="257"/>
        <v>4141.7124663515806</v>
      </c>
      <c r="R1075">
        <f t="shared" si="258"/>
        <v>4.1417124663515805</v>
      </c>
    </row>
    <row r="1076" spans="1:18" x14ac:dyDescent="0.3">
      <c r="A1076">
        <v>2.15</v>
      </c>
      <c r="B1076" s="4"/>
      <c r="C1076">
        <v>-31.420092978505899</v>
      </c>
      <c r="D1076">
        <v>1.95</v>
      </c>
      <c r="E1076">
        <f t="shared" si="260"/>
        <v>161.54055541116307</v>
      </c>
      <c r="F1076">
        <f t="shared" si="248"/>
        <v>1.8601148784722861E-2</v>
      </c>
      <c r="G1076">
        <f t="shared" si="249"/>
        <v>5.7529326138318126E-2</v>
      </c>
      <c r="H1076">
        <f t="shared" si="250"/>
        <v>54.608542537704018</v>
      </c>
      <c r="I1076">
        <f t="shared" si="251"/>
        <v>1.0270194410193181</v>
      </c>
      <c r="J1076">
        <f t="shared" si="252"/>
        <v>1.1046881438462686</v>
      </c>
      <c r="K1076">
        <f t="shared" si="253"/>
        <v>0.55938910153951094</v>
      </c>
      <c r="L1076">
        <f t="shared" si="254"/>
        <v>1.2475191763511697</v>
      </c>
      <c r="M1076">
        <f t="shared" si="255"/>
        <v>0.99787412692953503</v>
      </c>
      <c r="N1076">
        <f t="shared" si="256"/>
        <v>1.0008971410266989</v>
      </c>
      <c r="O1076">
        <v>5.9387866364909543E-3</v>
      </c>
      <c r="P1076">
        <v>4.740329247359289E-3</v>
      </c>
      <c r="Q1076">
        <f t="shared" si="257"/>
        <v>4141.7124663515806</v>
      </c>
      <c r="R1076">
        <f t="shared" si="258"/>
        <v>4.1417124663515805</v>
      </c>
    </row>
    <row r="1077" spans="1:18" x14ac:dyDescent="0.3">
      <c r="A1077">
        <v>2.1520000000000001</v>
      </c>
      <c r="B1077" s="4"/>
      <c r="C1077">
        <v>-31.420092978505899</v>
      </c>
      <c r="D1077">
        <v>1.95</v>
      </c>
      <c r="E1077">
        <f t="shared" si="260"/>
        <v>161.54055541116307</v>
      </c>
      <c r="F1077">
        <f t="shared" si="248"/>
        <v>1.8601148784722861E-2</v>
      </c>
      <c r="G1077">
        <f t="shared" si="249"/>
        <v>5.7529326138318126E-2</v>
      </c>
      <c r="H1077">
        <f t="shared" si="250"/>
        <v>54.608542537704018</v>
      </c>
      <c r="I1077">
        <f t="shared" si="251"/>
        <v>1.0270194410193181</v>
      </c>
      <c r="J1077">
        <f t="shared" si="252"/>
        <v>1.1046881438462686</v>
      </c>
      <c r="K1077">
        <f t="shared" si="253"/>
        <v>0.55938910153951094</v>
      </c>
      <c r="L1077">
        <f t="shared" si="254"/>
        <v>1.2475191763511697</v>
      </c>
      <c r="M1077">
        <f t="shared" si="255"/>
        <v>0.99887476652341589</v>
      </c>
      <c r="N1077">
        <f t="shared" si="256"/>
        <v>1.005580769019687</v>
      </c>
      <c r="O1077">
        <v>5.7957770991723962E-3</v>
      </c>
      <c r="P1077">
        <v>4.927949979699039E-3</v>
      </c>
      <c r="Q1077">
        <f t="shared" si="257"/>
        <v>4141.7124663515806</v>
      </c>
      <c r="R1077">
        <f t="shared" si="258"/>
        <v>4.1417124663515805</v>
      </c>
    </row>
    <row r="1078" spans="1:18" x14ac:dyDescent="0.3">
      <c r="A1078">
        <v>2.1539999999999999</v>
      </c>
      <c r="B1078" s="4"/>
      <c r="C1078">
        <v>-31.420092978505899</v>
      </c>
      <c r="D1078">
        <v>1.95</v>
      </c>
      <c r="E1078">
        <f t="shared" si="260"/>
        <v>161.54055541116307</v>
      </c>
      <c r="F1078">
        <f t="shared" si="248"/>
        <v>1.8601148784722861E-2</v>
      </c>
      <c r="G1078">
        <f t="shared" si="249"/>
        <v>5.7529326138318126E-2</v>
      </c>
      <c r="H1078">
        <f t="shared" si="250"/>
        <v>54.608542537704018</v>
      </c>
      <c r="I1078">
        <f t="shared" si="251"/>
        <v>1.0270194410193181</v>
      </c>
      <c r="J1078">
        <f t="shared" si="252"/>
        <v>1.1046881438462686</v>
      </c>
      <c r="K1078">
        <f t="shared" si="253"/>
        <v>0.55938910153951094</v>
      </c>
      <c r="L1078">
        <f t="shared" si="254"/>
        <v>1.2475191763511697</v>
      </c>
      <c r="M1078">
        <f t="shared" si="255"/>
        <v>0.99953964553477903</v>
      </c>
      <c r="N1078">
        <f t="shared" si="256"/>
        <v>0.99947257363983588</v>
      </c>
      <c r="O1078">
        <v>5.6436270535057528E-3</v>
      </c>
      <c r="P1078">
        <v>5.0841708483966228E-3</v>
      </c>
      <c r="Q1078">
        <f t="shared" si="257"/>
        <v>4141.7124663515806</v>
      </c>
      <c r="R1078">
        <f t="shared" si="258"/>
        <v>4.1417124663515805</v>
      </c>
    </row>
    <row r="1079" spans="1:18" x14ac:dyDescent="0.3">
      <c r="A1079">
        <v>2.1560000000000001</v>
      </c>
      <c r="B1079" s="4"/>
      <c r="C1079">
        <v>-31.420092978505899</v>
      </c>
      <c r="D1079">
        <v>1.95</v>
      </c>
      <c r="E1079">
        <f t="shared" si="260"/>
        <v>161.54055541116307</v>
      </c>
      <c r="F1079">
        <f t="shared" si="248"/>
        <v>1.8601148784722861E-2</v>
      </c>
      <c r="G1079">
        <f t="shared" si="249"/>
        <v>5.7529326138318126E-2</v>
      </c>
      <c r="H1079">
        <f t="shared" si="250"/>
        <v>54.608542537704018</v>
      </c>
      <c r="I1079">
        <f t="shared" si="251"/>
        <v>1.0270194410193181</v>
      </c>
      <c r="J1079">
        <f t="shared" si="252"/>
        <v>1.1046881438462686</v>
      </c>
      <c r="K1079">
        <f t="shared" si="253"/>
        <v>0.55938910153951094</v>
      </c>
      <c r="L1079">
        <f t="shared" si="254"/>
        <v>1.2475191763511697</v>
      </c>
      <c r="M1079">
        <f t="shared" si="255"/>
        <v>1.0065765095132071</v>
      </c>
      <c r="N1079">
        <f t="shared" si="256"/>
        <v>0.99867876811941148</v>
      </c>
      <c r="O1079">
        <v>5.5011593375040501E-3</v>
      </c>
      <c r="P1079">
        <v>5.2541243544388851E-3</v>
      </c>
      <c r="Q1079">
        <f t="shared" si="257"/>
        <v>4141.7124663515806</v>
      </c>
      <c r="R1079">
        <f t="shared" si="258"/>
        <v>4.1417124663515805</v>
      </c>
    </row>
    <row r="1080" spans="1:18" x14ac:dyDescent="0.3">
      <c r="A1080">
        <v>2.1579999999999999</v>
      </c>
      <c r="B1080" s="4"/>
      <c r="C1080">
        <v>-31.420092978505899</v>
      </c>
      <c r="D1080">
        <v>1.95</v>
      </c>
      <c r="E1080">
        <f t="shared" si="260"/>
        <v>161.54055541116307</v>
      </c>
      <c r="F1080">
        <f t="shared" si="248"/>
        <v>1.8601148784722861E-2</v>
      </c>
      <c r="G1080">
        <f t="shared" si="249"/>
        <v>5.7529326138318126E-2</v>
      </c>
      <c r="H1080">
        <f t="shared" si="250"/>
        <v>54.608542537704018</v>
      </c>
      <c r="I1080">
        <f t="shared" si="251"/>
        <v>1.0270194410193181</v>
      </c>
      <c r="J1080">
        <f t="shared" si="252"/>
        <v>1.1046881438462686</v>
      </c>
      <c r="K1080">
        <f t="shared" si="253"/>
        <v>0.55938910153951094</v>
      </c>
      <c r="L1080">
        <f t="shared" si="254"/>
        <v>1.2475191763511697</v>
      </c>
      <c r="M1080">
        <f t="shared" si="255"/>
        <v>0.99786146986318081</v>
      </c>
      <c r="N1080">
        <f t="shared" si="256"/>
        <v>0.99738426038815453</v>
      </c>
      <c r="O1080">
        <v>5.3113407600572666E-3</v>
      </c>
      <c r="P1080">
        <v>5.4191795962840825E-3</v>
      </c>
      <c r="Q1080">
        <f t="shared" si="257"/>
        <v>4141.7124663515806</v>
      </c>
      <c r="R1080">
        <f t="shared" si="258"/>
        <v>4.1417124663515805</v>
      </c>
    </row>
    <row r="1081" spans="1:18" x14ac:dyDescent="0.3">
      <c r="A1081">
        <v>2.16</v>
      </c>
      <c r="B1081" s="4"/>
      <c r="C1081">
        <v>-31.420092978505899</v>
      </c>
      <c r="D1081">
        <v>1.95</v>
      </c>
      <c r="E1081">
        <f t="shared" si="260"/>
        <v>161.54055541116307</v>
      </c>
      <c r="F1081">
        <f t="shared" si="248"/>
        <v>1.8601148784722861E-2</v>
      </c>
      <c r="G1081">
        <f t="shared" si="249"/>
        <v>5.7529326138318126E-2</v>
      </c>
      <c r="H1081">
        <f t="shared" si="250"/>
        <v>54.608542537704018</v>
      </c>
      <c r="I1081">
        <f t="shared" si="251"/>
        <v>1.0270194410193181</v>
      </c>
      <c r="J1081">
        <f t="shared" si="252"/>
        <v>1.1046881438462686</v>
      </c>
      <c r="K1081">
        <f t="shared" si="253"/>
        <v>0.55938910153951094</v>
      </c>
      <c r="L1081">
        <f t="shared" si="254"/>
        <v>1.2475191763511697</v>
      </c>
      <c r="M1081">
        <f t="shared" si="255"/>
        <v>0.99812765661294434</v>
      </c>
      <c r="N1081">
        <f t="shared" si="256"/>
        <v>1.0020060810545286</v>
      </c>
      <c r="O1081">
        <v>5.1409179013690099E-3</v>
      </c>
      <c r="P1081">
        <v>5.5944533295669762E-3</v>
      </c>
      <c r="Q1081">
        <f t="shared" si="257"/>
        <v>4141.7124663515806</v>
      </c>
      <c r="R1081">
        <f t="shared" si="258"/>
        <v>4.1417124663515805</v>
      </c>
    </row>
    <row r="1082" spans="1:18" x14ac:dyDescent="0.3">
      <c r="A1082">
        <v>2.1619999999999999</v>
      </c>
      <c r="B1082" s="4"/>
      <c r="C1082">
        <v>-31.420092978505899</v>
      </c>
      <c r="D1082">
        <v>1.95</v>
      </c>
      <c r="E1082">
        <f t="shared" si="260"/>
        <v>161.54055541116307</v>
      </c>
      <c r="F1082">
        <f t="shared" si="248"/>
        <v>1.8601148784722861E-2</v>
      </c>
      <c r="G1082">
        <f t="shared" si="249"/>
        <v>5.7529326138318126E-2</v>
      </c>
      <c r="H1082">
        <f t="shared" si="250"/>
        <v>54.608542537704018</v>
      </c>
      <c r="I1082">
        <f t="shared" si="251"/>
        <v>1.0270194410193181</v>
      </c>
      <c r="J1082">
        <f t="shared" si="252"/>
        <v>1.1046881438462686</v>
      </c>
      <c r="K1082">
        <f t="shared" si="253"/>
        <v>0.55938910153951094</v>
      </c>
      <c r="L1082">
        <f t="shared" si="254"/>
        <v>1.2475191763511697</v>
      </c>
      <c r="M1082">
        <f t="shared" si="255"/>
        <v>0.99917372029953144</v>
      </c>
      <c r="N1082">
        <f t="shared" si="256"/>
        <v>1.0088718136330246</v>
      </c>
      <c r="O1082">
        <v>4.970214263576727E-3</v>
      </c>
      <c r="P1082">
        <v>5.7680037797511619E-3</v>
      </c>
      <c r="Q1082">
        <f t="shared" si="257"/>
        <v>4141.7124663515806</v>
      </c>
      <c r="R1082">
        <f t="shared" si="258"/>
        <v>4.1417124663515805</v>
      </c>
    </row>
    <row r="1083" spans="1:18" x14ac:dyDescent="0.3">
      <c r="A1083">
        <v>2.1640000000000001</v>
      </c>
      <c r="B1083" s="4"/>
      <c r="C1083">
        <v>-31.420092978505899</v>
      </c>
      <c r="D1083">
        <v>1.95</v>
      </c>
      <c r="E1083">
        <f t="shared" si="260"/>
        <v>161.54055541116307</v>
      </c>
      <c r="F1083">
        <f t="shared" si="248"/>
        <v>1.8601148784722861E-2</v>
      </c>
      <c r="G1083">
        <f t="shared" si="249"/>
        <v>5.7529326138318126E-2</v>
      </c>
      <c r="H1083">
        <f t="shared" si="250"/>
        <v>54.608542537704018</v>
      </c>
      <c r="I1083">
        <f t="shared" si="251"/>
        <v>1.0270194410193181</v>
      </c>
      <c r="J1083">
        <f t="shared" si="252"/>
        <v>1.1046881438462686</v>
      </c>
      <c r="K1083">
        <f t="shared" si="253"/>
        <v>0.55938910153951094</v>
      </c>
      <c r="L1083">
        <f t="shared" si="254"/>
        <v>1.2475191763511697</v>
      </c>
      <c r="M1083">
        <f t="shared" si="255"/>
        <v>1.0081625947618944</v>
      </c>
      <c r="N1083">
        <f t="shared" si="256"/>
        <v>0.9994459382217985</v>
      </c>
      <c r="O1083">
        <v>4.8227229173827997E-3</v>
      </c>
      <c r="P1083">
        <v>5.8927921878300918E-3</v>
      </c>
      <c r="Q1083">
        <f t="shared" si="257"/>
        <v>4141.7124663515806</v>
      </c>
      <c r="R1083">
        <f t="shared" si="258"/>
        <v>4.1417124663515805</v>
      </c>
    </row>
    <row r="1084" spans="1:18" x14ac:dyDescent="0.3">
      <c r="A1084">
        <v>2.1659999999999999</v>
      </c>
      <c r="B1084" s="4"/>
      <c r="C1084">
        <v>-31.420092978505899</v>
      </c>
      <c r="D1084">
        <v>1.95</v>
      </c>
      <c r="E1084">
        <f t="shared" si="260"/>
        <v>161.54055541116307</v>
      </c>
      <c r="F1084">
        <f t="shared" si="248"/>
        <v>1.8601148784722861E-2</v>
      </c>
      <c r="G1084">
        <f t="shared" si="249"/>
        <v>5.7529326138318126E-2</v>
      </c>
      <c r="H1084">
        <f t="shared" si="250"/>
        <v>54.608542537704018</v>
      </c>
      <c r="I1084">
        <f t="shared" si="251"/>
        <v>1.0270194410193181</v>
      </c>
      <c r="J1084">
        <f t="shared" si="252"/>
        <v>1.1046881438462686</v>
      </c>
      <c r="K1084">
        <f t="shared" si="253"/>
        <v>0.55938910153951094</v>
      </c>
      <c r="L1084">
        <f t="shared" si="254"/>
        <v>1.2475191763511697</v>
      </c>
      <c r="M1084">
        <f t="shared" si="255"/>
        <v>1.0024887631674344</v>
      </c>
      <c r="N1084">
        <f t="shared" si="256"/>
        <v>0.99880829550628492</v>
      </c>
      <c r="O1084">
        <v>4.633159980095506E-3</v>
      </c>
      <c r="P1084">
        <v>6.0306123731677383E-3</v>
      </c>
      <c r="Q1084">
        <f t="shared" si="257"/>
        <v>4141.7124663515806</v>
      </c>
      <c r="R1084">
        <f t="shared" si="258"/>
        <v>4.1417124663515805</v>
      </c>
    </row>
    <row r="1085" spans="1:18" x14ac:dyDescent="0.3">
      <c r="A1085">
        <v>2.1680000000000001</v>
      </c>
      <c r="B1085" s="4"/>
      <c r="C1085">
        <v>-31.420092978505899</v>
      </c>
      <c r="D1085">
        <v>1.95</v>
      </c>
      <c r="E1085">
        <f t="shared" si="260"/>
        <v>161.54055541116307</v>
      </c>
      <c r="F1085">
        <f t="shared" si="248"/>
        <v>1.8601148784722861E-2</v>
      </c>
      <c r="G1085">
        <f t="shared" si="249"/>
        <v>5.7529326138318126E-2</v>
      </c>
      <c r="H1085">
        <f t="shared" si="250"/>
        <v>54.608542537704018</v>
      </c>
      <c r="I1085">
        <f t="shared" si="251"/>
        <v>1.0270194410193181</v>
      </c>
      <c r="J1085">
        <f t="shared" si="252"/>
        <v>1.1046881438462686</v>
      </c>
      <c r="K1085">
        <f t="shared" si="253"/>
        <v>0.55938910153951094</v>
      </c>
      <c r="L1085">
        <f t="shared" si="254"/>
        <v>1.2475191763511697</v>
      </c>
      <c r="M1085">
        <f t="shared" si="255"/>
        <v>1.0055467293175302</v>
      </c>
      <c r="N1085">
        <f t="shared" si="256"/>
        <v>0.99792334349126088</v>
      </c>
      <c r="O1085">
        <v>4.4739831953026429E-3</v>
      </c>
      <c r="P1085">
        <v>6.1577421077714974E-3</v>
      </c>
      <c r="Q1085">
        <f t="shared" si="257"/>
        <v>4141.7124663515806</v>
      </c>
      <c r="R1085">
        <f t="shared" si="258"/>
        <v>4.1417124663515805</v>
      </c>
    </row>
    <row r="1086" spans="1:18" x14ac:dyDescent="0.3">
      <c r="A1086">
        <v>2.17</v>
      </c>
      <c r="B1086" s="4"/>
      <c r="C1086">
        <v>-31.420092978505899</v>
      </c>
      <c r="D1086">
        <v>1.95</v>
      </c>
      <c r="E1086">
        <f t="shared" si="260"/>
        <v>161.54055541116307</v>
      </c>
      <c r="F1086">
        <f t="shared" si="248"/>
        <v>1.8601148784722861E-2</v>
      </c>
      <c r="G1086">
        <f t="shared" si="249"/>
        <v>5.7529326138318126E-2</v>
      </c>
      <c r="H1086">
        <f t="shared" si="250"/>
        <v>54.608542537704018</v>
      </c>
      <c r="I1086">
        <f t="shared" si="251"/>
        <v>1.0270194410193181</v>
      </c>
      <c r="J1086">
        <f t="shared" si="252"/>
        <v>1.1046881438462686</v>
      </c>
      <c r="K1086">
        <f t="shared" si="253"/>
        <v>0.55938910153951094</v>
      </c>
      <c r="L1086">
        <f t="shared" si="254"/>
        <v>1.2475191763511697</v>
      </c>
      <c r="M1086">
        <f t="shared" si="255"/>
        <v>1.0017394720566086</v>
      </c>
      <c r="N1086">
        <f t="shared" si="256"/>
        <v>0.99682357556827328</v>
      </c>
      <c r="O1086">
        <v>4.2988248025997901E-3</v>
      </c>
      <c r="P1086">
        <v>6.273355108393143E-3</v>
      </c>
      <c r="Q1086">
        <f t="shared" si="257"/>
        <v>4141.7124663515806</v>
      </c>
      <c r="R1086">
        <f t="shared" si="258"/>
        <v>4.1417124663515805</v>
      </c>
    </row>
    <row r="1087" spans="1:18" x14ac:dyDescent="0.3">
      <c r="A1087">
        <v>2.1720000000000002</v>
      </c>
      <c r="B1087" s="4"/>
      <c r="C1087">
        <v>-31.420092978505899</v>
      </c>
      <c r="D1087">
        <v>1.95</v>
      </c>
      <c r="E1087">
        <f t="shared" si="260"/>
        <v>161.54055541116307</v>
      </c>
      <c r="F1087">
        <f t="shared" si="248"/>
        <v>1.8601148784722861E-2</v>
      </c>
      <c r="G1087">
        <f t="shared" si="249"/>
        <v>5.7529326138318126E-2</v>
      </c>
      <c r="H1087">
        <f t="shared" si="250"/>
        <v>54.608542537704018</v>
      </c>
      <c r="I1087">
        <f t="shared" si="251"/>
        <v>1.0270194410193181</v>
      </c>
      <c r="J1087">
        <f t="shared" si="252"/>
        <v>1.1046881438462686</v>
      </c>
      <c r="K1087">
        <f t="shared" si="253"/>
        <v>0.55938910153951094</v>
      </c>
      <c r="L1087">
        <f t="shared" si="254"/>
        <v>1.2475191763511697</v>
      </c>
      <c r="M1087">
        <f t="shared" si="255"/>
        <v>1.0001306381341979</v>
      </c>
      <c r="N1087">
        <f t="shared" si="256"/>
        <v>0.99556505710772503</v>
      </c>
      <c r="O1087">
        <v>4.1391355149553574E-3</v>
      </c>
      <c r="P1087">
        <v>6.3767731480317948E-3</v>
      </c>
      <c r="Q1087">
        <f t="shared" si="257"/>
        <v>4141.7124663515806</v>
      </c>
      <c r="R1087">
        <f t="shared" si="258"/>
        <v>4.1417124663515805</v>
      </c>
    </row>
    <row r="1088" spans="1:18" x14ac:dyDescent="0.3">
      <c r="A1088">
        <v>2.1739999999999999</v>
      </c>
      <c r="B1088" s="4"/>
      <c r="C1088">
        <v>-31.420092978505899</v>
      </c>
      <c r="D1088">
        <v>1.95</v>
      </c>
      <c r="E1088">
        <f t="shared" si="260"/>
        <v>161.54055541116307</v>
      </c>
      <c r="F1088">
        <f t="shared" si="248"/>
        <v>1.8601148784722861E-2</v>
      </c>
      <c r="G1088">
        <f t="shared" si="249"/>
        <v>5.7529326138318126E-2</v>
      </c>
      <c r="H1088">
        <f t="shared" si="250"/>
        <v>54.608542537704018</v>
      </c>
      <c r="I1088">
        <f t="shared" si="251"/>
        <v>1.0270194410193181</v>
      </c>
      <c r="J1088">
        <f t="shared" si="252"/>
        <v>1.1046881438462686</v>
      </c>
      <c r="K1088">
        <f t="shared" si="253"/>
        <v>0.55938910153951094</v>
      </c>
      <c r="L1088">
        <f t="shared" si="254"/>
        <v>1.2475191763511697</v>
      </c>
      <c r="M1088">
        <f t="shared" si="255"/>
        <v>1.0050157259745296</v>
      </c>
      <c r="N1088">
        <f t="shared" si="256"/>
        <v>0.99422159463649207</v>
      </c>
      <c r="O1088">
        <v>4.013914009508927E-3</v>
      </c>
      <c r="P1088">
        <v>6.46744717284566E-3</v>
      </c>
      <c r="Q1088">
        <f t="shared" si="257"/>
        <v>4141.7124663515806</v>
      </c>
      <c r="R1088">
        <f t="shared" si="258"/>
        <v>4.1417124663515805</v>
      </c>
    </row>
    <row r="1089" spans="1:18" x14ac:dyDescent="0.3">
      <c r="A1089">
        <v>2.1760000000000002</v>
      </c>
      <c r="B1089" s="4"/>
      <c r="C1089">
        <v>-31.420092978505899</v>
      </c>
      <c r="D1089">
        <v>1.95</v>
      </c>
      <c r="E1089">
        <f t="shared" si="260"/>
        <v>161.54055541116307</v>
      </c>
      <c r="F1089">
        <f t="shared" si="248"/>
        <v>1.8601148784722861E-2</v>
      </c>
      <c r="G1089">
        <f t="shared" si="249"/>
        <v>5.7529326138318126E-2</v>
      </c>
      <c r="H1089">
        <f t="shared" si="250"/>
        <v>54.608542537704018</v>
      </c>
      <c r="I1089">
        <f t="shared" si="251"/>
        <v>1.0270194410193181</v>
      </c>
      <c r="J1089">
        <f t="shared" si="252"/>
        <v>1.1046881438462686</v>
      </c>
      <c r="K1089">
        <f t="shared" si="253"/>
        <v>0.55938910153951094</v>
      </c>
      <c r="L1089">
        <f t="shared" si="254"/>
        <v>1.2475191763511697</v>
      </c>
      <c r="M1089">
        <f t="shared" si="255"/>
        <v>1.000913754005293</v>
      </c>
      <c r="N1089">
        <f t="shared" si="256"/>
        <v>0.9928778067116002</v>
      </c>
      <c r="O1089">
        <v>3.8713756664733256E-3</v>
      </c>
      <c r="P1089">
        <v>6.5449395519230642E-3</v>
      </c>
      <c r="Q1089">
        <f t="shared" si="257"/>
        <v>4141.7124663515806</v>
      </c>
      <c r="R1089">
        <f t="shared" si="258"/>
        <v>4.1417124663515805</v>
      </c>
    </row>
    <row r="1090" spans="1:18" x14ac:dyDescent="0.3">
      <c r="A1090">
        <v>2.1779999999999999</v>
      </c>
      <c r="B1090" s="4"/>
      <c r="C1090">
        <v>-31.420092978505899</v>
      </c>
      <c r="D1090">
        <v>1.95</v>
      </c>
      <c r="E1090">
        <f t="shared" si="260"/>
        <v>161.54055541116307</v>
      </c>
      <c r="F1090">
        <f t="shared" si="248"/>
        <v>1.8601148784722861E-2</v>
      </c>
      <c r="G1090">
        <f t="shared" si="249"/>
        <v>5.7529326138318126E-2</v>
      </c>
      <c r="H1090">
        <f t="shared" si="250"/>
        <v>54.608542537704018</v>
      </c>
      <c r="I1090">
        <f t="shared" si="251"/>
        <v>1.0270194410193181</v>
      </c>
      <c r="J1090">
        <f t="shared" si="252"/>
        <v>1.1046881438462686</v>
      </c>
      <c r="K1090">
        <f t="shared" si="253"/>
        <v>0.55938910153951094</v>
      </c>
      <c r="L1090">
        <f t="shared" si="254"/>
        <v>1.2475191763511697</v>
      </c>
      <c r="M1090">
        <f t="shared" si="255"/>
        <v>1.0024853380270258</v>
      </c>
      <c r="N1090">
        <f t="shared" si="256"/>
        <v>0.99162172206193644</v>
      </c>
      <c r="O1090">
        <v>3.7670789416894366E-3</v>
      </c>
      <c r="P1090">
        <v>6.6089080195506746E-3</v>
      </c>
      <c r="Q1090">
        <f t="shared" si="257"/>
        <v>4141.7124663515806</v>
      </c>
      <c r="R1090">
        <f t="shared" si="258"/>
        <v>4.1417124663515805</v>
      </c>
    </row>
    <row r="1091" spans="1:18" x14ac:dyDescent="0.3">
      <c r="A1091">
        <v>2.1800000000000002</v>
      </c>
      <c r="B1091" s="4"/>
      <c r="C1091">
        <v>-31.420092978505899</v>
      </c>
      <c r="D1091">
        <v>1.95</v>
      </c>
      <c r="E1091">
        <f t="shared" si="260"/>
        <v>161.54055541116307</v>
      </c>
      <c r="F1091">
        <f t="shared" ref="F1091:F1154" si="261">0.0462806*SQRT(E1091/1000)</f>
        <v>1.8601148784722861E-2</v>
      </c>
      <c r="G1091">
        <f t="shared" ref="G1091:G1154" si="262">$U$3*F1091/2</f>
        <v>5.7529326138318126E-2</v>
      </c>
      <c r="H1091">
        <f t="shared" ref="H1091:H1154" si="263">PI()/G1091</f>
        <v>54.608542537704018</v>
      </c>
      <c r="I1091">
        <f t="shared" ref="I1091:I1154" si="264">BESSELI(H1091*$Y$5,0)</f>
        <v>1.0270194410193181</v>
      </c>
      <c r="J1091">
        <f t="shared" ref="J1091:J1154" si="265">BESSELI(H1091*D1091*$Y$5,0)</f>
        <v>1.1046881438462686</v>
      </c>
      <c r="K1091">
        <f t="shared" ref="K1091:K1154" si="266">(D1091^2-1)/(D1091^2*I1091+J1091)</f>
        <v>0.55938910153951094</v>
      </c>
      <c r="L1091">
        <f t="shared" ref="L1091:L1154" si="267">I1091+J1091/(D1091^2*I1091+J1091)</f>
        <v>1.2475191763511697</v>
      </c>
      <c r="M1091">
        <f t="shared" ref="M1091:M1154" si="268">((L1091*O1091^2)/$Y$5^2)+(K1091*BESSELI(O1091*H1091,0)*COS(H1091*A1091))</f>
        <v>1.0042740155012855</v>
      </c>
      <c r="N1091">
        <f t="shared" ref="N1091:N1154" si="269">((L1091*P1091^2)/$Y$5^2)-(K1091*BESSELI(P1091*H1091,0)*COS(H1091*A1091))</f>
        <v>0.99053748184561985</v>
      </c>
      <c r="O1091">
        <v>3.6844189195087539E-3</v>
      </c>
      <c r="P1091">
        <v>6.6590916916374381E-3</v>
      </c>
      <c r="Q1091">
        <f t="shared" ref="Q1091:Q1154" si="270">PI()*K1091*$U$4*J1091*COS(C1091*$Y$7)/(4*$Y$6)</f>
        <v>4141.7124663515806</v>
      </c>
      <c r="R1091">
        <f t="shared" ref="R1091:R1154" si="271">Q1091/1000</f>
        <v>4.1417124663515805</v>
      </c>
    </row>
    <row r="1092" spans="1:18" x14ac:dyDescent="0.3">
      <c r="A1092">
        <v>2.1819999999999999</v>
      </c>
      <c r="B1092" s="4"/>
      <c r="C1092">
        <v>-31.420092978505899</v>
      </c>
      <c r="D1092">
        <v>1.95</v>
      </c>
      <c r="E1092">
        <f t="shared" si="260"/>
        <v>161.54055541116307</v>
      </c>
      <c r="F1092">
        <f t="shared" si="261"/>
        <v>1.8601148784722861E-2</v>
      </c>
      <c r="G1092">
        <f t="shared" si="262"/>
        <v>5.7529326138318126E-2</v>
      </c>
      <c r="H1092">
        <f t="shared" si="263"/>
        <v>54.608542537704018</v>
      </c>
      <c r="I1092">
        <f t="shared" si="264"/>
        <v>1.0270194410193181</v>
      </c>
      <c r="J1092">
        <f t="shared" si="265"/>
        <v>1.1046881438462686</v>
      </c>
      <c r="K1092">
        <f t="shared" si="266"/>
        <v>0.55938910153951094</v>
      </c>
      <c r="L1092">
        <f t="shared" si="267"/>
        <v>1.2475191763511697</v>
      </c>
      <c r="M1092">
        <f t="shared" si="268"/>
        <v>1.0058766073478171</v>
      </c>
      <c r="N1092">
        <f t="shared" si="269"/>
        <v>0.99982168377324654</v>
      </c>
      <c r="O1092">
        <v>3.6243153516174508E-3</v>
      </c>
      <c r="P1092">
        <v>6.7173420544324415E-3</v>
      </c>
      <c r="Q1092">
        <f t="shared" si="270"/>
        <v>4141.7124663515806</v>
      </c>
      <c r="R1092">
        <f t="shared" si="271"/>
        <v>4.1417124663515805</v>
      </c>
    </row>
    <row r="1093" spans="1:18" x14ac:dyDescent="0.3">
      <c r="A1093">
        <v>2.1840000000000002</v>
      </c>
      <c r="B1093" s="4"/>
      <c r="C1093">
        <v>-31.420092978505899</v>
      </c>
      <c r="D1093">
        <v>1.95</v>
      </c>
      <c r="E1093">
        <f t="shared" si="260"/>
        <v>161.54055541116307</v>
      </c>
      <c r="F1093">
        <f t="shared" si="261"/>
        <v>1.8601148784722861E-2</v>
      </c>
      <c r="G1093">
        <f t="shared" si="262"/>
        <v>5.7529326138318126E-2</v>
      </c>
      <c r="H1093">
        <f t="shared" si="263"/>
        <v>54.608542537704018</v>
      </c>
      <c r="I1093">
        <f t="shared" si="264"/>
        <v>1.0270194410193181</v>
      </c>
      <c r="J1093">
        <f t="shared" si="265"/>
        <v>1.1046881438462686</v>
      </c>
      <c r="K1093">
        <f t="shared" si="266"/>
        <v>0.55938910153951094</v>
      </c>
      <c r="L1093">
        <f t="shared" si="267"/>
        <v>1.2475191763511697</v>
      </c>
      <c r="M1093">
        <f t="shared" si="268"/>
        <v>1.0007281884897952</v>
      </c>
      <c r="N1093">
        <f t="shared" si="269"/>
        <v>0.99980728766188998</v>
      </c>
      <c r="O1093">
        <v>3.5624782815899007E-3</v>
      </c>
      <c r="P1093">
        <v>6.740506508589132E-3</v>
      </c>
      <c r="Q1093">
        <f t="shared" si="270"/>
        <v>4141.7124663515806</v>
      </c>
      <c r="R1093">
        <f t="shared" si="271"/>
        <v>4.1417124663515805</v>
      </c>
    </row>
    <row r="1094" spans="1:18" x14ac:dyDescent="0.3">
      <c r="A1094">
        <v>2.1859999999999999</v>
      </c>
      <c r="B1094" s="4"/>
      <c r="C1094">
        <v>-31.420092978505899</v>
      </c>
      <c r="D1094">
        <v>1.95</v>
      </c>
      <c r="E1094">
        <f t="shared" si="260"/>
        <v>161.54055541116307</v>
      </c>
      <c r="F1094">
        <f t="shared" si="261"/>
        <v>1.8601148784722861E-2</v>
      </c>
      <c r="G1094">
        <f t="shared" si="262"/>
        <v>5.7529326138318126E-2</v>
      </c>
      <c r="H1094">
        <f t="shared" si="263"/>
        <v>54.608542537704018</v>
      </c>
      <c r="I1094">
        <f t="shared" si="264"/>
        <v>1.0270194410193181</v>
      </c>
      <c r="J1094">
        <f t="shared" si="265"/>
        <v>1.1046881438462686</v>
      </c>
      <c r="K1094">
        <f t="shared" si="266"/>
        <v>0.55938910153951094</v>
      </c>
      <c r="L1094">
        <f t="shared" si="267"/>
        <v>1.2475191763511697</v>
      </c>
      <c r="M1094">
        <f t="shared" si="268"/>
        <v>1.0009798266151351</v>
      </c>
      <c r="N1094">
        <f t="shared" si="269"/>
        <v>0.99980191307261956</v>
      </c>
      <c r="O1094">
        <v>3.54845487318309E-3</v>
      </c>
      <c r="P1094">
        <v>6.7488129111831193E-3</v>
      </c>
      <c r="Q1094">
        <f t="shared" si="270"/>
        <v>4141.7124663515806</v>
      </c>
      <c r="R1094">
        <f t="shared" si="271"/>
        <v>4.1417124663515805</v>
      </c>
    </row>
    <row r="1095" spans="1:18" x14ac:dyDescent="0.3">
      <c r="A1095">
        <v>2.1880000000000002</v>
      </c>
      <c r="B1095" s="4"/>
      <c r="C1095">
        <v>-31.420092978505899</v>
      </c>
      <c r="D1095">
        <v>1.95</v>
      </c>
      <c r="E1095">
        <f t="shared" si="260"/>
        <v>161.54055541116307</v>
      </c>
      <c r="F1095">
        <f t="shared" si="261"/>
        <v>1.8601148784722861E-2</v>
      </c>
      <c r="G1095">
        <f t="shared" si="262"/>
        <v>5.7529326138318126E-2</v>
      </c>
      <c r="H1095">
        <f t="shared" si="263"/>
        <v>54.608542537704018</v>
      </c>
      <c r="I1095">
        <f t="shared" si="264"/>
        <v>1.0270194410193181</v>
      </c>
      <c r="J1095">
        <f t="shared" si="265"/>
        <v>1.1046881438462686</v>
      </c>
      <c r="K1095">
        <f t="shared" si="266"/>
        <v>0.55938910153951094</v>
      </c>
      <c r="L1095">
        <f t="shared" si="267"/>
        <v>1.2475191763511697</v>
      </c>
      <c r="M1095">
        <f t="shared" si="268"/>
        <v>1.0007786799615797</v>
      </c>
      <c r="N1095">
        <f t="shared" si="269"/>
        <v>0.99980619402248738</v>
      </c>
      <c r="O1095">
        <v>3.5596016097741135E-3</v>
      </c>
      <c r="P1095">
        <v>6.7422110646281905E-3</v>
      </c>
      <c r="Q1095">
        <f t="shared" si="270"/>
        <v>4141.7124663515806</v>
      </c>
      <c r="R1095">
        <f t="shared" si="271"/>
        <v>4.1417124663515805</v>
      </c>
    </row>
    <row r="1096" spans="1:18" x14ac:dyDescent="0.3">
      <c r="A1096">
        <v>2.19</v>
      </c>
      <c r="B1096" s="4"/>
      <c r="C1096">
        <v>-31.420092978505899</v>
      </c>
      <c r="D1096">
        <v>1.95</v>
      </c>
      <c r="E1096">
        <f t="shared" si="260"/>
        <v>161.54055541116307</v>
      </c>
      <c r="F1096">
        <f t="shared" si="261"/>
        <v>1.8601148784722861E-2</v>
      </c>
      <c r="G1096">
        <f t="shared" si="262"/>
        <v>5.7529326138318126E-2</v>
      </c>
      <c r="H1096">
        <f t="shared" si="263"/>
        <v>54.608542537704018</v>
      </c>
      <c r="I1096">
        <f t="shared" si="264"/>
        <v>1.0270194410193181</v>
      </c>
      <c r="J1096">
        <f t="shared" si="265"/>
        <v>1.1046881438462686</v>
      </c>
      <c r="K1096">
        <f t="shared" si="266"/>
        <v>0.55938910153951094</v>
      </c>
      <c r="L1096">
        <f t="shared" si="267"/>
        <v>1.2475191763511697</v>
      </c>
      <c r="M1096">
        <f t="shared" si="268"/>
        <v>1.0060332043590017</v>
      </c>
      <c r="N1096">
        <f t="shared" si="269"/>
        <v>0.99981962516339473</v>
      </c>
      <c r="O1096">
        <v>3.6189101642713378E-3</v>
      </c>
      <c r="P1096">
        <v>6.72074085727053E-3</v>
      </c>
      <c r="Q1096">
        <f t="shared" si="270"/>
        <v>4141.7124663515806</v>
      </c>
      <c r="R1096">
        <f t="shared" si="271"/>
        <v>4.1417124663515805</v>
      </c>
    </row>
    <row r="1097" spans="1:18" x14ac:dyDescent="0.3">
      <c r="A1097">
        <v>2.1920000000000002</v>
      </c>
      <c r="B1097" s="4"/>
      <c r="C1097">
        <v>-31.420092978505899</v>
      </c>
      <c r="D1097">
        <v>1.95</v>
      </c>
      <c r="E1097">
        <f t="shared" si="260"/>
        <v>161.54055541116307</v>
      </c>
      <c r="F1097">
        <f t="shared" si="261"/>
        <v>1.8601148784722861E-2</v>
      </c>
      <c r="G1097">
        <f t="shared" si="262"/>
        <v>5.7529326138318126E-2</v>
      </c>
      <c r="H1097">
        <f t="shared" si="263"/>
        <v>54.608542537704018</v>
      </c>
      <c r="I1097">
        <f t="shared" si="264"/>
        <v>1.0270194410193181</v>
      </c>
      <c r="J1097">
        <f t="shared" si="265"/>
        <v>1.1046881438462686</v>
      </c>
      <c r="K1097">
        <f t="shared" si="266"/>
        <v>0.55938910153951094</v>
      </c>
      <c r="L1097">
        <f t="shared" si="267"/>
        <v>1.2475191763511697</v>
      </c>
      <c r="M1097">
        <f t="shared" si="268"/>
        <v>1.0044734714216448</v>
      </c>
      <c r="N1097">
        <f t="shared" si="269"/>
        <v>0.9904278528154149</v>
      </c>
      <c r="O1097">
        <v>3.6763860907112677E-3</v>
      </c>
      <c r="P1097">
        <v>6.6639445094260072E-3</v>
      </c>
      <c r="Q1097">
        <f t="shared" si="270"/>
        <v>4141.7124663515806</v>
      </c>
      <c r="R1097">
        <f t="shared" si="271"/>
        <v>4.1417124663515805</v>
      </c>
    </row>
    <row r="1098" spans="1:18" x14ac:dyDescent="0.3">
      <c r="A1098">
        <v>2.194</v>
      </c>
      <c r="B1098" s="4"/>
      <c r="C1098">
        <v>-31.420092978505899</v>
      </c>
      <c r="D1098">
        <v>1.95</v>
      </c>
      <c r="E1098">
        <f t="shared" si="260"/>
        <v>161.54055541116307</v>
      </c>
      <c r="F1098">
        <f t="shared" si="261"/>
        <v>1.8601148784722861E-2</v>
      </c>
      <c r="G1098">
        <f t="shared" si="262"/>
        <v>5.7529326138318126E-2</v>
      </c>
      <c r="H1098">
        <f t="shared" si="263"/>
        <v>54.608542537704018</v>
      </c>
      <c r="I1098">
        <f t="shared" si="264"/>
        <v>1.0270194410193181</v>
      </c>
      <c r="J1098">
        <f t="shared" si="265"/>
        <v>1.1046881438462686</v>
      </c>
      <c r="K1098">
        <f t="shared" si="266"/>
        <v>0.55938910153951094</v>
      </c>
      <c r="L1098">
        <f t="shared" si="267"/>
        <v>1.2475191763511697</v>
      </c>
      <c r="M1098">
        <f t="shared" si="268"/>
        <v>1.002687287437293</v>
      </c>
      <c r="N1098">
        <f t="shared" si="269"/>
        <v>0.99148748633788963</v>
      </c>
      <c r="O1098">
        <v>3.756507701848366E-3</v>
      </c>
      <c r="P1098">
        <v>6.6153511207245157E-3</v>
      </c>
      <c r="Q1098">
        <f t="shared" si="270"/>
        <v>4141.7124663515806</v>
      </c>
      <c r="R1098">
        <f t="shared" si="271"/>
        <v>4.1417124663515805</v>
      </c>
    </row>
    <row r="1099" spans="1:18" x14ac:dyDescent="0.3">
      <c r="A1099">
        <v>2.1960000000000002</v>
      </c>
      <c r="B1099" s="4"/>
      <c r="C1099">
        <v>-31.420092978505899</v>
      </c>
      <c r="D1099">
        <v>1.95</v>
      </c>
      <c r="E1099">
        <f t="shared" si="260"/>
        <v>161.54055541116307</v>
      </c>
      <c r="F1099">
        <f t="shared" si="261"/>
        <v>1.8601148784722861E-2</v>
      </c>
      <c r="G1099">
        <f t="shared" si="262"/>
        <v>5.7529326138318126E-2</v>
      </c>
      <c r="H1099">
        <f t="shared" si="263"/>
        <v>54.608542537704018</v>
      </c>
      <c r="I1099">
        <f t="shared" si="264"/>
        <v>1.0270194410193181</v>
      </c>
      <c r="J1099">
        <f t="shared" si="265"/>
        <v>1.1046881438462686</v>
      </c>
      <c r="K1099">
        <f t="shared" si="266"/>
        <v>0.55938910153951094</v>
      </c>
      <c r="L1099">
        <f t="shared" si="267"/>
        <v>1.2475191763511697</v>
      </c>
      <c r="M1099">
        <f t="shared" si="268"/>
        <v>1.0010678746070798</v>
      </c>
      <c r="N1099">
        <f t="shared" si="269"/>
        <v>0.99272803235501172</v>
      </c>
      <c r="O1099">
        <v>3.8583837981857293E-3</v>
      </c>
      <c r="P1099">
        <v>6.5529477322123853E-3</v>
      </c>
      <c r="Q1099">
        <f t="shared" si="270"/>
        <v>4141.7124663515806</v>
      </c>
      <c r="R1099">
        <f t="shared" si="271"/>
        <v>4.1417124663515805</v>
      </c>
    </row>
    <row r="1100" spans="1:18" x14ac:dyDescent="0.3">
      <c r="A1100">
        <v>2.198</v>
      </c>
      <c r="B1100" s="4">
        <v>76</v>
      </c>
      <c r="C1100">
        <v>-30.860909504646902</v>
      </c>
      <c r="D1100">
        <v>1.95</v>
      </c>
      <c r="E1100">
        <f>$E$1099+$R$1099</f>
        <v>165.68226787751465</v>
      </c>
      <c r="F1100">
        <f t="shared" si="261"/>
        <v>1.8838095575965788E-2</v>
      </c>
      <c r="G1100">
        <f t="shared" si="262"/>
        <v>5.8262151265873571E-2</v>
      </c>
      <c r="H1100">
        <f t="shared" si="263"/>
        <v>53.921672738334799</v>
      </c>
      <c r="I1100">
        <f t="shared" si="264"/>
        <v>1.0263395960542736</v>
      </c>
      <c r="J1100">
        <f t="shared" si="265"/>
        <v>1.1020062602534115</v>
      </c>
      <c r="K1100">
        <f t="shared" si="266"/>
        <v>0.55997781237431421</v>
      </c>
      <c r="L1100">
        <f t="shared" si="267"/>
        <v>1.2465355121433028</v>
      </c>
      <c r="M1100">
        <f t="shared" si="268"/>
        <v>1.001319600987572</v>
      </c>
      <c r="N1100">
        <f t="shared" si="269"/>
        <v>0.99658184005608574</v>
      </c>
      <c r="O1100">
        <v>4.2702452601412998E-3</v>
      </c>
      <c r="P1100">
        <v>6.2952505333819814E-3</v>
      </c>
      <c r="Q1100">
        <f t="shared" si="270"/>
        <v>4160.4671543048917</v>
      </c>
      <c r="R1100">
        <f t="shared" si="271"/>
        <v>4.1604671543048912</v>
      </c>
    </row>
    <row r="1101" spans="1:18" x14ac:dyDescent="0.3">
      <c r="A1101">
        <v>2.2000000000000002</v>
      </c>
      <c r="B1101" s="4"/>
      <c r="C1101">
        <v>-30.860909504646902</v>
      </c>
      <c r="D1101">
        <v>1.95</v>
      </c>
      <c r="E1101">
        <f t="shared" ref="E1101:E1128" si="272">$E$1099+$R$1099</f>
        <v>165.68226787751465</v>
      </c>
      <c r="F1101">
        <f t="shared" si="261"/>
        <v>1.8838095575965788E-2</v>
      </c>
      <c r="G1101">
        <f t="shared" si="262"/>
        <v>5.8262151265873571E-2</v>
      </c>
      <c r="H1101">
        <f t="shared" si="263"/>
        <v>53.921672738334799</v>
      </c>
      <c r="I1101">
        <f t="shared" si="264"/>
        <v>1.0263395960542736</v>
      </c>
      <c r="J1101">
        <f t="shared" si="265"/>
        <v>1.1020062602534115</v>
      </c>
      <c r="K1101">
        <f t="shared" si="266"/>
        <v>0.55997781237431421</v>
      </c>
      <c r="L1101">
        <f t="shared" si="267"/>
        <v>1.2465355121433028</v>
      </c>
      <c r="M1101">
        <f t="shared" si="268"/>
        <v>0.99428470392793233</v>
      </c>
      <c r="N1101">
        <f t="shared" si="269"/>
        <v>0.99531215648718452</v>
      </c>
      <c r="O1101">
        <v>4.095003181418198E-3</v>
      </c>
      <c r="P1101">
        <v>6.3952931736561535E-3</v>
      </c>
      <c r="Q1101">
        <f t="shared" si="270"/>
        <v>4160.4671543048917</v>
      </c>
      <c r="R1101">
        <f t="shared" si="271"/>
        <v>4.1604671543048912</v>
      </c>
    </row>
    <row r="1102" spans="1:18" x14ac:dyDescent="0.3">
      <c r="A1102">
        <v>2.202</v>
      </c>
      <c r="B1102" s="4"/>
      <c r="C1102">
        <v>-30.860909504646902</v>
      </c>
      <c r="D1102">
        <v>1.95</v>
      </c>
      <c r="E1102">
        <f t="shared" si="272"/>
        <v>165.68226787751465</v>
      </c>
      <c r="F1102">
        <f t="shared" si="261"/>
        <v>1.8838095575965788E-2</v>
      </c>
      <c r="G1102">
        <f t="shared" si="262"/>
        <v>5.8262151265873571E-2</v>
      </c>
      <c r="H1102">
        <f t="shared" si="263"/>
        <v>53.921672738334799</v>
      </c>
      <c r="I1102">
        <f t="shared" si="264"/>
        <v>1.0263395960542736</v>
      </c>
      <c r="J1102">
        <f t="shared" si="265"/>
        <v>1.1020062602534115</v>
      </c>
      <c r="K1102">
        <f t="shared" si="266"/>
        <v>0.55997781237431421</v>
      </c>
      <c r="L1102">
        <f t="shared" si="267"/>
        <v>1.2465355121433028</v>
      </c>
      <c r="M1102">
        <f t="shared" si="268"/>
        <v>1.0001028251010975</v>
      </c>
      <c r="N1102">
        <f t="shared" si="269"/>
        <v>0.99397282772096796</v>
      </c>
      <c r="O1102">
        <v>3.9762860374320938E-3</v>
      </c>
      <c r="P1102">
        <v>6.4828239368123312E-3</v>
      </c>
      <c r="Q1102">
        <f t="shared" si="270"/>
        <v>4160.4671543048917</v>
      </c>
      <c r="R1102">
        <f t="shared" si="271"/>
        <v>4.1604671543048912</v>
      </c>
    </row>
    <row r="1103" spans="1:18" x14ac:dyDescent="0.3">
      <c r="A1103">
        <v>2.2040000000000002</v>
      </c>
      <c r="B1103" s="4"/>
      <c r="C1103">
        <v>-30.860909504646902</v>
      </c>
      <c r="D1103">
        <v>1.95</v>
      </c>
      <c r="E1103">
        <f t="shared" si="272"/>
        <v>165.68226787751465</v>
      </c>
      <c r="F1103">
        <f t="shared" si="261"/>
        <v>1.8838095575965788E-2</v>
      </c>
      <c r="G1103">
        <f t="shared" si="262"/>
        <v>5.8262151265873571E-2</v>
      </c>
      <c r="H1103">
        <f t="shared" si="263"/>
        <v>53.921672738334799</v>
      </c>
      <c r="I1103">
        <f t="shared" si="264"/>
        <v>1.0263395960542736</v>
      </c>
      <c r="J1103">
        <f t="shared" si="265"/>
        <v>1.1020062602534115</v>
      </c>
      <c r="K1103">
        <f t="shared" si="266"/>
        <v>0.55997781237431421</v>
      </c>
      <c r="L1103">
        <f t="shared" si="267"/>
        <v>1.2465355121433028</v>
      </c>
      <c r="M1103">
        <f t="shared" si="268"/>
        <v>1.0010997316666677</v>
      </c>
      <c r="N1103">
        <f t="shared" si="269"/>
        <v>0.99264664284999815</v>
      </c>
      <c r="O1103">
        <v>3.8557254774120846E-3</v>
      </c>
      <c r="P1103">
        <v>6.5574388775962895E-3</v>
      </c>
      <c r="Q1103">
        <f t="shared" si="270"/>
        <v>4160.4671543048917</v>
      </c>
      <c r="R1103">
        <f t="shared" si="271"/>
        <v>4.1604671543048912</v>
      </c>
    </row>
    <row r="1104" spans="1:18" x14ac:dyDescent="0.3">
      <c r="A1104">
        <v>2.206</v>
      </c>
      <c r="B1104" s="4"/>
      <c r="C1104">
        <v>-30.860909504646902</v>
      </c>
      <c r="D1104">
        <v>1.95</v>
      </c>
      <c r="E1104">
        <f t="shared" si="272"/>
        <v>165.68226787751465</v>
      </c>
      <c r="F1104">
        <f t="shared" si="261"/>
        <v>1.8838095575965788E-2</v>
      </c>
      <c r="G1104">
        <f t="shared" si="262"/>
        <v>5.8262151265873571E-2</v>
      </c>
      <c r="H1104">
        <f t="shared" si="263"/>
        <v>53.921672738334799</v>
      </c>
      <c r="I1104">
        <f t="shared" si="264"/>
        <v>1.0263395960542736</v>
      </c>
      <c r="J1104">
        <f t="shared" si="265"/>
        <v>1.1020062602534115</v>
      </c>
      <c r="K1104">
        <f t="shared" si="266"/>
        <v>0.55997781237431421</v>
      </c>
      <c r="L1104">
        <f t="shared" si="267"/>
        <v>1.2465355121433028</v>
      </c>
      <c r="M1104">
        <f t="shared" si="268"/>
        <v>1.0027074189332015</v>
      </c>
      <c r="N1104">
        <f t="shared" si="269"/>
        <v>0.99141853180883266</v>
      </c>
      <c r="O1104">
        <v>3.7553305410813966E-3</v>
      </c>
      <c r="P1104">
        <v>6.6188223534346816E-3</v>
      </c>
      <c r="Q1104">
        <f t="shared" si="270"/>
        <v>4160.4671543048917</v>
      </c>
      <c r="R1104">
        <f t="shared" si="271"/>
        <v>4.1604671543048912</v>
      </c>
    </row>
    <row r="1105" spans="1:18" x14ac:dyDescent="0.3">
      <c r="A1105">
        <v>2.2080000000000002</v>
      </c>
      <c r="B1105" s="4"/>
      <c r="C1105">
        <v>-30.860909504646902</v>
      </c>
      <c r="D1105">
        <v>1.95</v>
      </c>
      <c r="E1105">
        <f t="shared" si="272"/>
        <v>165.68226787751465</v>
      </c>
      <c r="F1105">
        <f t="shared" si="261"/>
        <v>1.8838095575965788E-2</v>
      </c>
      <c r="G1105">
        <f t="shared" si="262"/>
        <v>5.8262151265873571E-2</v>
      </c>
      <c r="H1105">
        <f t="shared" si="263"/>
        <v>53.921672738334799</v>
      </c>
      <c r="I1105">
        <f t="shared" si="264"/>
        <v>1.0263395960542736</v>
      </c>
      <c r="J1105">
        <f t="shared" si="265"/>
        <v>1.1020062602534115</v>
      </c>
      <c r="K1105">
        <f t="shared" si="266"/>
        <v>0.55997781237431421</v>
      </c>
      <c r="L1105">
        <f t="shared" si="267"/>
        <v>1.2465355121433028</v>
      </c>
      <c r="M1105">
        <f t="shared" si="268"/>
        <v>1.0044735121404766</v>
      </c>
      <c r="N1105">
        <f t="shared" si="269"/>
        <v>0.99036875806580549</v>
      </c>
      <c r="O1105">
        <v>3.6761953504758967E-3</v>
      </c>
      <c r="P1105">
        <v>6.6667341538103582E-3</v>
      </c>
      <c r="Q1105">
        <f t="shared" si="270"/>
        <v>4160.4671543048917</v>
      </c>
      <c r="R1105">
        <f t="shared" si="271"/>
        <v>4.1604671543048912</v>
      </c>
    </row>
    <row r="1106" spans="1:18" x14ac:dyDescent="0.3">
      <c r="A1106">
        <v>2.21</v>
      </c>
      <c r="B1106" s="4"/>
      <c r="C1106">
        <v>-30.860909504646902</v>
      </c>
      <c r="D1106">
        <v>1.95</v>
      </c>
      <c r="E1106">
        <f t="shared" si="272"/>
        <v>165.68226787751465</v>
      </c>
      <c r="F1106">
        <f t="shared" si="261"/>
        <v>1.8838095575965788E-2</v>
      </c>
      <c r="G1106">
        <f t="shared" si="262"/>
        <v>5.8262151265873571E-2</v>
      </c>
      <c r="H1106">
        <f t="shared" si="263"/>
        <v>53.921672738334799</v>
      </c>
      <c r="I1106">
        <f t="shared" si="264"/>
        <v>1.0263395960542736</v>
      </c>
      <c r="J1106">
        <f t="shared" si="265"/>
        <v>1.1020062602534115</v>
      </c>
      <c r="K1106">
        <f t="shared" si="266"/>
        <v>0.55997781237431421</v>
      </c>
      <c r="L1106">
        <f t="shared" si="267"/>
        <v>1.2465355121433028</v>
      </c>
      <c r="M1106">
        <f t="shared" si="268"/>
        <v>1.0060189076554902</v>
      </c>
      <c r="N1106">
        <f t="shared" si="269"/>
        <v>0.99981812811140558</v>
      </c>
      <c r="O1106">
        <v>3.6191795450022804E-3</v>
      </c>
      <c r="P1106">
        <v>6.7233134508724625E-3</v>
      </c>
      <c r="Q1106">
        <f t="shared" si="270"/>
        <v>4160.4671543048917</v>
      </c>
      <c r="R1106">
        <f t="shared" si="271"/>
        <v>4.1604671543048912</v>
      </c>
    </row>
    <row r="1107" spans="1:18" x14ac:dyDescent="0.3">
      <c r="A1107">
        <v>2.2120000000000002</v>
      </c>
      <c r="B1107" s="4"/>
      <c r="C1107">
        <v>-30.860909504646902</v>
      </c>
      <c r="D1107">
        <v>1.95</v>
      </c>
      <c r="E1107">
        <f t="shared" si="272"/>
        <v>165.68226787751465</v>
      </c>
      <c r="F1107">
        <f t="shared" si="261"/>
        <v>1.8838095575965788E-2</v>
      </c>
      <c r="G1107">
        <f t="shared" si="262"/>
        <v>5.8262151265873571E-2</v>
      </c>
      <c r="H1107">
        <f t="shared" si="263"/>
        <v>53.921672738334799</v>
      </c>
      <c r="I1107">
        <f t="shared" si="264"/>
        <v>1.0263395960542736</v>
      </c>
      <c r="J1107">
        <f t="shared" si="265"/>
        <v>1.1020062602534115</v>
      </c>
      <c r="K1107">
        <f t="shared" si="266"/>
        <v>0.55997781237431421</v>
      </c>
      <c r="L1107">
        <f t="shared" si="267"/>
        <v>1.2465355121433028</v>
      </c>
      <c r="M1107">
        <f t="shared" si="268"/>
        <v>1.0007744196352661</v>
      </c>
      <c r="N1107">
        <f t="shared" si="269"/>
        <v>0.99980459816703782</v>
      </c>
      <c r="O1107">
        <v>3.5597958618566665E-3</v>
      </c>
      <c r="P1107">
        <v>6.744804693685675E-3</v>
      </c>
      <c r="Q1107">
        <f t="shared" si="270"/>
        <v>4160.4671543048917</v>
      </c>
      <c r="R1107">
        <f t="shared" si="271"/>
        <v>4.1604671543048912</v>
      </c>
    </row>
    <row r="1108" spans="1:18" x14ac:dyDescent="0.3">
      <c r="A1108">
        <v>2.214</v>
      </c>
      <c r="B1108" s="4"/>
      <c r="C1108">
        <v>-30.860909504646902</v>
      </c>
      <c r="D1108">
        <v>1.95</v>
      </c>
      <c r="E1108">
        <f t="shared" si="272"/>
        <v>165.68226787751465</v>
      </c>
      <c r="F1108">
        <f t="shared" si="261"/>
        <v>1.8838095575965788E-2</v>
      </c>
      <c r="G1108">
        <f t="shared" si="262"/>
        <v>5.8262151265873571E-2</v>
      </c>
      <c r="H1108">
        <f t="shared" si="263"/>
        <v>53.921672738334799</v>
      </c>
      <c r="I1108">
        <f t="shared" si="264"/>
        <v>1.0263395960542736</v>
      </c>
      <c r="J1108">
        <f t="shared" si="265"/>
        <v>1.1020062602534115</v>
      </c>
      <c r="K1108">
        <f t="shared" si="266"/>
        <v>0.55997781237431421</v>
      </c>
      <c r="L1108">
        <f t="shared" si="267"/>
        <v>1.2465355121433028</v>
      </c>
      <c r="M1108">
        <f t="shared" si="268"/>
        <v>1.0009876811413769</v>
      </c>
      <c r="N1108">
        <f t="shared" si="269"/>
        <v>0.99980003316017807</v>
      </c>
      <c r="O1108">
        <v>3.5479716346303479E-3</v>
      </c>
      <c r="P1108">
        <v>6.7517968182168875E-3</v>
      </c>
      <c r="Q1108">
        <f t="shared" si="270"/>
        <v>4160.4671543048917</v>
      </c>
      <c r="R1108">
        <f t="shared" si="271"/>
        <v>4.1604671543048912</v>
      </c>
    </row>
    <row r="1109" spans="1:18" x14ac:dyDescent="0.3">
      <c r="A1109">
        <v>2.2160000000000002</v>
      </c>
      <c r="B1109" s="4"/>
      <c r="C1109">
        <v>-30.860909504646902</v>
      </c>
      <c r="D1109">
        <v>1.95</v>
      </c>
      <c r="E1109">
        <f t="shared" si="272"/>
        <v>165.68226787751465</v>
      </c>
      <c r="F1109">
        <f t="shared" si="261"/>
        <v>1.8838095575965788E-2</v>
      </c>
      <c r="G1109">
        <f t="shared" si="262"/>
        <v>5.8262151265873571E-2</v>
      </c>
      <c r="H1109">
        <f t="shared" si="263"/>
        <v>53.921672738334799</v>
      </c>
      <c r="I1109">
        <f t="shared" si="264"/>
        <v>1.0263395960542736</v>
      </c>
      <c r="J1109">
        <f t="shared" si="265"/>
        <v>1.1020062602534115</v>
      </c>
      <c r="K1109">
        <f t="shared" si="266"/>
        <v>0.55997781237431421</v>
      </c>
      <c r="L1109">
        <f t="shared" si="267"/>
        <v>1.2465355121433028</v>
      </c>
      <c r="M1109">
        <f t="shared" si="268"/>
        <v>1.0007578927229324</v>
      </c>
      <c r="N1109">
        <f t="shared" si="269"/>
        <v>0.99980495763445798</v>
      </c>
      <c r="O1109">
        <v>3.5607355585418809E-3</v>
      </c>
      <c r="P1109">
        <v>6.7442487763199116E-3</v>
      </c>
      <c r="Q1109">
        <f t="shared" si="270"/>
        <v>4160.4671543048917</v>
      </c>
      <c r="R1109">
        <f t="shared" si="271"/>
        <v>4.1604671543048912</v>
      </c>
    </row>
    <row r="1110" spans="1:18" x14ac:dyDescent="0.3">
      <c r="A1110">
        <v>2.218</v>
      </c>
      <c r="B1110" s="4"/>
      <c r="C1110">
        <v>-30.860909504646902</v>
      </c>
      <c r="D1110">
        <v>1.95</v>
      </c>
      <c r="E1110">
        <f t="shared" si="272"/>
        <v>165.68226787751465</v>
      </c>
      <c r="F1110">
        <f t="shared" si="261"/>
        <v>1.8838095575965788E-2</v>
      </c>
      <c r="G1110">
        <f t="shared" si="262"/>
        <v>5.8262151265873571E-2</v>
      </c>
      <c r="H1110">
        <f t="shared" si="263"/>
        <v>53.921672738334799</v>
      </c>
      <c r="I1110">
        <f t="shared" si="264"/>
        <v>1.0263395960542736</v>
      </c>
      <c r="J1110">
        <f t="shared" si="265"/>
        <v>1.1020062602534115</v>
      </c>
      <c r="K1110">
        <f t="shared" si="266"/>
        <v>0.55997781237431421</v>
      </c>
      <c r="L1110">
        <f t="shared" si="267"/>
        <v>1.2465355121433028</v>
      </c>
      <c r="M1110">
        <f t="shared" si="268"/>
        <v>1.0059676104130979</v>
      </c>
      <c r="N1110">
        <f t="shared" si="269"/>
        <v>0.99981880586642535</v>
      </c>
      <c r="O1110">
        <v>3.620945438700585E-3</v>
      </c>
      <c r="P1110">
        <v>6.7222048827255357E-3</v>
      </c>
      <c r="Q1110">
        <f t="shared" si="270"/>
        <v>4160.4671543048917</v>
      </c>
      <c r="R1110">
        <f t="shared" si="271"/>
        <v>4.1604671543048912</v>
      </c>
    </row>
    <row r="1111" spans="1:18" x14ac:dyDescent="0.3">
      <c r="A1111">
        <v>2.2200000000000002</v>
      </c>
      <c r="B1111" s="4"/>
      <c r="C1111">
        <v>-30.860909504646902</v>
      </c>
      <c r="D1111">
        <v>1.95</v>
      </c>
      <c r="E1111">
        <f t="shared" si="272"/>
        <v>165.68226787751465</v>
      </c>
      <c r="F1111">
        <f t="shared" si="261"/>
        <v>1.8838095575965788E-2</v>
      </c>
      <c r="G1111">
        <f t="shared" si="262"/>
        <v>5.8262151265873571E-2</v>
      </c>
      <c r="H1111">
        <f t="shared" si="263"/>
        <v>53.921672738334799</v>
      </c>
      <c r="I1111">
        <f t="shared" si="264"/>
        <v>1.0263395960542736</v>
      </c>
      <c r="J1111">
        <f t="shared" si="265"/>
        <v>1.1020062602534115</v>
      </c>
      <c r="K1111">
        <f t="shared" si="266"/>
        <v>0.55997781237431421</v>
      </c>
      <c r="L1111">
        <f t="shared" si="267"/>
        <v>1.2465355121433028</v>
      </c>
      <c r="M1111">
        <f t="shared" si="268"/>
        <v>1.004407871452524</v>
      </c>
      <c r="N1111">
        <f t="shared" si="269"/>
        <v>0.99040475435112729</v>
      </c>
      <c r="O1111">
        <v>3.6788202755160247E-3</v>
      </c>
      <c r="P1111">
        <v>6.665151534919745E-3</v>
      </c>
      <c r="Q1111">
        <f t="shared" si="270"/>
        <v>4160.4671543048917</v>
      </c>
      <c r="R1111">
        <f t="shared" si="271"/>
        <v>4.1604671543048912</v>
      </c>
    </row>
    <row r="1112" spans="1:18" x14ac:dyDescent="0.3">
      <c r="A1112">
        <v>2.222</v>
      </c>
      <c r="B1112" s="4"/>
      <c r="C1112">
        <v>-30.860909504646902</v>
      </c>
      <c r="D1112">
        <v>1.95</v>
      </c>
      <c r="E1112">
        <f t="shared" si="272"/>
        <v>165.68226787751465</v>
      </c>
      <c r="F1112">
        <f t="shared" si="261"/>
        <v>1.8838095575965788E-2</v>
      </c>
      <c r="G1112">
        <f t="shared" si="262"/>
        <v>5.8262151265873571E-2</v>
      </c>
      <c r="H1112">
        <f t="shared" si="263"/>
        <v>53.921672738334799</v>
      </c>
      <c r="I1112">
        <f t="shared" si="264"/>
        <v>1.0263395960542736</v>
      </c>
      <c r="J1112">
        <f t="shared" si="265"/>
        <v>1.1020062602534115</v>
      </c>
      <c r="K1112">
        <f t="shared" si="266"/>
        <v>0.55997781237431421</v>
      </c>
      <c r="L1112">
        <f t="shared" si="267"/>
        <v>1.2465355121433028</v>
      </c>
      <c r="M1112">
        <f t="shared" si="268"/>
        <v>1.0026403280400453</v>
      </c>
      <c r="N1112">
        <f t="shared" si="269"/>
        <v>0.99146271340717307</v>
      </c>
      <c r="O1112">
        <v>3.7587860225214657E-3</v>
      </c>
      <c r="P1112">
        <v>6.6167208068362285E-3</v>
      </c>
      <c r="Q1112">
        <f t="shared" si="270"/>
        <v>4160.4671543048917</v>
      </c>
      <c r="R1112">
        <f t="shared" si="271"/>
        <v>4.1604671543048912</v>
      </c>
    </row>
    <row r="1113" spans="1:18" x14ac:dyDescent="0.3">
      <c r="A1113">
        <v>2.2240000000000002</v>
      </c>
      <c r="B1113" s="4"/>
      <c r="C1113">
        <v>-30.860909504646902</v>
      </c>
      <c r="D1113">
        <v>1.95</v>
      </c>
      <c r="E1113">
        <f t="shared" si="272"/>
        <v>165.68226787751465</v>
      </c>
      <c r="F1113">
        <f t="shared" si="261"/>
        <v>1.8838095575965788E-2</v>
      </c>
      <c r="G1113">
        <f t="shared" si="262"/>
        <v>5.8262151265873571E-2</v>
      </c>
      <c r="H1113">
        <f t="shared" si="263"/>
        <v>53.921672738334799</v>
      </c>
      <c r="I1113">
        <f t="shared" si="264"/>
        <v>1.0263395960542736</v>
      </c>
      <c r="J1113">
        <f t="shared" si="265"/>
        <v>1.1020062602534115</v>
      </c>
      <c r="K1113">
        <f t="shared" si="266"/>
        <v>0.55997781237431421</v>
      </c>
      <c r="L1113">
        <f t="shared" si="267"/>
        <v>1.2465355121433028</v>
      </c>
      <c r="M1113">
        <f t="shared" si="268"/>
        <v>1.001047291938264</v>
      </c>
      <c r="N1113">
        <f t="shared" si="269"/>
        <v>0.99269610240966055</v>
      </c>
      <c r="O1113">
        <v>3.8599739226005117E-3</v>
      </c>
      <c r="P1113">
        <v>6.5548263398888919E-3</v>
      </c>
      <c r="Q1113">
        <f t="shared" si="270"/>
        <v>4160.4671543048917</v>
      </c>
      <c r="R1113">
        <f t="shared" si="271"/>
        <v>4.1604671543048912</v>
      </c>
    </row>
    <row r="1114" spans="1:18" x14ac:dyDescent="0.3">
      <c r="A1114">
        <v>2.226</v>
      </c>
      <c r="B1114" s="4"/>
      <c r="C1114">
        <v>-30.860909504646902</v>
      </c>
      <c r="D1114">
        <v>1.95</v>
      </c>
      <c r="E1114">
        <f t="shared" si="272"/>
        <v>165.68226787751465</v>
      </c>
      <c r="F1114">
        <f t="shared" si="261"/>
        <v>1.8838095575965788E-2</v>
      </c>
      <c r="G1114">
        <f t="shared" si="262"/>
        <v>5.8262151265873571E-2</v>
      </c>
      <c r="H1114">
        <f t="shared" si="263"/>
        <v>53.921672738334799</v>
      </c>
      <c r="I1114">
        <f t="shared" si="264"/>
        <v>1.0263395960542736</v>
      </c>
      <c r="J1114">
        <f t="shared" si="265"/>
        <v>1.1020062602534115</v>
      </c>
      <c r="K1114">
        <f t="shared" si="266"/>
        <v>0.55997781237431421</v>
      </c>
      <c r="L1114">
        <f t="shared" si="267"/>
        <v>1.2465355121433028</v>
      </c>
      <c r="M1114">
        <f t="shared" si="268"/>
        <v>1.0092027228154761</v>
      </c>
      <c r="N1114">
        <f t="shared" si="269"/>
        <v>0.99402436044202946</v>
      </c>
      <c r="O1114">
        <v>4.013914009508927E-3</v>
      </c>
      <c r="P1114">
        <v>6.4797110190875085E-3</v>
      </c>
      <c r="Q1114">
        <f t="shared" si="270"/>
        <v>4160.4671543048917</v>
      </c>
      <c r="R1114">
        <f t="shared" si="271"/>
        <v>4.1604671543048912</v>
      </c>
    </row>
    <row r="1115" spans="1:18" x14ac:dyDescent="0.3">
      <c r="A1115">
        <v>2.2280000000000002</v>
      </c>
      <c r="B1115" s="4"/>
      <c r="C1115">
        <v>-30.860909504646902</v>
      </c>
      <c r="D1115">
        <v>1.95</v>
      </c>
      <c r="E1115">
        <f t="shared" si="272"/>
        <v>165.68226787751465</v>
      </c>
      <c r="F1115">
        <f t="shared" si="261"/>
        <v>1.8838095575965788E-2</v>
      </c>
      <c r="G1115">
        <f t="shared" si="262"/>
        <v>5.8262151265873571E-2</v>
      </c>
      <c r="H1115">
        <f t="shared" si="263"/>
        <v>53.921672738334799</v>
      </c>
      <c r="I1115">
        <f t="shared" si="264"/>
        <v>1.0263395960542736</v>
      </c>
      <c r="J1115">
        <f t="shared" si="265"/>
        <v>1.1020062602534115</v>
      </c>
      <c r="K1115">
        <f t="shared" si="266"/>
        <v>0.55997781237431421</v>
      </c>
      <c r="L1115">
        <f t="shared" si="267"/>
        <v>1.2465355121433028</v>
      </c>
      <c r="M1115">
        <f t="shared" si="268"/>
        <v>0.99268247907321983</v>
      </c>
      <c r="N1115">
        <f t="shared" si="269"/>
        <v>0.99536251162334111</v>
      </c>
      <c r="O1115">
        <v>4.095003181418198E-3</v>
      </c>
      <c r="P1115">
        <v>6.3916936146342423E-3</v>
      </c>
      <c r="Q1115">
        <f t="shared" si="270"/>
        <v>4160.4671543048917</v>
      </c>
      <c r="R1115">
        <f t="shared" si="271"/>
        <v>4.1604671543048912</v>
      </c>
    </row>
    <row r="1116" spans="1:18" x14ac:dyDescent="0.3">
      <c r="A1116">
        <v>2.23</v>
      </c>
      <c r="B1116" s="4"/>
      <c r="C1116">
        <v>-30.860909504646902</v>
      </c>
      <c r="D1116">
        <v>1.95</v>
      </c>
      <c r="E1116">
        <f t="shared" si="272"/>
        <v>165.68226787751465</v>
      </c>
      <c r="F1116">
        <f t="shared" si="261"/>
        <v>1.8838095575965788E-2</v>
      </c>
      <c r="G1116">
        <f t="shared" si="262"/>
        <v>5.8262151265873571E-2</v>
      </c>
      <c r="H1116">
        <f t="shared" si="263"/>
        <v>53.921672738334799</v>
      </c>
      <c r="I1116">
        <f t="shared" si="264"/>
        <v>1.0263395960542736</v>
      </c>
      <c r="J1116">
        <f t="shared" si="265"/>
        <v>1.1020062602534115</v>
      </c>
      <c r="K1116">
        <f t="shared" si="266"/>
        <v>0.55997781237431421</v>
      </c>
      <c r="L1116">
        <f t="shared" si="267"/>
        <v>1.2465355121433028</v>
      </c>
      <c r="M1116">
        <f t="shared" si="268"/>
        <v>1.0014062396627024</v>
      </c>
      <c r="N1116">
        <f t="shared" si="269"/>
        <v>0.99662798790777929</v>
      </c>
      <c r="O1116">
        <v>4.276498352724009E-3</v>
      </c>
      <c r="P1116">
        <v>6.2911817326799808E-3</v>
      </c>
      <c r="Q1116">
        <f t="shared" si="270"/>
        <v>4160.4671543048917</v>
      </c>
      <c r="R1116">
        <f t="shared" si="271"/>
        <v>4.1604671543048912</v>
      </c>
    </row>
    <row r="1117" spans="1:18" x14ac:dyDescent="0.3">
      <c r="A1117">
        <v>2.2320000000000002</v>
      </c>
      <c r="B1117" s="4"/>
      <c r="C1117">
        <v>-30.860909504646902</v>
      </c>
      <c r="D1117">
        <v>1.95</v>
      </c>
      <c r="E1117">
        <f t="shared" si="272"/>
        <v>165.68226787751465</v>
      </c>
      <c r="F1117">
        <f t="shared" si="261"/>
        <v>1.8838095575965788E-2</v>
      </c>
      <c r="G1117">
        <f t="shared" si="262"/>
        <v>5.8262151265873571E-2</v>
      </c>
      <c r="H1117">
        <f t="shared" si="263"/>
        <v>53.921672738334799</v>
      </c>
      <c r="I1117">
        <f t="shared" si="264"/>
        <v>1.0263395960542736</v>
      </c>
      <c r="J1117">
        <f t="shared" si="265"/>
        <v>1.1020062602534115</v>
      </c>
      <c r="K1117">
        <f t="shared" si="266"/>
        <v>0.55997781237431421</v>
      </c>
      <c r="L1117">
        <f t="shared" si="267"/>
        <v>1.2465355121433028</v>
      </c>
      <c r="M1117">
        <f t="shared" si="268"/>
        <v>1.0048333070256155</v>
      </c>
      <c r="N1117">
        <f t="shared" si="269"/>
        <v>0.99774760916147176</v>
      </c>
      <c r="O1117">
        <v>4.4476404819667635E-3</v>
      </c>
      <c r="P1117">
        <v>6.1786867343494225E-3</v>
      </c>
      <c r="Q1117">
        <f t="shared" si="270"/>
        <v>4160.4671543048917</v>
      </c>
      <c r="R1117">
        <f t="shared" si="271"/>
        <v>4.1604671543048912</v>
      </c>
    </row>
    <row r="1118" spans="1:18" x14ac:dyDescent="0.3">
      <c r="A1118">
        <v>2.234</v>
      </c>
      <c r="B1118" s="4"/>
      <c r="C1118">
        <v>-30.860909504646902</v>
      </c>
      <c r="D1118">
        <v>1.95</v>
      </c>
      <c r="E1118">
        <f t="shared" si="272"/>
        <v>165.68226787751465</v>
      </c>
      <c r="F1118">
        <f t="shared" si="261"/>
        <v>1.8838095575965788E-2</v>
      </c>
      <c r="G1118">
        <f t="shared" si="262"/>
        <v>5.8262151265873571E-2</v>
      </c>
      <c r="H1118">
        <f t="shared" si="263"/>
        <v>53.921672738334799</v>
      </c>
      <c r="I1118">
        <f t="shared" si="264"/>
        <v>1.0263395960542736</v>
      </c>
      <c r="J1118">
        <f t="shared" si="265"/>
        <v>1.1020062602534115</v>
      </c>
      <c r="K1118">
        <f t="shared" si="266"/>
        <v>0.55997781237431421</v>
      </c>
      <c r="L1118">
        <f t="shared" si="267"/>
        <v>1.2465355121433028</v>
      </c>
      <c r="M1118">
        <f t="shared" si="268"/>
        <v>1.0018430387236725</v>
      </c>
      <c r="N1118">
        <f t="shared" si="269"/>
        <v>0.99866419958894004</v>
      </c>
      <c r="O1118">
        <v>4.6043601462335522E-3</v>
      </c>
      <c r="P1118">
        <v>6.0548402927469193E-3</v>
      </c>
      <c r="Q1118">
        <f t="shared" si="270"/>
        <v>4160.4671543048917</v>
      </c>
      <c r="R1118">
        <f t="shared" si="271"/>
        <v>4.1604671543048912</v>
      </c>
    </row>
    <row r="1119" spans="1:18" x14ac:dyDescent="0.3">
      <c r="A1119">
        <v>2.2360000000000002</v>
      </c>
      <c r="B1119" s="4"/>
      <c r="C1119">
        <v>-30.860909504646902</v>
      </c>
      <c r="D1119">
        <v>1.95</v>
      </c>
      <c r="E1119">
        <f t="shared" si="272"/>
        <v>165.68226787751465</v>
      </c>
      <c r="F1119">
        <f t="shared" si="261"/>
        <v>1.8838095575965788E-2</v>
      </c>
      <c r="G1119">
        <f t="shared" si="262"/>
        <v>5.8262151265873571E-2</v>
      </c>
      <c r="H1119">
        <f t="shared" si="263"/>
        <v>53.921672738334799</v>
      </c>
      <c r="I1119">
        <f t="shared" si="264"/>
        <v>1.0263395960542736</v>
      </c>
      <c r="J1119">
        <f t="shared" si="265"/>
        <v>1.1020062602534115</v>
      </c>
      <c r="K1119">
        <f t="shared" si="266"/>
        <v>0.55997781237431421</v>
      </c>
      <c r="L1119">
        <f t="shared" si="267"/>
        <v>1.2465355121433028</v>
      </c>
      <c r="M1119">
        <f t="shared" si="268"/>
        <v>1.0070053315095093</v>
      </c>
      <c r="N1119">
        <f t="shared" si="269"/>
        <v>0.99934227161132205</v>
      </c>
      <c r="O1119">
        <v>4.7901770991267802E-3</v>
      </c>
      <c r="P1119">
        <v>5.9204121014363792E-3</v>
      </c>
      <c r="Q1119">
        <f t="shared" si="270"/>
        <v>4160.4671543048917</v>
      </c>
      <c r="R1119">
        <f t="shared" si="271"/>
        <v>4.1604671543048912</v>
      </c>
    </row>
    <row r="1120" spans="1:18" x14ac:dyDescent="0.3">
      <c r="A1120">
        <v>2.238</v>
      </c>
      <c r="B1120" s="4"/>
      <c r="C1120">
        <v>-30.860909504646902</v>
      </c>
      <c r="D1120">
        <v>1.95</v>
      </c>
      <c r="E1120">
        <f t="shared" si="272"/>
        <v>165.68226787751465</v>
      </c>
      <c r="F1120">
        <f t="shared" si="261"/>
        <v>1.8838095575965788E-2</v>
      </c>
      <c r="G1120">
        <f t="shared" si="262"/>
        <v>5.8262151265873571E-2</v>
      </c>
      <c r="H1120">
        <f t="shared" si="263"/>
        <v>53.921672738334799</v>
      </c>
      <c r="I1120">
        <f t="shared" si="264"/>
        <v>1.0263395960542736</v>
      </c>
      <c r="J1120">
        <f t="shared" si="265"/>
        <v>1.1020062602534115</v>
      </c>
      <c r="K1120">
        <f t="shared" si="266"/>
        <v>0.55997781237431421</v>
      </c>
      <c r="L1120">
        <f t="shared" si="267"/>
        <v>1.2465355121433028</v>
      </c>
      <c r="M1120">
        <f t="shared" si="268"/>
        <v>0.99930753371066938</v>
      </c>
      <c r="N1120">
        <f t="shared" si="269"/>
        <v>0.99977219181063648</v>
      </c>
      <c r="O1120">
        <v>4.9392750273526053E-3</v>
      </c>
      <c r="P1120">
        <v>5.7763280528523239E-3</v>
      </c>
      <c r="Q1120">
        <f t="shared" si="270"/>
        <v>4160.4671543048917</v>
      </c>
      <c r="R1120">
        <f t="shared" si="271"/>
        <v>4.1604671543048912</v>
      </c>
    </row>
    <row r="1121" spans="1:18" x14ac:dyDescent="0.3">
      <c r="A1121">
        <v>2.2400000000000002</v>
      </c>
      <c r="B1121" s="4"/>
      <c r="C1121">
        <v>-30.860909504646902</v>
      </c>
      <c r="D1121">
        <v>1.95</v>
      </c>
      <c r="E1121">
        <f t="shared" si="272"/>
        <v>165.68226787751465</v>
      </c>
      <c r="F1121">
        <f t="shared" si="261"/>
        <v>1.8838095575965788E-2</v>
      </c>
      <c r="G1121">
        <f t="shared" si="262"/>
        <v>5.8262151265873571E-2</v>
      </c>
      <c r="H1121">
        <f t="shared" si="263"/>
        <v>53.921672738334799</v>
      </c>
      <c r="I1121">
        <f t="shared" si="264"/>
        <v>1.0263395960542736</v>
      </c>
      <c r="J1121">
        <f t="shared" si="265"/>
        <v>1.1020062602534115</v>
      </c>
      <c r="K1121">
        <f t="shared" si="266"/>
        <v>0.55997781237431421</v>
      </c>
      <c r="L1121">
        <f t="shared" si="267"/>
        <v>1.2465355121433028</v>
      </c>
      <c r="M1121">
        <f t="shared" si="268"/>
        <v>0.99837189549285943</v>
      </c>
      <c r="N1121">
        <f t="shared" si="269"/>
        <v>1.0033251497500015</v>
      </c>
      <c r="O1121">
        <v>5.1085518668960959E-3</v>
      </c>
      <c r="P1121">
        <v>5.6323076255565792E-3</v>
      </c>
      <c r="Q1121">
        <f t="shared" si="270"/>
        <v>4160.4671543048917</v>
      </c>
      <c r="R1121">
        <f t="shared" si="271"/>
        <v>4.1604671543048912</v>
      </c>
    </row>
    <row r="1122" spans="1:18" x14ac:dyDescent="0.3">
      <c r="A1122">
        <v>2.242</v>
      </c>
      <c r="B1122" s="4"/>
      <c r="C1122">
        <v>-30.860909504646902</v>
      </c>
      <c r="D1122">
        <v>1.95</v>
      </c>
      <c r="E1122">
        <f t="shared" si="272"/>
        <v>165.68226787751465</v>
      </c>
      <c r="F1122">
        <f t="shared" si="261"/>
        <v>1.8838095575965788E-2</v>
      </c>
      <c r="G1122">
        <f t="shared" si="262"/>
        <v>5.8262151265873571E-2</v>
      </c>
      <c r="H1122">
        <f t="shared" si="263"/>
        <v>53.921672738334799</v>
      </c>
      <c r="I1122">
        <f t="shared" si="264"/>
        <v>1.0263395960542736</v>
      </c>
      <c r="J1122">
        <f t="shared" si="265"/>
        <v>1.1020062602534115</v>
      </c>
      <c r="K1122">
        <f t="shared" si="266"/>
        <v>0.55997781237431421</v>
      </c>
      <c r="L1122">
        <f t="shared" si="267"/>
        <v>1.2465355121433028</v>
      </c>
      <c r="M1122">
        <f t="shared" si="268"/>
        <v>0.99916761868216131</v>
      </c>
      <c r="N1122">
        <f t="shared" si="269"/>
        <v>0.99807897873420715</v>
      </c>
      <c r="O1122">
        <v>5.2805470442220592E-3</v>
      </c>
      <c r="P1122">
        <v>5.4587297534045053E-3</v>
      </c>
      <c r="Q1122">
        <f t="shared" si="270"/>
        <v>4160.4671543048917</v>
      </c>
      <c r="R1122">
        <f t="shared" si="271"/>
        <v>4.1604671543048912</v>
      </c>
    </row>
    <row r="1123" spans="1:18" x14ac:dyDescent="0.3">
      <c r="A1123">
        <v>2.2440000000000002</v>
      </c>
      <c r="B1123" s="4"/>
      <c r="C1123">
        <v>-30.860909504646902</v>
      </c>
      <c r="D1123">
        <v>1.95</v>
      </c>
      <c r="E1123">
        <f t="shared" si="272"/>
        <v>165.68226787751465</v>
      </c>
      <c r="F1123">
        <f t="shared" si="261"/>
        <v>1.8838095575965788E-2</v>
      </c>
      <c r="G1123">
        <f t="shared" si="262"/>
        <v>5.8262151265873571E-2</v>
      </c>
      <c r="H1123">
        <f t="shared" si="263"/>
        <v>53.921672738334799</v>
      </c>
      <c r="I1123">
        <f t="shared" si="264"/>
        <v>1.0263395960542736</v>
      </c>
      <c r="J1123">
        <f t="shared" si="265"/>
        <v>1.1020062602534115</v>
      </c>
      <c r="K1123">
        <f t="shared" si="266"/>
        <v>0.55997781237431421</v>
      </c>
      <c r="L1123">
        <f t="shared" si="267"/>
        <v>1.2465355121433028</v>
      </c>
      <c r="M1123">
        <f t="shared" si="268"/>
        <v>1.0050107973478706</v>
      </c>
      <c r="N1123">
        <f t="shared" si="269"/>
        <v>0.99841934740736382</v>
      </c>
      <c r="O1123">
        <v>5.4619380550011629E-3</v>
      </c>
      <c r="P1123">
        <v>5.294094008170918E-3</v>
      </c>
      <c r="Q1123">
        <f t="shared" si="270"/>
        <v>4160.4671543048917</v>
      </c>
      <c r="R1123">
        <f t="shared" si="271"/>
        <v>4.1604671543048912</v>
      </c>
    </row>
    <row r="1124" spans="1:18" x14ac:dyDescent="0.3">
      <c r="A1124">
        <v>2.246</v>
      </c>
      <c r="B1124" s="4"/>
      <c r="C1124">
        <v>-30.860909504646902</v>
      </c>
      <c r="D1124">
        <v>1.95</v>
      </c>
      <c r="E1124">
        <f t="shared" si="272"/>
        <v>165.68226787751465</v>
      </c>
      <c r="F1124">
        <f t="shared" si="261"/>
        <v>1.8838095575965788E-2</v>
      </c>
      <c r="G1124">
        <f t="shared" si="262"/>
        <v>5.8262151265873571E-2</v>
      </c>
      <c r="H1124">
        <f t="shared" si="263"/>
        <v>53.921672738334799</v>
      </c>
      <c r="I1124">
        <f t="shared" si="264"/>
        <v>1.0263395960542736</v>
      </c>
      <c r="J1124">
        <f t="shared" si="265"/>
        <v>1.1020062602534115</v>
      </c>
      <c r="K1124">
        <f t="shared" si="266"/>
        <v>0.55997781237431421</v>
      </c>
      <c r="L1124">
        <f t="shared" si="267"/>
        <v>1.2465355121433028</v>
      </c>
      <c r="M1124">
        <f t="shared" si="268"/>
        <v>0.99964525571621299</v>
      </c>
      <c r="N1124">
        <f t="shared" si="269"/>
        <v>0.9993161528868435</v>
      </c>
      <c r="O1124">
        <v>5.6082644603552053E-3</v>
      </c>
      <c r="P1124">
        <v>5.1270890687780783E-3</v>
      </c>
      <c r="Q1124">
        <f t="shared" si="270"/>
        <v>4160.4671543048917</v>
      </c>
      <c r="R1124">
        <f t="shared" si="271"/>
        <v>4.1604671543048912</v>
      </c>
    </row>
    <row r="1125" spans="1:18" x14ac:dyDescent="0.3">
      <c r="A1125">
        <v>2.2480000000000002</v>
      </c>
      <c r="B1125" s="4"/>
      <c r="C1125">
        <v>-30.860909504646902</v>
      </c>
      <c r="D1125">
        <v>1.95</v>
      </c>
      <c r="E1125">
        <f t="shared" si="272"/>
        <v>165.68226787751465</v>
      </c>
      <c r="F1125">
        <f t="shared" si="261"/>
        <v>1.8838095575965788E-2</v>
      </c>
      <c r="G1125">
        <f t="shared" si="262"/>
        <v>5.8262151265873571E-2</v>
      </c>
      <c r="H1125">
        <f t="shared" si="263"/>
        <v>53.921672738334799</v>
      </c>
      <c r="I1125">
        <f t="shared" si="264"/>
        <v>1.0263395960542736</v>
      </c>
      <c r="J1125">
        <f t="shared" si="265"/>
        <v>1.1020062602534115</v>
      </c>
      <c r="K1125">
        <f t="shared" si="266"/>
        <v>0.55997781237431421</v>
      </c>
      <c r="L1125">
        <f t="shared" si="267"/>
        <v>1.2465355121433028</v>
      </c>
      <c r="M1125">
        <f t="shared" si="268"/>
        <v>0.99906217815259202</v>
      </c>
      <c r="N1125">
        <f t="shared" si="269"/>
        <v>1.0072454513192524</v>
      </c>
      <c r="O1125">
        <v>5.7606465418745031E-3</v>
      </c>
      <c r="P1125">
        <v>4.9782834507617118E-3</v>
      </c>
      <c r="Q1125">
        <f t="shared" si="270"/>
        <v>4160.4671543048917</v>
      </c>
      <c r="R1125">
        <f t="shared" si="271"/>
        <v>4.1604671543048912</v>
      </c>
    </row>
    <row r="1126" spans="1:18" x14ac:dyDescent="0.3">
      <c r="A1126">
        <v>2.25</v>
      </c>
      <c r="B1126" s="4"/>
      <c r="C1126">
        <v>-30.860909504646902</v>
      </c>
      <c r="D1126">
        <v>1.95</v>
      </c>
      <c r="E1126">
        <f t="shared" si="272"/>
        <v>165.68226787751465</v>
      </c>
      <c r="F1126">
        <f t="shared" si="261"/>
        <v>1.8838095575965788E-2</v>
      </c>
      <c r="G1126">
        <f t="shared" si="262"/>
        <v>5.8262151265873571E-2</v>
      </c>
      <c r="H1126">
        <f t="shared" si="263"/>
        <v>53.921672738334799</v>
      </c>
      <c r="I1126">
        <f t="shared" si="264"/>
        <v>1.0263395960542736</v>
      </c>
      <c r="J1126">
        <f t="shared" si="265"/>
        <v>1.1020062602534115</v>
      </c>
      <c r="K1126">
        <f t="shared" si="266"/>
        <v>0.55997781237431421</v>
      </c>
      <c r="L1126">
        <f t="shared" si="267"/>
        <v>1.2465355121433028</v>
      </c>
      <c r="M1126">
        <f t="shared" si="268"/>
        <v>0.9981537837615877</v>
      </c>
      <c r="N1126">
        <f t="shared" si="269"/>
        <v>1.0019156439383161</v>
      </c>
      <c r="O1126">
        <v>5.9043867009455639E-3</v>
      </c>
      <c r="P1126">
        <v>4.7908031393605654E-3</v>
      </c>
      <c r="Q1126">
        <f t="shared" si="270"/>
        <v>4160.4671543048917</v>
      </c>
      <c r="R1126">
        <f t="shared" si="271"/>
        <v>4.1604671543048912</v>
      </c>
    </row>
    <row r="1127" spans="1:18" x14ac:dyDescent="0.3">
      <c r="A1127">
        <v>2.2519999999999998</v>
      </c>
      <c r="B1127" s="4"/>
      <c r="C1127">
        <v>-30.860909504646902</v>
      </c>
      <c r="D1127">
        <v>1.95</v>
      </c>
      <c r="E1127">
        <f t="shared" si="272"/>
        <v>165.68226787751465</v>
      </c>
      <c r="F1127">
        <f t="shared" si="261"/>
        <v>1.8838095575965788E-2</v>
      </c>
      <c r="G1127">
        <f t="shared" si="262"/>
        <v>5.8262151265873571E-2</v>
      </c>
      <c r="H1127">
        <f t="shared" si="263"/>
        <v>53.921672738334799</v>
      </c>
      <c r="I1127">
        <f t="shared" si="264"/>
        <v>1.0263395960542736</v>
      </c>
      <c r="J1127">
        <f t="shared" si="265"/>
        <v>1.1020062602534115</v>
      </c>
      <c r="K1127">
        <f t="shared" si="266"/>
        <v>0.55997781237431421</v>
      </c>
      <c r="L1127">
        <f t="shared" si="267"/>
        <v>1.2465355121433028</v>
      </c>
      <c r="M1127">
        <f t="shared" si="268"/>
        <v>0.99691896654300305</v>
      </c>
      <c r="N1127">
        <f t="shared" si="269"/>
        <v>1.0052144011715201</v>
      </c>
      <c r="O1127">
        <v>6.0384233761461188E-3</v>
      </c>
      <c r="P1127">
        <v>4.6305062916816193E-3</v>
      </c>
      <c r="Q1127">
        <f t="shared" si="270"/>
        <v>4160.4671543048917</v>
      </c>
      <c r="R1127">
        <f t="shared" si="271"/>
        <v>4.1604671543048912</v>
      </c>
    </row>
    <row r="1128" spans="1:18" x14ac:dyDescent="0.3">
      <c r="A1128">
        <v>2.254</v>
      </c>
      <c r="B1128" s="4"/>
      <c r="C1128">
        <v>-30.860909504646902</v>
      </c>
      <c r="D1128">
        <v>1.95</v>
      </c>
      <c r="E1128">
        <f t="shared" si="272"/>
        <v>165.68226787751465</v>
      </c>
      <c r="F1128">
        <f t="shared" si="261"/>
        <v>1.8838095575965788E-2</v>
      </c>
      <c r="G1128">
        <f t="shared" si="262"/>
        <v>5.8262151265873571E-2</v>
      </c>
      <c r="H1128">
        <f t="shared" si="263"/>
        <v>53.921672738334799</v>
      </c>
      <c r="I1128">
        <f t="shared" si="264"/>
        <v>1.0263395960542736</v>
      </c>
      <c r="J1128">
        <f t="shared" si="265"/>
        <v>1.1020062602534115</v>
      </c>
      <c r="K1128">
        <f t="shared" si="266"/>
        <v>0.55997781237431421</v>
      </c>
      <c r="L1128">
        <f t="shared" si="267"/>
        <v>1.2465355121433028</v>
      </c>
      <c r="M1128">
        <f t="shared" si="268"/>
        <v>0.99538820207179668</v>
      </c>
      <c r="N1128">
        <f t="shared" si="269"/>
        <v>1.001509748477676</v>
      </c>
      <c r="O1128">
        <v>6.161872237609005E-3</v>
      </c>
      <c r="P1128">
        <v>4.452126862870576E-3</v>
      </c>
      <c r="Q1128">
        <f t="shared" si="270"/>
        <v>4160.4671543048917</v>
      </c>
      <c r="R1128">
        <f t="shared" si="271"/>
        <v>4.1604671543048912</v>
      </c>
    </row>
    <row r="1129" spans="1:18" x14ac:dyDescent="0.3">
      <c r="A1129">
        <v>2.2559999999999998</v>
      </c>
      <c r="B1129" s="4">
        <v>77</v>
      </c>
      <c r="C1129">
        <v>-30.278745888026499</v>
      </c>
      <c r="D1129">
        <v>1.95</v>
      </c>
      <c r="E1129">
        <f>$E$1128+$R$1128</f>
        <v>169.84273503181953</v>
      </c>
      <c r="F1129">
        <f t="shared" si="261"/>
        <v>1.9073151923566602E-2</v>
      </c>
      <c r="G1129">
        <f t="shared" si="262"/>
        <v>5.8989129660515262E-2</v>
      </c>
      <c r="H1129">
        <f t="shared" si="263"/>
        <v>53.257145370168729</v>
      </c>
      <c r="I1129">
        <f t="shared" si="264"/>
        <v>1.0256902670382038</v>
      </c>
      <c r="J1129">
        <f t="shared" si="265"/>
        <v>1.099447062739038</v>
      </c>
      <c r="K1129">
        <f t="shared" si="266"/>
        <v>0.56054099761522203</v>
      </c>
      <c r="L1129">
        <f t="shared" si="267"/>
        <v>1.2455957633353907</v>
      </c>
      <c r="M1129">
        <f t="shared" si="268"/>
        <v>1.0001162228807281</v>
      </c>
      <c r="N1129">
        <f t="shared" si="269"/>
        <v>0.99545808728813079</v>
      </c>
      <c r="O1129">
        <v>4.1359027143366952E-3</v>
      </c>
      <c r="P1129">
        <v>6.3849567148827769E-3</v>
      </c>
      <c r="Q1129">
        <f t="shared" si="270"/>
        <v>4179.9924200018895</v>
      </c>
      <c r="R1129">
        <f t="shared" si="271"/>
        <v>4.1799924200018896</v>
      </c>
    </row>
    <row r="1130" spans="1:18" x14ac:dyDescent="0.3">
      <c r="A1130">
        <v>2.258</v>
      </c>
      <c r="B1130" s="4"/>
      <c r="C1130">
        <v>-30.278745888026499</v>
      </c>
      <c r="D1130">
        <v>1.95</v>
      </c>
      <c r="E1130">
        <f t="shared" ref="E1130:E1186" si="273">$E$1128+$R$1128</f>
        <v>169.84273503181953</v>
      </c>
      <c r="F1130">
        <f t="shared" si="261"/>
        <v>1.9073151923566602E-2</v>
      </c>
      <c r="G1130">
        <f t="shared" si="262"/>
        <v>5.8989129660515262E-2</v>
      </c>
      <c r="H1130">
        <f t="shared" si="263"/>
        <v>53.257145370168729</v>
      </c>
      <c r="I1130">
        <f t="shared" si="264"/>
        <v>1.0256902670382038</v>
      </c>
      <c r="J1130">
        <f t="shared" si="265"/>
        <v>1.099447062739038</v>
      </c>
      <c r="K1130">
        <f t="shared" si="266"/>
        <v>0.56054099761522203</v>
      </c>
      <c r="L1130">
        <f t="shared" si="267"/>
        <v>1.2455957633353907</v>
      </c>
      <c r="M1130">
        <f t="shared" si="268"/>
        <v>1.0016236734257071</v>
      </c>
      <c r="N1130">
        <f t="shared" si="269"/>
        <v>0.99670426919680555</v>
      </c>
      <c r="O1130">
        <v>4.2914991131303461E-3</v>
      </c>
      <c r="P1130">
        <v>6.2845326683687898E-3</v>
      </c>
      <c r="Q1130">
        <f t="shared" si="270"/>
        <v>4179.9924200018895</v>
      </c>
      <c r="R1130">
        <f t="shared" si="271"/>
        <v>4.1799924200018896</v>
      </c>
    </row>
    <row r="1131" spans="1:18" x14ac:dyDescent="0.3">
      <c r="A1131">
        <v>2.2599999999999998</v>
      </c>
      <c r="B1131" s="4"/>
      <c r="C1131">
        <v>-30.278745888026499</v>
      </c>
      <c r="D1131">
        <v>1.95</v>
      </c>
      <c r="E1131">
        <f t="shared" si="273"/>
        <v>169.84273503181953</v>
      </c>
      <c r="F1131">
        <f t="shared" si="261"/>
        <v>1.9073151923566602E-2</v>
      </c>
      <c r="G1131">
        <f t="shared" si="262"/>
        <v>5.8989129660515262E-2</v>
      </c>
      <c r="H1131">
        <f t="shared" si="263"/>
        <v>53.257145370168729</v>
      </c>
      <c r="I1131">
        <f t="shared" si="264"/>
        <v>1.0256902670382038</v>
      </c>
      <c r="J1131">
        <f t="shared" si="265"/>
        <v>1.099447062739038</v>
      </c>
      <c r="K1131">
        <f t="shared" si="266"/>
        <v>0.56054099761522203</v>
      </c>
      <c r="L1131">
        <f t="shared" si="267"/>
        <v>1.2455957633353907</v>
      </c>
      <c r="M1131">
        <f t="shared" si="268"/>
        <v>1.0052070897564043</v>
      </c>
      <c r="N1131">
        <f t="shared" si="269"/>
        <v>0.99780246048965449</v>
      </c>
      <c r="O1131">
        <v>4.4619407813859769E-3</v>
      </c>
      <c r="P1131">
        <v>6.172456454537103E-3</v>
      </c>
      <c r="Q1131">
        <f t="shared" si="270"/>
        <v>4179.9924200018895</v>
      </c>
      <c r="R1131">
        <f t="shared" si="271"/>
        <v>4.1799924200018896</v>
      </c>
    </row>
    <row r="1132" spans="1:18" x14ac:dyDescent="0.3">
      <c r="A1132">
        <v>2.262</v>
      </c>
      <c r="B1132" s="4"/>
      <c r="C1132">
        <v>-30.278745888026499</v>
      </c>
      <c r="D1132">
        <v>1.95</v>
      </c>
      <c r="E1132">
        <f t="shared" si="273"/>
        <v>169.84273503181953</v>
      </c>
      <c r="F1132">
        <f t="shared" si="261"/>
        <v>1.9073151923566602E-2</v>
      </c>
      <c r="G1132">
        <f t="shared" si="262"/>
        <v>5.8989129660515262E-2</v>
      </c>
      <c r="H1132">
        <f t="shared" si="263"/>
        <v>53.257145370168729</v>
      </c>
      <c r="I1132">
        <f t="shared" si="264"/>
        <v>1.0256902670382038</v>
      </c>
      <c r="J1132">
        <f t="shared" si="265"/>
        <v>1.099447062739038</v>
      </c>
      <c r="K1132">
        <f t="shared" si="266"/>
        <v>0.56054099761522203</v>
      </c>
      <c r="L1132">
        <f t="shared" si="267"/>
        <v>1.2455957633353907</v>
      </c>
      <c r="M1132">
        <f t="shared" si="268"/>
        <v>1.0021124491343283</v>
      </c>
      <c r="N1132">
        <f t="shared" si="269"/>
        <v>0.99869874988508389</v>
      </c>
      <c r="O1132">
        <v>4.6168172267070399E-3</v>
      </c>
      <c r="P1132">
        <v>6.0493447394449488E-3</v>
      </c>
      <c r="Q1132">
        <f t="shared" si="270"/>
        <v>4179.9924200018895</v>
      </c>
      <c r="R1132">
        <f t="shared" si="271"/>
        <v>4.1799924200018896</v>
      </c>
    </row>
    <row r="1133" spans="1:18" x14ac:dyDescent="0.3">
      <c r="A1133">
        <v>2.2639999999999998</v>
      </c>
      <c r="B1133" s="4"/>
      <c r="C1133">
        <v>-30.278745888026499</v>
      </c>
      <c r="D1133">
        <v>1.95</v>
      </c>
      <c r="E1133">
        <f t="shared" si="273"/>
        <v>169.84273503181953</v>
      </c>
      <c r="F1133">
        <f t="shared" si="261"/>
        <v>1.9073151923566602E-2</v>
      </c>
      <c r="G1133">
        <f t="shared" si="262"/>
        <v>5.8989129660515262E-2</v>
      </c>
      <c r="H1133">
        <f t="shared" si="263"/>
        <v>53.257145370168729</v>
      </c>
      <c r="I1133">
        <f t="shared" si="264"/>
        <v>1.0256902670382038</v>
      </c>
      <c r="J1133">
        <f t="shared" si="265"/>
        <v>1.099447062739038</v>
      </c>
      <c r="K1133">
        <f t="shared" si="266"/>
        <v>0.56054099761522203</v>
      </c>
      <c r="L1133">
        <f t="shared" si="267"/>
        <v>1.2455957633353907</v>
      </c>
      <c r="M1133">
        <f t="shared" si="268"/>
        <v>1.0073787597698665</v>
      </c>
      <c r="N1133">
        <f t="shared" si="269"/>
        <v>0.9993602416138605</v>
      </c>
      <c r="O1133">
        <v>4.8011531797292053E-3</v>
      </c>
      <c r="P1133">
        <v>5.915946842419203E-3</v>
      </c>
      <c r="Q1133">
        <f t="shared" si="270"/>
        <v>4179.9924200018895</v>
      </c>
      <c r="R1133">
        <f t="shared" si="271"/>
        <v>4.1799924200018896</v>
      </c>
    </row>
    <row r="1134" spans="1:18" x14ac:dyDescent="0.3">
      <c r="A1134">
        <v>2.266</v>
      </c>
      <c r="B1134" s="4"/>
      <c r="C1134">
        <v>-30.278745888026499</v>
      </c>
      <c r="D1134">
        <v>1.95</v>
      </c>
      <c r="E1134">
        <f t="shared" si="273"/>
        <v>169.84273503181953</v>
      </c>
      <c r="F1134">
        <f t="shared" si="261"/>
        <v>1.9073151923566602E-2</v>
      </c>
      <c r="G1134">
        <f t="shared" si="262"/>
        <v>5.8989129660515262E-2</v>
      </c>
      <c r="H1134">
        <f t="shared" si="263"/>
        <v>53.257145370168729</v>
      </c>
      <c r="I1134">
        <f t="shared" si="264"/>
        <v>1.0256902670382038</v>
      </c>
      <c r="J1134">
        <f t="shared" si="265"/>
        <v>1.099447062739038</v>
      </c>
      <c r="K1134">
        <f t="shared" si="266"/>
        <v>0.56054099761522203</v>
      </c>
      <c r="L1134">
        <f t="shared" si="267"/>
        <v>1.2455957633353907</v>
      </c>
      <c r="M1134">
        <f t="shared" si="268"/>
        <v>0.99927564991958018</v>
      </c>
      <c r="N1134">
        <f t="shared" si="269"/>
        <v>0.99977887780568098</v>
      </c>
      <c r="O1134">
        <v>4.9471621930724206E-3</v>
      </c>
      <c r="P1134">
        <v>5.7731619291207159E-3</v>
      </c>
      <c r="Q1134">
        <f t="shared" si="270"/>
        <v>4179.9924200018895</v>
      </c>
      <c r="R1134">
        <f t="shared" si="271"/>
        <v>4.1799924200018896</v>
      </c>
    </row>
    <row r="1135" spans="1:18" x14ac:dyDescent="0.3">
      <c r="A1135">
        <v>2.2679999999999998</v>
      </c>
      <c r="B1135" s="4"/>
      <c r="C1135">
        <v>-30.278745888026499</v>
      </c>
      <c r="D1135">
        <v>1.95</v>
      </c>
      <c r="E1135">
        <f t="shared" si="273"/>
        <v>169.84273503181953</v>
      </c>
      <c r="F1135">
        <f t="shared" si="261"/>
        <v>1.9073151923566602E-2</v>
      </c>
      <c r="G1135">
        <f t="shared" si="262"/>
        <v>5.8989129660515262E-2</v>
      </c>
      <c r="H1135">
        <f t="shared" si="263"/>
        <v>53.257145370168729</v>
      </c>
      <c r="I1135">
        <f t="shared" si="264"/>
        <v>1.0256902670382038</v>
      </c>
      <c r="J1135">
        <f t="shared" si="265"/>
        <v>1.099447062739038</v>
      </c>
      <c r="K1135">
        <f t="shared" si="266"/>
        <v>0.56054099761522203</v>
      </c>
      <c r="L1135">
        <f t="shared" si="267"/>
        <v>1.2455957633353907</v>
      </c>
      <c r="M1135">
        <f t="shared" si="268"/>
        <v>0.99833074971819846</v>
      </c>
      <c r="N1135">
        <f t="shared" si="269"/>
        <v>1.0032579058743456</v>
      </c>
      <c r="O1135">
        <v>5.1144375757247564E-3</v>
      </c>
      <c r="P1135">
        <v>5.6305081796181643E-3</v>
      </c>
      <c r="Q1135">
        <f t="shared" si="270"/>
        <v>4179.9924200018895</v>
      </c>
      <c r="R1135">
        <f t="shared" si="271"/>
        <v>4.1799924200018896</v>
      </c>
    </row>
    <row r="1136" spans="1:18" x14ac:dyDescent="0.3">
      <c r="A1136">
        <v>2.27</v>
      </c>
      <c r="B1136" s="4"/>
      <c r="C1136">
        <v>-30.278745888026499</v>
      </c>
      <c r="D1136">
        <v>1.95</v>
      </c>
      <c r="E1136">
        <f t="shared" si="273"/>
        <v>169.84273503181953</v>
      </c>
      <c r="F1136">
        <f t="shared" si="261"/>
        <v>1.9073151923566602E-2</v>
      </c>
      <c r="G1136">
        <f t="shared" si="262"/>
        <v>5.8989129660515262E-2</v>
      </c>
      <c r="H1136">
        <f t="shared" si="263"/>
        <v>53.257145370168729</v>
      </c>
      <c r="I1136">
        <f t="shared" si="264"/>
        <v>1.0256902670382038</v>
      </c>
      <c r="J1136">
        <f t="shared" si="265"/>
        <v>1.099447062739038</v>
      </c>
      <c r="K1136">
        <f t="shared" si="266"/>
        <v>0.56054099761522203</v>
      </c>
      <c r="L1136">
        <f t="shared" si="267"/>
        <v>1.2455957633353907</v>
      </c>
      <c r="M1136">
        <f t="shared" si="268"/>
        <v>1.0089908955022198</v>
      </c>
      <c r="N1136">
        <f t="shared" si="269"/>
        <v>0.99808280069568334</v>
      </c>
      <c r="O1136">
        <v>5.3113407600572666E-3</v>
      </c>
      <c r="P1136">
        <v>5.4588302970757568E-3</v>
      </c>
      <c r="Q1136">
        <f t="shared" si="270"/>
        <v>4179.9924200018895</v>
      </c>
      <c r="R1136">
        <f t="shared" si="271"/>
        <v>4.1799924200018896</v>
      </c>
    </row>
    <row r="1137" spans="1:18" x14ac:dyDescent="0.3">
      <c r="A1137">
        <v>2.2719999999999998</v>
      </c>
      <c r="B1137" s="4"/>
      <c r="C1137">
        <v>-30.278745888026499</v>
      </c>
      <c r="D1137">
        <v>1.95</v>
      </c>
      <c r="E1137">
        <f t="shared" si="273"/>
        <v>169.84273503181953</v>
      </c>
      <c r="F1137">
        <f t="shared" si="261"/>
        <v>1.9073151923566602E-2</v>
      </c>
      <c r="G1137">
        <f t="shared" si="262"/>
        <v>5.8989129660515262E-2</v>
      </c>
      <c r="H1137">
        <f t="shared" si="263"/>
        <v>53.257145370168729</v>
      </c>
      <c r="I1137">
        <f t="shared" si="264"/>
        <v>1.0256902670382038</v>
      </c>
      <c r="J1137">
        <f t="shared" si="265"/>
        <v>1.099447062739038</v>
      </c>
      <c r="K1137">
        <f t="shared" si="266"/>
        <v>0.56054099761522203</v>
      </c>
      <c r="L1137">
        <f t="shared" si="267"/>
        <v>1.2455957633353907</v>
      </c>
      <c r="M1137">
        <f t="shared" si="268"/>
        <v>1.0050966845886804</v>
      </c>
      <c r="N1137">
        <f t="shared" si="269"/>
        <v>0.99840722140972371</v>
      </c>
      <c r="O1137">
        <v>5.4642630212000066E-3</v>
      </c>
      <c r="P1137">
        <v>5.2960165357117265E-3</v>
      </c>
      <c r="Q1137">
        <f t="shared" si="270"/>
        <v>4179.9924200018895</v>
      </c>
      <c r="R1137">
        <f t="shared" si="271"/>
        <v>4.1799924200018896</v>
      </c>
    </row>
    <row r="1138" spans="1:18" x14ac:dyDescent="0.3">
      <c r="A1138">
        <v>2.274</v>
      </c>
      <c r="B1138" s="4"/>
      <c r="C1138">
        <v>-30.278745888026499</v>
      </c>
      <c r="D1138">
        <v>1.95</v>
      </c>
      <c r="E1138">
        <f t="shared" si="273"/>
        <v>169.84273503181953</v>
      </c>
      <c r="F1138">
        <f t="shared" si="261"/>
        <v>1.9073151923566602E-2</v>
      </c>
      <c r="G1138">
        <f t="shared" si="262"/>
        <v>5.8989129660515262E-2</v>
      </c>
      <c r="H1138">
        <f t="shared" si="263"/>
        <v>53.257145370168729</v>
      </c>
      <c r="I1138">
        <f t="shared" si="264"/>
        <v>1.0256902670382038</v>
      </c>
      <c r="J1138">
        <f t="shared" si="265"/>
        <v>1.099447062739038</v>
      </c>
      <c r="K1138">
        <f t="shared" si="266"/>
        <v>0.56054099761522203</v>
      </c>
      <c r="L1138">
        <f t="shared" si="267"/>
        <v>1.2455957633353907</v>
      </c>
      <c r="M1138">
        <f t="shared" si="268"/>
        <v>0.99964472933148951</v>
      </c>
      <c r="N1138">
        <f t="shared" si="269"/>
        <v>0.99930126671498998</v>
      </c>
      <c r="O1138">
        <v>5.6085453889945557E-3</v>
      </c>
      <c r="P1138">
        <v>5.1309488355537848E-3</v>
      </c>
      <c r="Q1138">
        <f t="shared" si="270"/>
        <v>4179.9924200018895</v>
      </c>
      <c r="R1138">
        <f t="shared" si="271"/>
        <v>4.1799924200018896</v>
      </c>
    </row>
    <row r="1139" spans="1:18" x14ac:dyDescent="0.3">
      <c r="A1139">
        <v>2.2759999999999998</v>
      </c>
      <c r="B1139" s="4"/>
      <c r="C1139">
        <v>-30.278745888026499</v>
      </c>
      <c r="D1139">
        <v>1.95</v>
      </c>
      <c r="E1139">
        <f t="shared" si="273"/>
        <v>169.84273503181953</v>
      </c>
      <c r="F1139">
        <f t="shared" si="261"/>
        <v>1.9073151923566602E-2</v>
      </c>
      <c r="G1139">
        <f t="shared" si="262"/>
        <v>5.8989129660515262E-2</v>
      </c>
      <c r="H1139">
        <f t="shared" si="263"/>
        <v>53.257145370168729</v>
      </c>
      <c r="I1139">
        <f t="shared" si="264"/>
        <v>1.0256902670382038</v>
      </c>
      <c r="J1139">
        <f t="shared" si="265"/>
        <v>1.099447062739038</v>
      </c>
      <c r="K1139">
        <f t="shared" si="266"/>
        <v>0.56054099761522203</v>
      </c>
      <c r="L1139">
        <f t="shared" si="267"/>
        <v>1.2455957633353907</v>
      </c>
      <c r="M1139">
        <f t="shared" si="268"/>
        <v>0.99906952585142028</v>
      </c>
      <c r="N1139">
        <f t="shared" si="269"/>
        <v>1.0074677984574862</v>
      </c>
      <c r="O1139">
        <v>5.7592989749440477E-3</v>
      </c>
      <c r="P1139">
        <v>4.9847859617235162E-3</v>
      </c>
      <c r="Q1139">
        <f t="shared" si="270"/>
        <v>4179.9924200018895</v>
      </c>
      <c r="R1139">
        <f t="shared" si="271"/>
        <v>4.1799924200018896</v>
      </c>
    </row>
    <row r="1140" spans="1:18" x14ac:dyDescent="0.3">
      <c r="A1140">
        <v>2.278</v>
      </c>
      <c r="B1140" s="4"/>
      <c r="C1140">
        <v>-30.278745888026499</v>
      </c>
      <c r="D1140">
        <v>1.95</v>
      </c>
      <c r="E1140">
        <f t="shared" si="273"/>
        <v>169.84273503181953</v>
      </c>
      <c r="F1140">
        <f t="shared" si="261"/>
        <v>1.9073151923566602E-2</v>
      </c>
      <c r="G1140">
        <f t="shared" si="262"/>
        <v>5.8989129660515262E-2</v>
      </c>
      <c r="H1140">
        <f t="shared" si="263"/>
        <v>53.257145370168729</v>
      </c>
      <c r="I1140">
        <f t="shared" si="264"/>
        <v>1.0256902670382038</v>
      </c>
      <c r="J1140">
        <f t="shared" si="265"/>
        <v>1.099447062739038</v>
      </c>
      <c r="K1140">
        <f t="shared" si="266"/>
        <v>0.56054099761522203</v>
      </c>
      <c r="L1140">
        <f t="shared" si="267"/>
        <v>1.2455957633353907</v>
      </c>
      <c r="M1140">
        <f t="shared" si="268"/>
        <v>0.99817612101958053</v>
      </c>
      <c r="N1140">
        <f t="shared" si="269"/>
        <v>1.0020990445862457</v>
      </c>
      <c r="O1140">
        <v>5.9016321335647638E-3</v>
      </c>
      <c r="P1140">
        <v>4.7991323927525868E-3</v>
      </c>
      <c r="Q1140">
        <f t="shared" si="270"/>
        <v>4179.9924200018895</v>
      </c>
      <c r="R1140">
        <f t="shared" si="271"/>
        <v>4.1799924200018896</v>
      </c>
    </row>
    <row r="1141" spans="1:18" x14ac:dyDescent="0.3">
      <c r="A1141">
        <v>2.2799999999999998</v>
      </c>
      <c r="B1141" s="4"/>
      <c r="C1141">
        <v>-30.278745888026499</v>
      </c>
      <c r="D1141">
        <v>1.95</v>
      </c>
      <c r="E1141">
        <f t="shared" si="273"/>
        <v>169.84273503181953</v>
      </c>
      <c r="F1141">
        <f t="shared" si="261"/>
        <v>1.9073151923566602E-2</v>
      </c>
      <c r="G1141">
        <f t="shared" si="262"/>
        <v>5.8989129660515262E-2</v>
      </c>
      <c r="H1141">
        <f t="shared" si="263"/>
        <v>53.257145370168729</v>
      </c>
      <c r="I1141">
        <f t="shared" si="264"/>
        <v>1.0256902670382038</v>
      </c>
      <c r="J1141">
        <f t="shared" si="265"/>
        <v>1.099447062739038</v>
      </c>
      <c r="K1141">
        <f t="shared" si="266"/>
        <v>0.56054099761522203</v>
      </c>
      <c r="L1141">
        <f t="shared" si="267"/>
        <v>1.2455957633353907</v>
      </c>
      <c r="M1141">
        <f t="shared" si="268"/>
        <v>0.99696270935196551</v>
      </c>
      <c r="N1141">
        <f t="shared" si="269"/>
        <v>1.0054943529526934</v>
      </c>
      <c r="O1141">
        <v>6.0345181324195181E-3</v>
      </c>
      <c r="P1141">
        <v>4.6409300294743957E-3</v>
      </c>
      <c r="Q1141">
        <f t="shared" si="270"/>
        <v>4179.9924200018895</v>
      </c>
      <c r="R1141">
        <f t="shared" si="271"/>
        <v>4.1799924200018896</v>
      </c>
    </row>
    <row r="1142" spans="1:18" x14ac:dyDescent="0.3">
      <c r="A1142">
        <v>2.282</v>
      </c>
      <c r="B1142" s="4"/>
      <c r="C1142">
        <v>-30.278745888026499</v>
      </c>
      <c r="D1142">
        <v>1.95</v>
      </c>
      <c r="E1142">
        <f t="shared" si="273"/>
        <v>169.84273503181953</v>
      </c>
      <c r="F1142">
        <f t="shared" si="261"/>
        <v>1.9073151923566602E-2</v>
      </c>
      <c r="G1142">
        <f t="shared" si="262"/>
        <v>5.8989129660515262E-2</v>
      </c>
      <c r="H1142">
        <f t="shared" si="263"/>
        <v>53.257145370168729</v>
      </c>
      <c r="I1142">
        <f t="shared" si="264"/>
        <v>1.0256902670382038</v>
      </c>
      <c r="J1142">
        <f t="shared" si="265"/>
        <v>1.099447062739038</v>
      </c>
      <c r="K1142">
        <f t="shared" si="266"/>
        <v>0.56054099761522203</v>
      </c>
      <c r="L1142">
        <f t="shared" si="267"/>
        <v>1.2455957633353907</v>
      </c>
      <c r="M1142">
        <f t="shared" si="268"/>
        <v>0.99545767646864203</v>
      </c>
      <c r="N1142">
        <f t="shared" si="269"/>
        <v>1.0016836010044541</v>
      </c>
      <c r="O1142">
        <v>6.157099826485754E-3</v>
      </c>
      <c r="P1142">
        <v>4.4638332136117736E-3</v>
      </c>
      <c r="Q1142">
        <f t="shared" si="270"/>
        <v>4179.9924200018895</v>
      </c>
      <c r="R1142">
        <f t="shared" si="271"/>
        <v>4.1799924200018896</v>
      </c>
    </row>
    <row r="1143" spans="1:18" x14ac:dyDescent="0.3">
      <c r="A1143">
        <v>2.2839999999999998</v>
      </c>
      <c r="B1143" s="4"/>
      <c r="C1143">
        <v>-30.278745888026499</v>
      </c>
      <c r="D1143">
        <v>1.95</v>
      </c>
      <c r="E1143">
        <f t="shared" si="273"/>
        <v>169.84273503181953</v>
      </c>
      <c r="F1143">
        <f t="shared" si="261"/>
        <v>1.9073151923566602E-2</v>
      </c>
      <c r="G1143">
        <f t="shared" si="262"/>
        <v>5.8989129660515262E-2</v>
      </c>
      <c r="H1143">
        <f t="shared" si="263"/>
        <v>53.257145370168729</v>
      </c>
      <c r="I1143">
        <f t="shared" si="264"/>
        <v>1.0256902670382038</v>
      </c>
      <c r="J1143">
        <f t="shared" si="265"/>
        <v>1.099447062739038</v>
      </c>
      <c r="K1143">
        <f t="shared" si="266"/>
        <v>0.56054099761522203</v>
      </c>
      <c r="L1143">
        <f t="shared" si="267"/>
        <v>1.2455957633353907</v>
      </c>
      <c r="M1143">
        <f t="shared" si="268"/>
        <v>0.9937166992177775</v>
      </c>
      <c r="N1143">
        <f t="shared" si="269"/>
        <v>1.0000942608854468</v>
      </c>
      <c r="O1143">
        <v>6.2686708923636548E-3</v>
      </c>
      <c r="P1143">
        <v>4.2990635235358749E-3</v>
      </c>
      <c r="Q1143">
        <f t="shared" si="270"/>
        <v>4179.9924200018895</v>
      </c>
      <c r="R1143">
        <f t="shared" si="271"/>
        <v>4.1799924200018896</v>
      </c>
    </row>
    <row r="1144" spans="1:18" x14ac:dyDescent="0.3">
      <c r="A1144">
        <v>2.286</v>
      </c>
      <c r="B1144" s="4"/>
      <c r="C1144">
        <v>-30.278745888026499</v>
      </c>
      <c r="D1144">
        <v>1.95</v>
      </c>
      <c r="E1144">
        <f t="shared" si="273"/>
        <v>169.84273503181953</v>
      </c>
      <c r="F1144">
        <f t="shared" si="261"/>
        <v>1.9073151923566602E-2</v>
      </c>
      <c r="G1144">
        <f t="shared" si="262"/>
        <v>5.8989129660515262E-2</v>
      </c>
      <c r="H1144">
        <f t="shared" si="263"/>
        <v>53.257145370168729</v>
      </c>
      <c r="I1144">
        <f t="shared" si="264"/>
        <v>1.0256902670382038</v>
      </c>
      <c r="J1144">
        <f t="shared" si="265"/>
        <v>1.099447062739038</v>
      </c>
      <c r="K1144">
        <f t="shared" si="266"/>
        <v>0.56054099761522203</v>
      </c>
      <c r="L1144">
        <f t="shared" si="267"/>
        <v>1.2455957633353907</v>
      </c>
      <c r="M1144">
        <f t="shared" si="268"/>
        <v>0.99181785578180681</v>
      </c>
      <c r="N1144">
        <f t="shared" si="269"/>
        <v>1.0093609621568473</v>
      </c>
      <c r="O1144">
        <v>6.3686568903835164E-3</v>
      </c>
      <c r="P1144">
        <v>4.1796129716643315E-3</v>
      </c>
      <c r="Q1144">
        <f t="shared" si="270"/>
        <v>4179.9924200018895</v>
      </c>
      <c r="R1144">
        <f t="shared" si="271"/>
        <v>4.1799924200018896</v>
      </c>
    </row>
    <row r="1145" spans="1:18" x14ac:dyDescent="0.3">
      <c r="A1145">
        <v>2.2879999999999998</v>
      </c>
      <c r="B1145" s="4"/>
      <c r="C1145">
        <v>-30.278745888026499</v>
      </c>
      <c r="D1145">
        <v>1.95</v>
      </c>
      <c r="E1145">
        <f t="shared" si="273"/>
        <v>169.84273503181953</v>
      </c>
      <c r="F1145">
        <f t="shared" si="261"/>
        <v>1.9073151923566602E-2</v>
      </c>
      <c r="G1145">
        <f t="shared" si="262"/>
        <v>5.8989129660515262E-2</v>
      </c>
      <c r="H1145">
        <f t="shared" si="263"/>
        <v>53.257145370168729</v>
      </c>
      <c r="I1145">
        <f t="shared" si="264"/>
        <v>1.0256902670382038</v>
      </c>
      <c r="J1145">
        <f t="shared" si="265"/>
        <v>1.099447062739038</v>
      </c>
      <c r="K1145">
        <f t="shared" si="266"/>
        <v>0.56054099761522203</v>
      </c>
      <c r="L1145">
        <f t="shared" si="267"/>
        <v>1.2455957633353907</v>
      </c>
      <c r="M1145">
        <f t="shared" si="268"/>
        <v>0.99981830853173947</v>
      </c>
      <c r="N1145">
        <f t="shared" si="269"/>
        <v>1.0012358186661512</v>
      </c>
      <c r="O1145">
        <v>6.4790624318242411E-3</v>
      </c>
      <c r="P1145">
        <v>4.0114116634025225E-3</v>
      </c>
      <c r="Q1145">
        <f t="shared" si="270"/>
        <v>4179.9924200018895</v>
      </c>
      <c r="R1145">
        <f t="shared" si="271"/>
        <v>4.1799924200018896</v>
      </c>
    </row>
    <row r="1146" spans="1:18" x14ac:dyDescent="0.3">
      <c r="A1146">
        <v>2.29</v>
      </c>
      <c r="B1146" s="4"/>
      <c r="C1146">
        <v>-30.278745888026499</v>
      </c>
      <c r="D1146">
        <v>1.95</v>
      </c>
      <c r="E1146">
        <f t="shared" si="273"/>
        <v>169.84273503181953</v>
      </c>
      <c r="F1146">
        <f t="shared" si="261"/>
        <v>1.9073151923566602E-2</v>
      </c>
      <c r="G1146">
        <f t="shared" si="262"/>
        <v>5.8989129660515262E-2</v>
      </c>
      <c r="H1146">
        <f t="shared" si="263"/>
        <v>53.257145370168729</v>
      </c>
      <c r="I1146">
        <f t="shared" si="264"/>
        <v>1.0256902670382038</v>
      </c>
      <c r="J1146">
        <f t="shared" si="265"/>
        <v>1.099447062739038</v>
      </c>
      <c r="K1146">
        <f t="shared" si="266"/>
        <v>0.56054099761522203</v>
      </c>
      <c r="L1146">
        <f t="shared" si="267"/>
        <v>1.2455957633353907</v>
      </c>
      <c r="M1146">
        <f t="shared" si="268"/>
        <v>0.99976306783837676</v>
      </c>
      <c r="N1146">
        <f t="shared" si="269"/>
        <v>1.0033035543707616</v>
      </c>
      <c r="O1146">
        <v>6.5585078510589419E-3</v>
      </c>
      <c r="P1146">
        <v>3.8925182977717684E-3</v>
      </c>
      <c r="Q1146">
        <f t="shared" si="270"/>
        <v>4179.9924200018895</v>
      </c>
      <c r="R1146">
        <f t="shared" si="271"/>
        <v>4.1799924200018896</v>
      </c>
    </row>
    <row r="1147" spans="1:18" x14ac:dyDescent="0.3">
      <c r="A1147">
        <v>2.2919999999999998</v>
      </c>
      <c r="B1147" s="4"/>
      <c r="C1147">
        <v>-30.278745888026499</v>
      </c>
      <c r="D1147">
        <v>1.95</v>
      </c>
      <c r="E1147">
        <f t="shared" si="273"/>
        <v>169.84273503181953</v>
      </c>
      <c r="F1147">
        <f t="shared" si="261"/>
        <v>1.9073151923566602E-2</v>
      </c>
      <c r="G1147">
        <f t="shared" si="262"/>
        <v>5.8989129660515262E-2</v>
      </c>
      <c r="H1147">
        <f t="shared" si="263"/>
        <v>53.257145370168729</v>
      </c>
      <c r="I1147">
        <f t="shared" si="264"/>
        <v>1.0256902670382038</v>
      </c>
      <c r="J1147">
        <f t="shared" si="265"/>
        <v>1.099447062739038</v>
      </c>
      <c r="K1147">
        <f t="shared" si="266"/>
        <v>0.56054099761522203</v>
      </c>
      <c r="L1147">
        <f t="shared" si="267"/>
        <v>1.2455957633353907</v>
      </c>
      <c r="M1147">
        <f t="shared" si="268"/>
        <v>0.99970766031369407</v>
      </c>
      <c r="N1147">
        <f t="shared" si="269"/>
        <v>1.0058175134048135</v>
      </c>
      <c r="O1147">
        <v>6.6249119672540735E-3</v>
      </c>
      <c r="P1147">
        <v>3.7922657261260026E-3</v>
      </c>
      <c r="Q1147">
        <f t="shared" si="270"/>
        <v>4179.9924200018895</v>
      </c>
      <c r="R1147">
        <f t="shared" si="271"/>
        <v>4.1799924200018896</v>
      </c>
    </row>
    <row r="1148" spans="1:18" x14ac:dyDescent="0.3">
      <c r="A1148">
        <v>2.294</v>
      </c>
      <c r="B1148" s="4"/>
      <c r="C1148">
        <v>-30.278745888026499</v>
      </c>
      <c r="D1148">
        <v>1.95</v>
      </c>
      <c r="E1148">
        <f t="shared" si="273"/>
        <v>169.84273503181953</v>
      </c>
      <c r="F1148">
        <f t="shared" si="261"/>
        <v>1.9073151923566602E-2</v>
      </c>
      <c r="G1148">
        <f t="shared" si="262"/>
        <v>5.8989129660515262E-2</v>
      </c>
      <c r="H1148">
        <f t="shared" si="263"/>
        <v>53.257145370168729</v>
      </c>
      <c r="I1148">
        <f t="shared" si="264"/>
        <v>1.0256902670382038</v>
      </c>
      <c r="J1148">
        <f t="shared" si="265"/>
        <v>1.099447062739038</v>
      </c>
      <c r="K1148">
        <f t="shared" si="266"/>
        <v>0.56054099761522203</v>
      </c>
      <c r="L1148">
        <f t="shared" si="267"/>
        <v>1.2455957633353907</v>
      </c>
      <c r="M1148">
        <f t="shared" si="268"/>
        <v>0.99975680802564948</v>
      </c>
      <c r="N1148">
        <f t="shared" si="269"/>
        <v>1.0012661826269611</v>
      </c>
      <c r="O1148">
        <v>6.6781030598448612E-3</v>
      </c>
      <c r="P1148">
        <v>3.6843422347904897E-3</v>
      </c>
      <c r="Q1148">
        <f t="shared" si="270"/>
        <v>4179.9924200018895</v>
      </c>
      <c r="R1148">
        <f t="shared" si="271"/>
        <v>4.1799924200018896</v>
      </c>
    </row>
    <row r="1149" spans="1:18" x14ac:dyDescent="0.3">
      <c r="A1149">
        <v>2.2959999999999998</v>
      </c>
      <c r="B1149" s="4"/>
      <c r="C1149">
        <v>-30.278745888026499</v>
      </c>
      <c r="D1149">
        <v>1.95</v>
      </c>
      <c r="E1149">
        <f t="shared" si="273"/>
        <v>169.84273503181953</v>
      </c>
      <c r="F1149">
        <f t="shared" si="261"/>
        <v>1.9073151923566602E-2</v>
      </c>
      <c r="G1149">
        <f t="shared" si="262"/>
        <v>5.8989129660515262E-2</v>
      </c>
      <c r="H1149">
        <f t="shared" si="263"/>
        <v>53.257145370168729</v>
      </c>
      <c r="I1149">
        <f t="shared" si="264"/>
        <v>1.0256902670382038</v>
      </c>
      <c r="J1149">
        <f t="shared" si="265"/>
        <v>1.099447062739038</v>
      </c>
      <c r="K1149">
        <f t="shared" si="266"/>
        <v>0.56054099761522203</v>
      </c>
      <c r="L1149">
        <f t="shared" si="267"/>
        <v>1.2455957633353907</v>
      </c>
      <c r="M1149">
        <f t="shared" si="268"/>
        <v>0.99982073741648647</v>
      </c>
      <c r="N1149">
        <f t="shared" si="269"/>
        <v>1.0026703351867792</v>
      </c>
      <c r="O1149">
        <v>6.717565647023283E-3</v>
      </c>
      <c r="P1149">
        <v>3.6208534692843729E-3</v>
      </c>
      <c r="Q1149">
        <f t="shared" si="270"/>
        <v>4179.9924200018895</v>
      </c>
      <c r="R1149">
        <f t="shared" si="271"/>
        <v>4.1799924200018896</v>
      </c>
    </row>
    <row r="1150" spans="1:18" x14ac:dyDescent="0.3">
      <c r="A1150">
        <v>2.298</v>
      </c>
      <c r="B1150" s="4"/>
      <c r="C1150">
        <v>-30.278745888026499</v>
      </c>
      <c r="D1150">
        <v>1.95</v>
      </c>
      <c r="E1150">
        <f t="shared" si="273"/>
        <v>169.84273503181953</v>
      </c>
      <c r="F1150">
        <f t="shared" si="261"/>
        <v>1.9073151923566602E-2</v>
      </c>
      <c r="G1150">
        <f t="shared" si="262"/>
        <v>5.8989129660515262E-2</v>
      </c>
      <c r="H1150">
        <f t="shared" si="263"/>
        <v>53.257145370168729</v>
      </c>
      <c r="I1150">
        <f t="shared" si="264"/>
        <v>1.0256902670382038</v>
      </c>
      <c r="J1150">
        <f t="shared" si="265"/>
        <v>1.099447062739038</v>
      </c>
      <c r="K1150">
        <f t="shared" si="266"/>
        <v>0.56054099761522203</v>
      </c>
      <c r="L1150">
        <f t="shared" si="267"/>
        <v>1.2455957633353907</v>
      </c>
      <c r="M1150">
        <f t="shared" si="268"/>
        <v>0.99985773814085854</v>
      </c>
      <c r="N1150">
        <f t="shared" si="269"/>
        <v>1.0037288979480909</v>
      </c>
      <c r="O1150">
        <v>6.7429777278531231E-3</v>
      </c>
      <c r="P1150">
        <v>3.5798053677292448E-3</v>
      </c>
      <c r="Q1150">
        <f t="shared" si="270"/>
        <v>4179.9924200018895</v>
      </c>
      <c r="R1150">
        <f t="shared" si="271"/>
        <v>4.1799924200018896</v>
      </c>
    </row>
    <row r="1151" spans="1:18" x14ac:dyDescent="0.3">
      <c r="A1151">
        <v>2.2999999999999998</v>
      </c>
      <c r="B1151" s="4"/>
      <c r="C1151">
        <v>-30.278745888026499</v>
      </c>
      <c r="D1151">
        <v>1.95</v>
      </c>
      <c r="E1151">
        <f t="shared" si="273"/>
        <v>169.84273503181953</v>
      </c>
      <c r="F1151">
        <f t="shared" si="261"/>
        <v>1.9073151923566602E-2</v>
      </c>
      <c r="G1151">
        <f t="shared" si="262"/>
        <v>5.8989129660515262E-2</v>
      </c>
      <c r="H1151">
        <f t="shared" si="263"/>
        <v>53.257145370168729</v>
      </c>
      <c r="I1151">
        <f t="shared" si="264"/>
        <v>1.0256902670382038</v>
      </c>
      <c r="J1151">
        <f t="shared" si="265"/>
        <v>1.099447062739038</v>
      </c>
      <c r="K1151">
        <f t="shared" si="266"/>
        <v>0.56054099761522203</v>
      </c>
      <c r="L1151">
        <f t="shared" si="267"/>
        <v>1.2455957633353907</v>
      </c>
      <c r="M1151">
        <f t="shared" si="268"/>
        <v>0.99029189856643085</v>
      </c>
      <c r="N1151">
        <f t="shared" si="269"/>
        <v>1.0042353872429401</v>
      </c>
      <c r="O1151">
        <v>6.7334299570437706E-3</v>
      </c>
      <c r="P1151">
        <v>3.5616320258728983E-3</v>
      </c>
      <c r="Q1151">
        <f t="shared" si="270"/>
        <v>4179.9924200018895</v>
      </c>
      <c r="R1151">
        <f t="shared" si="271"/>
        <v>4.1799924200018896</v>
      </c>
    </row>
    <row r="1152" spans="1:18" x14ac:dyDescent="0.3">
      <c r="A1152">
        <v>2.302</v>
      </c>
      <c r="B1152" s="4"/>
      <c r="C1152">
        <v>-30.278745888026499</v>
      </c>
      <c r="D1152">
        <v>1.95</v>
      </c>
      <c r="E1152">
        <f t="shared" si="273"/>
        <v>169.84273503181953</v>
      </c>
      <c r="F1152">
        <f t="shared" si="261"/>
        <v>1.9073151923566602E-2</v>
      </c>
      <c r="G1152">
        <f t="shared" si="262"/>
        <v>5.8989129660515262E-2</v>
      </c>
      <c r="H1152">
        <f t="shared" si="263"/>
        <v>53.257145370168729</v>
      </c>
      <c r="I1152">
        <f t="shared" si="264"/>
        <v>1.0256902670382038</v>
      </c>
      <c r="J1152">
        <f t="shared" si="265"/>
        <v>1.099447062739038</v>
      </c>
      <c r="K1152">
        <f t="shared" si="266"/>
        <v>0.56054099761522203</v>
      </c>
      <c r="L1152">
        <f t="shared" si="267"/>
        <v>1.2455957633353907</v>
      </c>
      <c r="M1152">
        <f t="shared" si="268"/>
        <v>0.99015314885907602</v>
      </c>
      <c r="N1152">
        <f t="shared" si="269"/>
        <v>1.004096723609299</v>
      </c>
      <c r="O1152">
        <v>6.7301075273529564E-3</v>
      </c>
      <c r="P1152">
        <v>3.5665254344995519E-3</v>
      </c>
      <c r="Q1152">
        <f t="shared" si="270"/>
        <v>4179.9924200018895</v>
      </c>
      <c r="R1152">
        <f t="shared" si="271"/>
        <v>4.1799924200018896</v>
      </c>
    </row>
    <row r="1153" spans="1:18" x14ac:dyDescent="0.3">
      <c r="A1153">
        <v>2.3039999999999998</v>
      </c>
      <c r="B1153" s="4"/>
      <c r="C1153">
        <v>-30.278745888026499</v>
      </c>
      <c r="D1153">
        <v>1.95</v>
      </c>
      <c r="E1153">
        <f t="shared" si="273"/>
        <v>169.84273503181953</v>
      </c>
      <c r="F1153">
        <f t="shared" si="261"/>
        <v>1.9073151923566602E-2</v>
      </c>
      <c r="G1153">
        <f t="shared" si="262"/>
        <v>5.8989129660515262E-2</v>
      </c>
      <c r="H1153">
        <f t="shared" si="263"/>
        <v>53.257145370168729</v>
      </c>
      <c r="I1153">
        <f t="shared" si="264"/>
        <v>1.0256902670382038</v>
      </c>
      <c r="J1153">
        <f t="shared" si="265"/>
        <v>1.099447062739038</v>
      </c>
      <c r="K1153">
        <f t="shared" si="266"/>
        <v>0.56054099761522203</v>
      </c>
      <c r="L1153">
        <f t="shared" si="267"/>
        <v>1.2455957633353907</v>
      </c>
      <c r="M1153">
        <f t="shared" si="268"/>
        <v>0.99984496371213361</v>
      </c>
      <c r="N1153">
        <f t="shared" si="269"/>
        <v>1.0033380702685704</v>
      </c>
      <c r="O1153">
        <v>6.733930646829105E-3</v>
      </c>
      <c r="P1153">
        <v>3.5944339095256351E-3</v>
      </c>
      <c r="Q1153">
        <f t="shared" si="270"/>
        <v>4179.9924200018895</v>
      </c>
      <c r="R1153">
        <f t="shared" si="271"/>
        <v>4.1799924200018896</v>
      </c>
    </row>
    <row r="1154" spans="1:18" x14ac:dyDescent="0.3">
      <c r="A1154">
        <v>2.306</v>
      </c>
      <c r="B1154" s="4"/>
      <c r="C1154">
        <v>-30.278745888026499</v>
      </c>
      <c r="D1154">
        <v>1.95</v>
      </c>
      <c r="E1154">
        <f t="shared" si="273"/>
        <v>169.84273503181953</v>
      </c>
      <c r="F1154">
        <f t="shared" si="261"/>
        <v>1.9073151923566602E-2</v>
      </c>
      <c r="G1154">
        <f t="shared" si="262"/>
        <v>5.8989129660515262E-2</v>
      </c>
      <c r="H1154">
        <f t="shared" si="263"/>
        <v>53.257145370168729</v>
      </c>
      <c r="I1154">
        <f t="shared" si="264"/>
        <v>1.0256902670382038</v>
      </c>
      <c r="J1154">
        <f t="shared" si="265"/>
        <v>1.099447062739038</v>
      </c>
      <c r="K1154">
        <f t="shared" si="266"/>
        <v>0.56054099761522203</v>
      </c>
      <c r="L1154">
        <f t="shared" si="267"/>
        <v>1.2455957633353907</v>
      </c>
      <c r="M1154">
        <f t="shared" si="268"/>
        <v>0.99979728181427607</v>
      </c>
      <c r="N1154">
        <f t="shared" si="269"/>
        <v>1.0021015261823376</v>
      </c>
      <c r="O1154">
        <v>6.7025407633547413E-3</v>
      </c>
      <c r="P1154">
        <v>3.6450625141030294E-3</v>
      </c>
      <c r="Q1154">
        <f t="shared" si="270"/>
        <v>4179.9924200018895</v>
      </c>
      <c r="R1154">
        <f t="shared" si="271"/>
        <v>4.1799924200018896</v>
      </c>
    </row>
    <row r="1155" spans="1:18" x14ac:dyDescent="0.3">
      <c r="A1155">
        <v>2.3079999999999998</v>
      </c>
      <c r="B1155" s="4"/>
      <c r="C1155">
        <v>-30.278745888026499</v>
      </c>
      <c r="D1155">
        <v>1.95</v>
      </c>
      <c r="E1155">
        <f t="shared" si="273"/>
        <v>169.84273503181953</v>
      </c>
      <c r="F1155">
        <f t="shared" ref="F1155:F1218" si="274">0.0462806*SQRT(E1155/1000)</f>
        <v>1.9073151923566602E-2</v>
      </c>
      <c r="G1155">
        <f t="shared" ref="G1155:G1218" si="275">$U$3*F1155/2</f>
        <v>5.8989129660515262E-2</v>
      </c>
      <c r="H1155">
        <f t="shared" ref="H1155:H1218" si="276">PI()/G1155</f>
        <v>53.257145370168729</v>
      </c>
      <c r="I1155">
        <f t="shared" ref="I1155:I1218" si="277">BESSELI(H1155*$Y$5,0)</f>
        <v>1.0256902670382038</v>
      </c>
      <c r="J1155">
        <f t="shared" ref="J1155:J1218" si="278">BESSELI(H1155*D1155*$Y$5,0)</f>
        <v>1.099447062739038</v>
      </c>
      <c r="K1155">
        <f t="shared" ref="K1155:K1218" si="279">(D1155^2-1)/(D1155^2*I1155+J1155)</f>
        <v>0.56054099761522203</v>
      </c>
      <c r="L1155">
        <f t="shared" ref="L1155:L1218" si="280">I1155+J1155/(D1155^2*I1155+J1155)</f>
        <v>1.2455957633353907</v>
      </c>
      <c r="M1155">
        <f t="shared" ref="M1155:M1218" si="281">((L1155*O1155^2)/$Y$5^2)+(K1155*BESSELI(O1155*H1155,0)*COS(H1155*A1155))</f>
        <v>0.99972003826883193</v>
      </c>
      <c r="N1155">
        <f t="shared" ref="N1155:N1218" si="282">((L1155*P1155^2)/$Y$5^2)-(K1155*BESSELI(P1155*H1155,0)*COS(H1155*A1155))</f>
        <v>1.0006387302491944</v>
      </c>
      <c r="O1155">
        <v>6.6571820378838898E-3</v>
      </c>
      <c r="P1155">
        <v>3.7178754746422932E-3</v>
      </c>
      <c r="Q1155">
        <f t="shared" ref="Q1155:Q1218" si="283">PI()*K1155*$U$4*J1155*COS(C1155*$Y$7)/(4*$Y$6)</f>
        <v>4179.9924200018895</v>
      </c>
      <c r="R1155">
        <f t="shared" ref="R1155:R1218" si="284">Q1155/1000</f>
        <v>4.1799924200018896</v>
      </c>
    </row>
    <row r="1156" spans="1:18" x14ac:dyDescent="0.3">
      <c r="A1156">
        <v>2.31</v>
      </c>
      <c r="B1156" s="4"/>
      <c r="C1156">
        <v>-30.278745888026499</v>
      </c>
      <c r="D1156">
        <v>1.95</v>
      </c>
      <c r="E1156">
        <f t="shared" si="273"/>
        <v>169.84273503181953</v>
      </c>
      <c r="F1156">
        <f t="shared" si="274"/>
        <v>1.9073151923566602E-2</v>
      </c>
      <c r="G1156">
        <f t="shared" si="275"/>
        <v>5.8989129660515262E-2</v>
      </c>
      <c r="H1156">
        <f t="shared" si="276"/>
        <v>53.257145370168729</v>
      </c>
      <c r="I1156">
        <f t="shared" si="277"/>
        <v>1.0256902670382038</v>
      </c>
      <c r="J1156">
        <f t="shared" si="278"/>
        <v>1.099447062739038</v>
      </c>
      <c r="K1156">
        <f t="shared" si="279"/>
        <v>0.56054099761522203</v>
      </c>
      <c r="L1156">
        <f t="shared" si="280"/>
        <v>1.2455957633353907</v>
      </c>
      <c r="M1156">
        <f t="shared" si="281"/>
        <v>0.99973087884684164</v>
      </c>
      <c r="N1156">
        <f t="shared" si="282"/>
        <v>1.0047259418951699</v>
      </c>
      <c r="O1156">
        <v>6.5983798425577229E-3</v>
      </c>
      <c r="P1156">
        <v>3.8324176381924454E-3</v>
      </c>
      <c r="Q1156">
        <f t="shared" si="283"/>
        <v>4179.9924200018895</v>
      </c>
      <c r="R1156">
        <f t="shared" si="284"/>
        <v>4.1799924200018896</v>
      </c>
    </row>
    <row r="1157" spans="1:18" x14ac:dyDescent="0.3">
      <c r="A1157">
        <v>2.3119999999999998</v>
      </c>
      <c r="B1157" s="4"/>
      <c r="C1157">
        <v>-30.278745888026499</v>
      </c>
      <c r="D1157">
        <v>1.95</v>
      </c>
      <c r="E1157">
        <f t="shared" si="273"/>
        <v>169.84273503181953</v>
      </c>
      <c r="F1157">
        <f t="shared" si="274"/>
        <v>1.9073151923566602E-2</v>
      </c>
      <c r="G1157">
        <f t="shared" si="275"/>
        <v>5.8989129660515262E-2</v>
      </c>
      <c r="H1157">
        <f t="shared" si="276"/>
        <v>53.257145370168729</v>
      </c>
      <c r="I1157">
        <f t="shared" si="277"/>
        <v>1.0256902670382038</v>
      </c>
      <c r="J1157">
        <f t="shared" si="278"/>
        <v>1.099447062739038</v>
      </c>
      <c r="K1157">
        <f t="shared" si="279"/>
        <v>0.56054099761522203</v>
      </c>
      <c r="L1157">
        <f t="shared" si="280"/>
        <v>1.2455957633353907</v>
      </c>
      <c r="M1157">
        <f t="shared" si="281"/>
        <v>0.99978676341779671</v>
      </c>
      <c r="N1157">
        <f t="shared" si="282"/>
        <v>1.002345955639</v>
      </c>
      <c r="O1157">
        <v>6.526394296682966E-3</v>
      </c>
      <c r="P1157">
        <v>3.9407153410442285E-3</v>
      </c>
      <c r="Q1157">
        <f t="shared" si="283"/>
        <v>4179.9924200018895</v>
      </c>
      <c r="R1157">
        <f t="shared" si="284"/>
        <v>4.1799924200018896</v>
      </c>
    </row>
    <row r="1158" spans="1:18" x14ac:dyDescent="0.3">
      <c r="A1158">
        <v>2.3140000000000001</v>
      </c>
      <c r="B1158" s="4">
        <v>78</v>
      </c>
      <c r="C1158">
        <v>-30.278745888026499</v>
      </c>
      <c r="D1158">
        <v>1.95</v>
      </c>
      <c r="E1158">
        <f t="shared" si="273"/>
        <v>169.84273503181953</v>
      </c>
      <c r="F1158">
        <f t="shared" si="274"/>
        <v>1.9073151923566602E-2</v>
      </c>
      <c r="G1158">
        <f t="shared" si="275"/>
        <v>5.8989129660515262E-2</v>
      </c>
      <c r="H1158">
        <f t="shared" si="276"/>
        <v>53.257145370168729</v>
      </c>
      <c r="I1158">
        <f t="shared" si="277"/>
        <v>1.0256902670382038</v>
      </c>
      <c r="J1158">
        <f t="shared" si="278"/>
        <v>1.099447062739038</v>
      </c>
      <c r="K1158">
        <f t="shared" si="279"/>
        <v>0.56054099761522203</v>
      </c>
      <c r="L1158">
        <f t="shared" si="280"/>
        <v>1.2455957633353907</v>
      </c>
      <c r="M1158">
        <f t="shared" si="281"/>
        <v>0.99068860031363548</v>
      </c>
      <c r="N1158">
        <f t="shared" si="282"/>
        <v>1.0006073184856892</v>
      </c>
      <c r="O1158">
        <v>6.420811664206264E-3</v>
      </c>
      <c r="P1158">
        <v>4.0671388239971948E-3</v>
      </c>
      <c r="Q1158">
        <f t="shared" si="283"/>
        <v>4179.9924200018895</v>
      </c>
      <c r="R1158">
        <f t="shared" si="284"/>
        <v>4.1799924200018896</v>
      </c>
    </row>
    <row r="1159" spans="1:18" x14ac:dyDescent="0.3">
      <c r="A1159">
        <v>2.3159999999999998</v>
      </c>
      <c r="B1159" s="4"/>
      <c r="C1159">
        <v>-30.278745888026499</v>
      </c>
      <c r="D1159">
        <v>1.95</v>
      </c>
      <c r="E1159">
        <f t="shared" si="273"/>
        <v>169.84273503181953</v>
      </c>
      <c r="F1159">
        <f t="shared" si="274"/>
        <v>1.9073151923566602E-2</v>
      </c>
      <c r="G1159">
        <f t="shared" si="275"/>
        <v>5.8989129660515262E-2</v>
      </c>
      <c r="H1159">
        <f t="shared" si="276"/>
        <v>53.257145370168729</v>
      </c>
      <c r="I1159">
        <f t="shared" si="277"/>
        <v>1.0256902670382038</v>
      </c>
      <c r="J1159">
        <f t="shared" si="278"/>
        <v>1.099447062739038</v>
      </c>
      <c r="K1159">
        <f t="shared" si="279"/>
        <v>0.56054099761522203</v>
      </c>
      <c r="L1159">
        <f t="shared" si="280"/>
        <v>1.2455957633353907</v>
      </c>
      <c r="M1159">
        <f t="shared" si="281"/>
        <v>0.99263637939112415</v>
      </c>
      <c r="N1159">
        <f t="shared" si="282"/>
        <v>1.0033687824346436</v>
      </c>
      <c r="O1159">
        <v>6.327715077030594E-3</v>
      </c>
      <c r="P1159">
        <v>4.2218312845094261E-3</v>
      </c>
      <c r="Q1159">
        <f t="shared" si="283"/>
        <v>4179.9924200018895</v>
      </c>
      <c r="R1159">
        <f t="shared" si="284"/>
        <v>4.1799924200018896</v>
      </c>
    </row>
    <row r="1160" spans="1:18" x14ac:dyDescent="0.3">
      <c r="A1160">
        <v>2.3180000000000001</v>
      </c>
      <c r="B1160" s="4"/>
      <c r="C1160">
        <v>-30.278745888026499</v>
      </c>
      <c r="D1160">
        <v>1.95</v>
      </c>
      <c r="E1160">
        <f t="shared" si="273"/>
        <v>169.84273503181953</v>
      </c>
      <c r="F1160">
        <f t="shared" si="274"/>
        <v>1.9073151923566602E-2</v>
      </c>
      <c r="G1160">
        <f t="shared" si="275"/>
        <v>5.8989129660515262E-2</v>
      </c>
      <c r="H1160">
        <f t="shared" si="276"/>
        <v>53.257145370168729</v>
      </c>
      <c r="I1160">
        <f t="shared" si="277"/>
        <v>1.0256902670382038</v>
      </c>
      <c r="J1160">
        <f t="shared" si="278"/>
        <v>1.099447062739038</v>
      </c>
      <c r="K1160">
        <f t="shared" si="279"/>
        <v>0.56054099761522203</v>
      </c>
      <c r="L1160">
        <f t="shared" si="280"/>
        <v>1.2455957633353907</v>
      </c>
      <c r="M1160">
        <f t="shared" si="281"/>
        <v>0.99447901932413107</v>
      </c>
      <c r="N1160">
        <f t="shared" si="282"/>
        <v>1.0005232670751667</v>
      </c>
      <c r="O1160">
        <v>6.2227552175697521E-3</v>
      </c>
      <c r="P1160">
        <v>4.3672928665549008E-3</v>
      </c>
      <c r="Q1160">
        <f t="shared" si="283"/>
        <v>4179.9924200018895</v>
      </c>
      <c r="R1160">
        <f t="shared" si="284"/>
        <v>4.1799924200018896</v>
      </c>
    </row>
    <row r="1161" spans="1:18" x14ac:dyDescent="0.3">
      <c r="A1161">
        <v>2.3199999999999998</v>
      </c>
      <c r="B1161" s="4"/>
      <c r="C1161">
        <v>-30.278745888026499</v>
      </c>
      <c r="D1161">
        <v>1.95</v>
      </c>
      <c r="E1161">
        <f t="shared" si="273"/>
        <v>169.84273503181953</v>
      </c>
      <c r="F1161">
        <f t="shared" si="274"/>
        <v>1.9073151923566602E-2</v>
      </c>
      <c r="G1161">
        <f t="shared" si="275"/>
        <v>5.8989129660515262E-2</v>
      </c>
      <c r="H1161">
        <f t="shared" si="276"/>
        <v>53.257145370168729</v>
      </c>
      <c r="I1161">
        <f t="shared" si="277"/>
        <v>1.0256902670382038</v>
      </c>
      <c r="J1161">
        <f t="shared" si="278"/>
        <v>1.099447062739038</v>
      </c>
      <c r="K1161">
        <f t="shared" si="279"/>
        <v>0.56054099761522203</v>
      </c>
      <c r="L1161">
        <f t="shared" si="280"/>
        <v>1.2455957633353907</v>
      </c>
      <c r="M1161">
        <f t="shared" si="281"/>
        <v>0.99612833635396369</v>
      </c>
      <c r="N1161">
        <f t="shared" si="282"/>
        <v>1.0030048671378617</v>
      </c>
      <c r="O1161">
        <v>6.1064389109468601E-3</v>
      </c>
      <c r="P1161">
        <v>4.5375160887787206E-3</v>
      </c>
      <c r="Q1161">
        <f t="shared" si="283"/>
        <v>4179.9924200018895</v>
      </c>
      <c r="R1161">
        <f t="shared" si="284"/>
        <v>4.1799924200018896</v>
      </c>
    </row>
    <row r="1162" spans="1:18" x14ac:dyDescent="0.3">
      <c r="A1162">
        <v>2.3220000000000001</v>
      </c>
      <c r="B1162" s="4"/>
      <c r="C1162">
        <v>-30.278745888026499</v>
      </c>
      <c r="D1162">
        <v>1.95</v>
      </c>
      <c r="E1162">
        <f t="shared" si="273"/>
        <v>169.84273503181953</v>
      </c>
      <c r="F1162">
        <f t="shared" si="274"/>
        <v>1.9073151923566602E-2</v>
      </c>
      <c r="G1162">
        <f t="shared" si="275"/>
        <v>5.8989129660515262E-2</v>
      </c>
      <c r="H1162">
        <f t="shared" si="276"/>
        <v>53.257145370168729</v>
      </c>
      <c r="I1162">
        <f t="shared" si="277"/>
        <v>1.0256902670382038</v>
      </c>
      <c r="J1162">
        <f t="shared" si="278"/>
        <v>1.099447062739038</v>
      </c>
      <c r="K1162">
        <f t="shared" si="279"/>
        <v>0.56054099761522203</v>
      </c>
      <c r="L1162">
        <f t="shared" si="280"/>
        <v>1.2455957633353907</v>
      </c>
      <c r="M1162">
        <f t="shared" si="281"/>
        <v>0.99751504744962038</v>
      </c>
      <c r="N1162">
        <f t="shared" si="282"/>
        <v>0.99707237341715738</v>
      </c>
      <c r="O1162">
        <v>5.9793942229033649E-3</v>
      </c>
      <c r="P1162">
        <v>4.6862327258054629E-3</v>
      </c>
      <c r="Q1162">
        <f t="shared" si="283"/>
        <v>4179.9924200018895</v>
      </c>
      <c r="R1162">
        <f t="shared" si="284"/>
        <v>4.1799924200018896</v>
      </c>
    </row>
    <row r="1163" spans="1:18" x14ac:dyDescent="0.3">
      <c r="A1163">
        <v>2.3239999999999998</v>
      </c>
      <c r="B1163" s="4"/>
      <c r="C1163">
        <v>-30.278745888026499</v>
      </c>
      <c r="D1163">
        <v>1.95</v>
      </c>
      <c r="E1163">
        <f t="shared" si="273"/>
        <v>169.84273503181953</v>
      </c>
      <c r="F1163">
        <f t="shared" si="274"/>
        <v>1.9073151923566602E-2</v>
      </c>
      <c r="G1163">
        <f t="shared" si="275"/>
        <v>5.8989129660515262E-2</v>
      </c>
      <c r="H1163">
        <f t="shared" si="276"/>
        <v>53.257145370168729</v>
      </c>
      <c r="I1163">
        <f t="shared" si="277"/>
        <v>1.0256902670382038</v>
      </c>
      <c r="J1163">
        <f t="shared" si="278"/>
        <v>1.099447062739038</v>
      </c>
      <c r="K1163">
        <f t="shared" si="279"/>
        <v>0.56054099761522203</v>
      </c>
      <c r="L1163">
        <f t="shared" si="280"/>
        <v>1.2455957633353907</v>
      </c>
      <c r="M1163">
        <f t="shared" si="281"/>
        <v>0.99859455147042941</v>
      </c>
      <c r="N1163">
        <f t="shared" si="282"/>
        <v>1.00406067649521</v>
      </c>
      <c r="O1163">
        <v>5.8423890917496842E-3</v>
      </c>
      <c r="P1163">
        <v>4.8769921540864833E-3</v>
      </c>
      <c r="Q1163">
        <f t="shared" si="283"/>
        <v>4179.9924200018895</v>
      </c>
      <c r="R1163">
        <f t="shared" si="284"/>
        <v>4.1799924200018896</v>
      </c>
    </row>
    <row r="1164" spans="1:18" x14ac:dyDescent="0.3">
      <c r="A1164">
        <v>2.3260000000000001</v>
      </c>
      <c r="B1164" s="4"/>
      <c r="C1164">
        <v>-30.278745888026499</v>
      </c>
      <c r="D1164">
        <v>1.95</v>
      </c>
      <c r="E1164">
        <f t="shared" si="273"/>
        <v>169.84273503181953</v>
      </c>
      <c r="F1164">
        <f t="shared" si="274"/>
        <v>1.9073151923566602E-2</v>
      </c>
      <c r="G1164">
        <f t="shared" si="275"/>
        <v>5.8989129660515262E-2</v>
      </c>
      <c r="H1164">
        <f t="shared" si="276"/>
        <v>53.257145370168729</v>
      </c>
      <c r="I1164">
        <f t="shared" si="277"/>
        <v>1.0256902670382038</v>
      </c>
      <c r="J1164">
        <f t="shared" si="278"/>
        <v>1.099447062739038</v>
      </c>
      <c r="K1164">
        <f t="shared" si="279"/>
        <v>0.56054099761522203</v>
      </c>
      <c r="L1164">
        <f t="shared" si="280"/>
        <v>1.2455957633353907</v>
      </c>
      <c r="M1164">
        <f t="shared" si="281"/>
        <v>0.99935104199493896</v>
      </c>
      <c r="N1164">
        <f t="shared" si="282"/>
        <v>0.99962391088895197</v>
      </c>
      <c r="O1164">
        <v>5.6963503128622519E-3</v>
      </c>
      <c r="P1164">
        <v>5.0342197697806615E-3</v>
      </c>
      <c r="Q1164">
        <f t="shared" si="283"/>
        <v>4179.9924200018895</v>
      </c>
      <c r="R1164">
        <f t="shared" si="284"/>
        <v>4.1799924200018896</v>
      </c>
    </row>
    <row r="1165" spans="1:18" x14ac:dyDescent="0.3">
      <c r="A1165">
        <v>2.3279999999999998</v>
      </c>
      <c r="B1165" s="4"/>
      <c r="C1165">
        <v>-30.278745888026499</v>
      </c>
      <c r="D1165">
        <v>1.95</v>
      </c>
      <c r="E1165">
        <f t="shared" si="273"/>
        <v>169.84273503181953</v>
      </c>
      <c r="F1165">
        <f t="shared" si="274"/>
        <v>1.9073151923566602E-2</v>
      </c>
      <c r="G1165">
        <f t="shared" si="275"/>
        <v>5.8989129660515262E-2</v>
      </c>
      <c r="H1165">
        <f t="shared" si="276"/>
        <v>53.257145370168729</v>
      </c>
      <c r="I1165">
        <f t="shared" si="277"/>
        <v>1.0256902670382038</v>
      </c>
      <c r="J1165">
        <f t="shared" si="278"/>
        <v>1.099447062739038</v>
      </c>
      <c r="K1165">
        <f t="shared" si="279"/>
        <v>0.56054099761522203</v>
      </c>
      <c r="L1165">
        <f t="shared" si="280"/>
        <v>1.2455957633353907</v>
      </c>
      <c r="M1165">
        <f t="shared" si="281"/>
        <v>1.009445413720957</v>
      </c>
      <c r="N1165">
        <f t="shared" si="282"/>
        <v>0.99897800078390109</v>
      </c>
      <c r="O1165">
        <v>5.5675076346353549E-3</v>
      </c>
      <c r="P1165">
        <v>5.2014431550586751E-3</v>
      </c>
      <c r="Q1165">
        <f t="shared" si="283"/>
        <v>4179.9924200018895</v>
      </c>
      <c r="R1165">
        <f t="shared" si="284"/>
        <v>4.1799924200018896</v>
      </c>
    </row>
    <row r="1166" spans="1:18" x14ac:dyDescent="0.3">
      <c r="A1166">
        <v>2.33</v>
      </c>
      <c r="B1166" s="4"/>
      <c r="C1166">
        <v>-30.278745888026499</v>
      </c>
      <c r="D1166">
        <v>1.95</v>
      </c>
      <c r="E1166">
        <f t="shared" si="273"/>
        <v>169.84273503181953</v>
      </c>
      <c r="F1166">
        <f t="shared" si="274"/>
        <v>1.9073151923566602E-2</v>
      </c>
      <c r="G1166">
        <f t="shared" si="275"/>
        <v>5.8989129660515262E-2</v>
      </c>
      <c r="H1166">
        <f t="shared" si="276"/>
        <v>53.257145370168729</v>
      </c>
      <c r="I1166">
        <f t="shared" si="277"/>
        <v>1.0256902670382038</v>
      </c>
      <c r="J1166">
        <f t="shared" si="278"/>
        <v>1.099447062739038</v>
      </c>
      <c r="K1166">
        <f t="shared" si="279"/>
        <v>0.56054099761522203</v>
      </c>
      <c r="L1166">
        <f t="shared" si="280"/>
        <v>1.2455957633353907</v>
      </c>
      <c r="M1166">
        <f t="shared" si="281"/>
        <v>1.0023591963498306</v>
      </c>
      <c r="N1166">
        <f t="shared" si="282"/>
        <v>0.99788189521188564</v>
      </c>
      <c r="O1166">
        <v>5.3881546538079783E-3</v>
      </c>
      <c r="P1166">
        <v>5.364553411787547E-3</v>
      </c>
      <c r="Q1166">
        <f t="shared" si="283"/>
        <v>4179.9924200018895</v>
      </c>
      <c r="R1166">
        <f t="shared" si="284"/>
        <v>4.1799924200018896</v>
      </c>
    </row>
    <row r="1167" spans="1:18" x14ac:dyDescent="0.3">
      <c r="A1167">
        <v>2.3319999999999999</v>
      </c>
      <c r="B1167" s="4"/>
      <c r="C1167">
        <v>-30.278745888026499</v>
      </c>
      <c r="D1167">
        <v>1.95</v>
      </c>
      <c r="E1167">
        <f t="shared" si="273"/>
        <v>169.84273503181953</v>
      </c>
      <c r="F1167">
        <f t="shared" si="274"/>
        <v>1.9073151923566602E-2</v>
      </c>
      <c r="G1167">
        <f t="shared" si="275"/>
        <v>5.8989129660515262E-2</v>
      </c>
      <c r="H1167">
        <f t="shared" si="276"/>
        <v>53.257145370168729</v>
      </c>
      <c r="I1167">
        <f t="shared" si="277"/>
        <v>1.0256902670382038</v>
      </c>
      <c r="J1167">
        <f t="shared" si="278"/>
        <v>1.099447062739038</v>
      </c>
      <c r="K1167">
        <f t="shared" si="279"/>
        <v>0.56054099761522203</v>
      </c>
      <c r="L1167">
        <f t="shared" si="280"/>
        <v>1.2455957633353907</v>
      </c>
      <c r="M1167">
        <f t="shared" si="281"/>
        <v>0.99754053188178049</v>
      </c>
      <c r="N1167">
        <f t="shared" si="282"/>
        <v>0.99957488476158796</v>
      </c>
      <c r="O1167">
        <v>5.2093068291553055E-3</v>
      </c>
      <c r="P1167">
        <v>5.5305989827073481E-3</v>
      </c>
      <c r="Q1167">
        <f t="shared" si="283"/>
        <v>4179.9924200018895</v>
      </c>
      <c r="R1167">
        <f t="shared" si="284"/>
        <v>4.1799924200018896</v>
      </c>
    </row>
    <row r="1168" spans="1:18" x14ac:dyDescent="0.3">
      <c r="A1168">
        <v>2.3340000000000001</v>
      </c>
      <c r="B1168" s="4"/>
      <c r="C1168">
        <v>-30.278745888026499</v>
      </c>
      <c r="D1168">
        <v>1.95</v>
      </c>
      <c r="E1168">
        <f t="shared" si="273"/>
        <v>169.84273503181953</v>
      </c>
      <c r="F1168">
        <f t="shared" si="274"/>
        <v>1.9073151923566602E-2</v>
      </c>
      <c r="G1168">
        <f t="shared" si="275"/>
        <v>5.8989129660515262E-2</v>
      </c>
      <c r="H1168">
        <f t="shared" si="276"/>
        <v>53.257145370168729</v>
      </c>
      <c r="I1168">
        <f t="shared" si="277"/>
        <v>1.0256902670382038</v>
      </c>
      <c r="J1168">
        <f t="shared" si="278"/>
        <v>1.099447062739038</v>
      </c>
      <c r="K1168">
        <f t="shared" si="279"/>
        <v>0.56054099761522203</v>
      </c>
      <c r="L1168">
        <f t="shared" si="280"/>
        <v>1.2455957633353907</v>
      </c>
      <c r="M1168">
        <f t="shared" si="281"/>
        <v>0.99879308816586021</v>
      </c>
      <c r="N1168">
        <f t="shared" si="282"/>
        <v>1.0060345889384688</v>
      </c>
      <c r="O1168">
        <v>5.0438460139444214E-3</v>
      </c>
      <c r="P1168">
        <v>5.7026204590437052E-3</v>
      </c>
      <c r="Q1168">
        <f t="shared" si="283"/>
        <v>4179.9924200018895</v>
      </c>
      <c r="R1168">
        <f t="shared" si="284"/>
        <v>4.1799924200018896</v>
      </c>
    </row>
    <row r="1169" spans="1:18" x14ac:dyDescent="0.3">
      <c r="A1169">
        <v>2.3359999999999999</v>
      </c>
      <c r="B1169" s="4"/>
      <c r="C1169">
        <v>-30.278745888026499</v>
      </c>
      <c r="D1169">
        <v>1.95</v>
      </c>
      <c r="E1169">
        <f t="shared" si="273"/>
        <v>169.84273503181953</v>
      </c>
      <c r="F1169">
        <f t="shared" si="274"/>
        <v>1.9073151923566602E-2</v>
      </c>
      <c r="G1169">
        <f t="shared" si="275"/>
        <v>5.8989129660515262E-2</v>
      </c>
      <c r="H1169">
        <f t="shared" si="276"/>
        <v>53.257145370168729</v>
      </c>
      <c r="I1169">
        <f t="shared" si="277"/>
        <v>1.0256902670382038</v>
      </c>
      <c r="J1169">
        <f t="shared" si="278"/>
        <v>1.099447062739038</v>
      </c>
      <c r="K1169">
        <f t="shared" si="279"/>
        <v>0.56054099761522203</v>
      </c>
      <c r="L1169">
        <f t="shared" si="280"/>
        <v>1.2455957633353907</v>
      </c>
      <c r="M1169">
        <f t="shared" si="281"/>
        <v>0.99953571566521504</v>
      </c>
      <c r="N1169">
        <f t="shared" si="282"/>
        <v>0.99963047413701256</v>
      </c>
      <c r="O1169">
        <v>4.875651233815859E-3</v>
      </c>
      <c r="P1169">
        <v>5.8347764805569725E-3</v>
      </c>
      <c r="Q1169">
        <f t="shared" si="283"/>
        <v>4179.9924200018895</v>
      </c>
      <c r="R1169">
        <f t="shared" si="284"/>
        <v>4.1799924200018896</v>
      </c>
    </row>
    <row r="1170" spans="1:18" x14ac:dyDescent="0.3">
      <c r="A1170">
        <v>2.3380000000000001</v>
      </c>
      <c r="B1170" s="4"/>
      <c r="C1170">
        <v>-30.278745888026499</v>
      </c>
      <c r="D1170">
        <v>1.95</v>
      </c>
      <c r="E1170">
        <f t="shared" si="273"/>
        <v>169.84273503181953</v>
      </c>
      <c r="F1170">
        <f t="shared" si="274"/>
        <v>1.9073151923566602E-2</v>
      </c>
      <c r="G1170">
        <f t="shared" si="275"/>
        <v>5.8989129660515262E-2</v>
      </c>
      <c r="H1170">
        <f t="shared" si="276"/>
        <v>53.257145370168729</v>
      </c>
      <c r="I1170">
        <f t="shared" si="277"/>
        <v>1.0256902670382038</v>
      </c>
      <c r="J1170">
        <f t="shared" si="278"/>
        <v>1.099447062739038</v>
      </c>
      <c r="K1170">
        <f t="shared" si="279"/>
        <v>0.56054099761522203</v>
      </c>
      <c r="L1170">
        <f t="shared" si="280"/>
        <v>1.2455957633353907</v>
      </c>
      <c r="M1170">
        <f t="shared" si="281"/>
        <v>1.0048253187766918</v>
      </c>
      <c r="N1170">
        <f t="shared" si="282"/>
        <v>0.99910959379135778</v>
      </c>
      <c r="O1170">
        <v>4.7218604124894276E-3</v>
      </c>
      <c r="P1170">
        <v>5.9737019433019093E-3</v>
      </c>
      <c r="Q1170">
        <f t="shared" si="283"/>
        <v>4179.9924200018895</v>
      </c>
      <c r="R1170">
        <f t="shared" si="284"/>
        <v>4.1799924200018896</v>
      </c>
    </row>
    <row r="1171" spans="1:18" x14ac:dyDescent="0.3">
      <c r="A1171">
        <v>2.34</v>
      </c>
      <c r="B1171" s="4"/>
      <c r="C1171">
        <v>-30.278745888026499</v>
      </c>
      <c r="D1171">
        <v>1.95</v>
      </c>
      <c r="E1171">
        <f t="shared" si="273"/>
        <v>169.84273503181953</v>
      </c>
      <c r="F1171">
        <f t="shared" si="274"/>
        <v>1.9073151923566602E-2</v>
      </c>
      <c r="G1171">
        <f t="shared" si="275"/>
        <v>5.8989129660515262E-2</v>
      </c>
      <c r="H1171">
        <f t="shared" si="276"/>
        <v>53.257145370168729</v>
      </c>
      <c r="I1171">
        <f t="shared" si="277"/>
        <v>1.0256902670382038</v>
      </c>
      <c r="J1171">
        <f t="shared" si="278"/>
        <v>1.099447062739038</v>
      </c>
      <c r="K1171">
        <f t="shared" si="279"/>
        <v>0.56054099761522203</v>
      </c>
      <c r="L1171">
        <f t="shared" si="280"/>
        <v>1.2455957633353907</v>
      </c>
      <c r="M1171">
        <f t="shared" si="281"/>
        <v>1.0006413435447628</v>
      </c>
      <c r="N1171">
        <f t="shared" si="282"/>
        <v>0.99834607113577833</v>
      </c>
      <c r="O1171">
        <v>4.5417007152624578E-3</v>
      </c>
      <c r="P1171">
        <v>6.1028398013623164E-3</v>
      </c>
      <c r="Q1171">
        <f t="shared" si="283"/>
        <v>4179.9924200018895</v>
      </c>
      <c r="R1171">
        <f t="shared" si="284"/>
        <v>4.1799924200018896</v>
      </c>
    </row>
    <row r="1172" spans="1:18" x14ac:dyDescent="0.3">
      <c r="A1172">
        <v>2.3420000000000001</v>
      </c>
      <c r="B1172" s="4"/>
      <c r="C1172">
        <v>-30.278745888026499</v>
      </c>
      <c r="D1172">
        <v>1.95</v>
      </c>
      <c r="E1172">
        <f t="shared" si="273"/>
        <v>169.84273503181953</v>
      </c>
      <c r="F1172">
        <f t="shared" si="274"/>
        <v>1.9073151923566602E-2</v>
      </c>
      <c r="G1172">
        <f t="shared" si="275"/>
        <v>5.8989129660515262E-2</v>
      </c>
      <c r="H1172">
        <f t="shared" si="276"/>
        <v>53.257145370168729</v>
      </c>
      <c r="I1172">
        <f t="shared" si="277"/>
        <v>1.0256902670382038</v>
      </c>
      <c r="J1172">
        <f t="shared" si="278"/>
        <v>1.099447062739038</v>
      </c>
      <c r="K1172">
        <f t="shared" si="279"/>
        <v>0.56054099761522203</v>
      </c>
      <c r="L1172">
        <f t="shared" si="280"/>
        <v>1.2455957633353907</v>
      </c>
      <c r="M1172">
        <f t="shared" si="281"/>
        <v>1.0034044929666219</v>
      </c>
      <c r="N1172">
        <f t="shared" si="282"/>
        <v>0.99735884610455883</v>
      </c>
      <c r="O1172">
        <v>4.3879855330482146E-3</v>
      </c>
      <c r="P1172">
        <v>6.2213565078653929E-3</v>
      </c>
      <c r="Q1172">
        <f t="shared" si="283"/>
        <v>4179.9924200018895</v>
      </c>
      <c r="R1172">
        <f t="shared" si="284"/>
        <v>4.1799924200018896</v>
      </c>
    </row>
    <row r="1173" spans="1:18" x14ac:dyDescent="0.3">
      <c r="A1173">
        <v>2.3439999999999999</v>
      </c>
      <c r="B1173" s="4"/>
      <c r="C1173">
        <v>-30.278745888026499</v>
      </c>
      <c r="D1173">
        <v>1.95</v>
      </c>
      <c r="E1173">
        <f t="shared" si="273"/>
        <v>169.84273503181953</v>
      </c>
      <c r="F1173">
        <f t="shared" si="274"/>
        <v>1.9073151923566602E-2</v>
      </c>
      <c r="G1173">
        <f t="shared" si="275"/>
        <v>5.8989129660515262E-2</v>
      </c>
      <c r="H1173">
        <f t="shared" si="276"/>
        <v>53.257145370168729</v>
      </c>
      <c r="I1173">
        <f t="shared" si="277"/>
        <v>1.0256902670382038</v>
      </c>
      <c r="J1173">
        <f t="shared" si="278"/>
        <v>1.099447062739038</v>
      </c>
      <c r="K1173">
        <f t="shared" si="279"/>
        <v>0.56054099761522203</v>
      </c>
      <c r="L1173">
        <f t="shared" si="280"/>
        <v>1.2455957633353907</v>
      </c>
      <c r="M1173">
        <f t="shared" si="281"/>
        <v>1.0007587475208024</v>
      </c>
      <c r="N1173">
        <f t="shared" si="282"/>
        <v>0.99619028663175602</v>
      </c>
      <c r="O1173">
        <v>4.223620862509176E-3</v>
      </c>
      <c r="P1173">
        <v>6.3285610742273568E-3</v>
      </c>
      <c r="Q1173">
        <f t="shared" si="283"/>
        <v>4179.9924200018895</v>
      </c>
      <c r="R1173">
        <f t="shared" si="284"/>
        <v>4.1799924200018896</v>
      </c>
    </row>
    <row r="1174" spans="1:18" x14ac:dyDescent="0.3">
      <c r="A1174">
        <v>2.3460000000000001</v>
      </c>
      <c r="B1174" s="4"/>
      <c r="C1174">
        <v>-30.278745888026499</v>
      </c>
      <c r="D1174">
        <v>1.95</v>
      </c>
      <c r="E1174">
        <f t="shared" si="273"/>
        <v>169.84273503181953</v>
      </c>
      <c r="F1174">
        <f t="shared" si="274"/>
        <v>1.9073151923566602E-2</v>
      </c>
      <c r="G1174">
        <f t="shared" si="275"/>
        <v>5.8989129660515262E-2</v>
      </c>
      <c r="H1174">
        <f t="shared" si="276"/>
        <v>53.257145370168729</v>
      </c>
      <c r="I1174">
        <f t="shared" si="277"/>
        <v>1.0256902670382038</v>
      </c>
      <c r="J1174">
        <f t="shared" si="278"/>
        <v>1.099447062739038</v>
      </c>
      <c r="K1174">
        <f t="shared" si="279"/>
        <v>0.56054099761522203</v>
      </c>
      <c r="L1174">
        <f t="shared" si="280"/>
        <v>1.2455957633353907</v>
      </c>
      <c r="M1174">
        <f t="shared" si="281"/>
        <v>0.99420443663220603</v>
      </c>
      <c r="N1174">
        <f t="shared" si="282"/>
        <v>0.99490168787696232</v>
      </c>
      <c r="O1174">
        <v>4.0544585954635625E-3</v>
      </c>
      <c r="P1174">
        <v>6.4238879548979269E-3</v>
      </c>
      <c r="Q1174">
        <f t="shared" si="283"/>
        <v>4179.9924200018895</v>
      </c>
      <c r="R1174">
        <f t="shared" si="284"/>
        <v>4.1799924200018896</v>
      </c>
    </row>
    <row r="1175" spans="1:18" x14ac:dyDescent="0.3">
      <c r="A1175">
        <v>2.3479999999999999</v>
      </c>
      <c r="B1175" s="4"/>
      <c r="C1175">
        <v>-30.278745888026499</v>
      </c>
      <c r="D1175">
        <v>1.95</v>
      </c>
      <c r="E1175">
        <f t="shared" si="273"/>
        <v>169.84273503181953</v>
      </c>
      <c r="F1175">
        <f t="shared" si="274"/>
        <v>1.9073151923566602E-2</v>
      </c>
      <c r="G1175">
        <f t="shared" si="275"/>
        <v>5.8989129660515262E-2</v>
      </c>
      <c r="H1175">
        <f t="shared" si="276"/>
        <v>53.257145370168729</v>
      </c>
      <c r="I1175">
        <f t="shared" si="277"/>
        <v>1.0256902670382038</v>
      </c>
      <c r="J1175">
        <f t="shared" si="278"/>
        <v>1.099447062739038</v>
      </c>
      <c r="K1175">
        <f t="shared" si="279"/>
        <v>0.56054099761522203</v>
      </c>
      <c r="L1175">
        <f t="shared" si="280"/>
        <v>1.2455957633353907</v>
      </c>
      <c r="M1175">
        <f t="shared" si="281"/>
        <v>1.0002817457194868</v>
      </c>
      <c r="N1175">
        <f t="shared" si="282"/>
        <v>0.99356755139020958</v>
      </c>
      <c r="O1175">
        <v>3.9421156338791596E-3</v>
      </c>
      <c r="P1175">
        <v>6.5068806259324079E-3</v>
      </c>
      <c r="Q1175">
        <f t="shared" si="283"/>
        <v>4179.9924200018895</v>
      </c>
      <c r="R1175">
        <f t="shared" si="284"/>
        <v>4.1799924200018896</v>
      </c>
    </row>
    <row r="1176" spans="1:18" x14ac:dyDescent="0.3">
      <c r="A1176">
        <v>2.35</v>
      </c>
      <c r="B1176" s="4"/>
      <c r="C1176">
        <v>-30.278745888026499</v>
      </c>
      <c r="D1176">
        <v>1.95</v>
      </c>
      <c r="E1176">
        <f t="shared" si="273"/>
        <v>169.84273503181953</v>
      </c>
      <c r="F1176">
        <f t="shared" si="274"/>
        <v>1.9073151923566602E-2</v>
      </c>
      <c r="G1176">
        <f t="shared" si="275"/>
        <v>5.8989129660515262E-2</v>
      </c>
      <c r="H1176">
        <f t="shared" si="276"/>
        <v>53.257145370168729</v>
      </c>
      <c r="I1176">
        <f t="shared" si="277"/>
        <v>1.0256902670382038</v>
      </c>
      <c r="J1176">
        <f t="shared" si="278"/>
        <v>1.099447062739038</v>
      </c>
      <c r="K1176">
        <f t="shared" si="279"/>
        <v>0.56054099761522203</v>
      </c>
      <c r="L1176">
        <f t="shared" si="280"/>
        <v>1.2455957633353907</v>
      </c>
      <c r="M1176">
        <f t="shared" si="281"/>
        <v>1.0014719798317955</v>
      </c>
      <c r="N1176">
        <f t="shared" si="282"/>
        <v>0.99226918075341974</v>
      </c>
      <c r="O1176">
        <v>3.8279717606528978E-3</v>
      </c>
      <c r="P1176">
        <v>6.5771764165542812E-3</v>
      </c>
      <c r="Q1176">
        <f t="shared" si="283"/>
        <v>4179.9924200018895</v>
      </c>
      <c r="R1176">
        <f t="shared" si="284"/>
        <v>4.1799924200018896</v>
      </c>
    </row>
    <row r="1177" spans="1:18" x14ac:dyDescent="0.3">
      <c r="A1177">
        <v>2.3519999999999999</v>
      </c>
      <c r="B1177" s="4"/>
      <c r="C1177">
        <v>-30.278745888026499</v>
      </c>
      <c r="D1177">
        <v>1.95</v>
      </c>
      <c r="E1177">
        <f t="shared" si="273"/>
        <v>169.84273503181953</v>
      </c>
      <c r="F1177">
        <f t="shared" si="274"/>
        <v>1.9073151923566602E-2</v>
      </c>
      <c r="G1177">
        <f t="shared" si="275"/>
        <v>5.8989129660515262E-2</v>
      </c>
      <c r="H1177">
        <f t="shared" si="276"/>
        <v>53.257145370168729</v>
      </c>
      <c r="I1177">
        <f t="shared" si="277"/>
        <v>1.0256902670382038</v>
      </c>
      <c r="J1177">
        <f t="shared" si="278"/>
        <v>1.099447062739038</v>
      </c>
      <c r="K1177">
        <f t="shared" si="279"/>
        <v>0.56054099761522203</v>
      </c>
      <c r="L1177">
        <f t="shared" si="280"/>
        <v>1.2455957633353907</v>
      </c>
      <c r="M1177">
        <f t="shared" si="281"/>
        <v>1.0031405980733081</v>
      </c>
      <c r="N1177">
        <f t="shared" si="282"/>
        <v>0.9910881038896443</v>
      </c>
      <c r="O1177">
        <v>3.7338276819932994E-3</v>
      </c>
      <c r="P1177">
        <v>6.63449298739571E-3</v>
      </c>
      <c r="Q1177">
        <f t="shared" si="283"/>
        <v>4179.9924200018895</v>
      </c>
      <c r="R1177">
        <f t="shared" si="284"/>
        <v>4.1799924200018896</v>
      </c>
    </row>
    <row r="1178" spans="1:18" x14ac:dyDescent="0.3">
      <c r="A1178">
        <v>2.3540000000000001</v>
      </c>
      <c r="B1178" s="4"/>
      <c r="C1178">
        <v>-30.278745888026499</v>
      </c>
      <c r="D1178">
        <v>1.95</v>
      </c>
      <c r="E1178">
        <f t="shared" si="273"/>
        <v>169.84273503181953</v>
      </c>
      <c r="F1178">
        <f t="shared" si="274"/>
        <v>1.9073151923566602E-2</v>
      </c>
      <c r="G1178">
        <f t="shared" si="275"/>
        <v>5.8989129660515262E-2</v>
      </c>
      <c r="H1178">
        <f t="shared" si="276"/>
        <v>53.257145370168729</v>
      </c>
      <c r="I1178">
        <f t="shared" si="277"/>
        <v>1.0256902670382038</v>
      </c>
      <c r="J1178">
        <f t="shared" si="278"/>
        <v>1.099447062739038</v>
      </c>
      <c r="K1178">
        <f t="shared" si="279"/>
        <v>0.56054099761522203</v>
      </c>
      <c r="L1178">
        <f t="shared" si="280"/>
        <v>1.2455957633353907</v>
      </c>
      <c r="M1178">
        <f t="shared" si="281"/>
        <v>1.0048663148011525</v>
      </c>
      <c r="N1178">
        <f t="shared" si="282"/>
        <v>0.990099781564169</v>
      </c>
      <c r="O1178">
        <v>3.6606849201572702E-3</v>
      </c>
      <c r="P1178">
        <v>6.6786167186156332E-3</v>
      </c>
      <c r="Q1178">
        <f t="shared" si="283"/>
        <v>4179.9924200018895</v>
      </c>
      <c r="R1178">
        <f t="shared" si="284"/>
        <v>4.1799924200018896</v>
      </c>
    </row>
    <row r="1179" spans="1:18" x14ac:dyDescent="0.3">
      <c r="A1179">
        <v>2.3559999999999999</v>
      </c>
      <c r="B1179" s="4"/>
      <c r="C1179">
        <v>-30.278745888026499</v>
      </c>
      <c r="D1179">
        <v>1.95</v>
      </c>
      <c r="E1179">
        <f t="shared" si="273"/>
        <v>169.84273503181953</v>
      </c>
      <c r="F1179">
        <f t="shared" si="274"/>
        <v>1.9073151923566602E-2</v>
      </c>
      <c r="G1179">
        <f t="shared" si="275"/>
        <v>5.8989129660515262E-2</v>
      </c>
      <c r="H1179">
        <f t="shared" si="276"/>
        <v>53.257145370168729</v>
      </c>
      <c r="I1179">
        <f t="shared" si="277"/>
        <v>1.0256902670382038</v>
      </c>
      <c r="J1179">
        <f t="shared" si="278"/>
        <v>1.099447062739038</v>
      </c>
      <c r="K1179">
        <f t="shared" si="279"/>
        <v>0.56054099761522203</v>
      </c>
      <c r="L1179">
        <f t="shared" si="280"/>
        <v>1.2455957633353907</v>
      </c>
      <c r="M1179">
        <f t="shared" si="281"/>
        <v>1.0063029088605913</v>
      </c>
      <c r="N1179">
        <f t="shared" si="282"/>
        <v>0.99981275152482985</v>
      </c>
      <c r="O1179">
        <v>3.6093192931823011E-3</v>
      </c>
      <c r="P1179">
        <v>6.7321118333146749E-3</v>
      </c>
      <c r="Q1179">
        <f t="shared" si="283"/>
        <v>4179.9924200018895</v>
      </c>
      <c r="R1179">
        <f t="shared" si="284"/>
        <v>4.1799924200018896</v>
      </c>
    </row>
    <row r="1180" spans="1:18" x14ac:dyDescent="0.3">
      <c r="A1180">
        <v>2.3580000000000001</v>
      </c>
      <c r="B1180" s="4"/>
      <c r="C1180">
        <v>-30.278745888026499</v>
      </c>
      <c r="D1180">
        <v>1.95</v>
      </c>
      <c r="E1180">
        <f t="shared" si="273"/>
        <v>169.84273503181953</v>
      </c>
      <c r="F1180">
        <f t="shared" si="274"/>
        <v>1.9073151923566602E-2</v>
      </c>
      <c r="G1180">
        <f t="shared" si="275"/>
        <v>5.8989129660515262E-2</v>
      </c>
      <c r="H1180">
        <f t="shared" si="276"/>
        <v>53.257145370168729</v>
      </c>
      <c r="I1180">
        <f t="shared" si="277"/>
        <v>1.0256902670382038</v>
      </c>
      <c r="J1180">
        <f t="shared" si="278"/>
        <v>1.099447062739038</v>
      </c>
      <c r="K1180">
        <f t="shared" si="279"/>
        <v>0.56054099761522203</v>
      </c>
      <c r="L1180">
        <f t="shared" si="280"/>
        <v>1.2455957633353907</v>
      </c>
      <c r="M1180">
        <f t="shared" si="281"/>
        <v>1.0008606662647821</v>
      </c>
      <c r="N1180">
        <f t="shared" si="282"/>
        <v>0.9998011024005915</v>
      </c>
      <c r="O1180">
        <v>3.5548987493076627E-3</v>
      </c>
      <c r="P1180">
        <v>6.7502853035048462E-3</v>
      </c>
      <c r="Q1180">
        <f t="shared" si="283"/>
        <v>4179.9924200018895</v>
      </c>
      <c r="R1180">
        <f t="shared" si="284"/>
        <v>4.1799924200018896</v>
      </c>
    </row>
    <row r="1181" spans="1:18" x14ac:dyDescent="0.3">
      <c r="A1181">
        <v>2.36</v>
      </c>
      <c r="B1181" s="4"/>
      <c r="C1181">
        <v>-30.278745888026499</v>
      </c>
      <c r="D1181">
        <v>1.95</v>
      </c>
      <c r="E1181">
        <f t="shared" si="273"/>
        <v>169.84273503181953</v>
      </c>
      <c r="F1181">
        <f t="shared" si="274"/>
        <v>1.9073151923566602E-2</v>
      </c>
      <c r="G1181">
        <f t="shared" si="275"/>
        <v>5.8989129660515262E-2</v>
      </c>
      <c r="H1181">
        <f t="shared" si="276"/>
        <v>53.257145370168729</v>
      </c>
      <c r="I1181">
        <f t="shared" si="277"/>
        <v>1.0256902670382038</v>
      </c>
      <c r="J1181">
        <f t="shared" si="278"/>
        <v>1.099447062739038</v>
      </c>
      <c r="K1181">
        <f t="shared" si="279"/>
        <v>0.56054099761522203</v>
      </c>
      <c r="L1181">
        <f t="shared" si="280"/>
        <v>1.2455957633353907</v>
      </c>
      <c r="M1181">
        <f t="shared" si="281"/>
        <v>1.0009841870846385</v>
      </c>
      <c r="N1181">
        <f t="shared" si="282"/>
        <v>0.99979845836323311</v>
      </c>
      <c r="O1181">
        <v>3.5481060992710858E-3</v>
      </c>
      <c r="P1181">
        <v>6.7542954250850084E-3</v>
      </c>
      <c r="Q1181">
        <f t="shared" si="283"/>
        <v>4179.9924200018895</v>
      </c>
      <c r="R1181">
        <f t="shared" si="284"/>
        <v>4.1799924200018896</v>
      </c>
    </row>
    <row r="1182" spans="1:18" x14ac:dyDescent="0.3">
      <c r="A1182">
        <v>2.3620000000000001</v>
      </c>
      <c r="B1182" s="4"/>
      <c r="C1182">
        <v>-30.278745888026499</v>
      </c>
      <c r="D1182">
        <v>1.95</v>
      </c>
      <c r="E1182">
        <f t="shared" si="273"/>
        <v>169.84273503181953</v>
      </c>
      <c r="F1182">
        <f t="shared" si="274"/>
        <v>1.9073151923566602E-2</v>
      </c>
      <c r="G1182">
        <f t="shared" si="275"/>
        <v>5.8989129660515262E-2</v>
      </c>
      <c r="H1182">
        <f t="shared" si="276"/>
        <v>53.257145370168729</v>
      </c>
      <c r="I1182">
        <f t="shared" si="277"/>
        <v>1.0256902670382038</v>
      </c>
      <c r="J1182">
        <f t="shared" si="278"/>
        <v>1.099447062739038</v>
      </c>
      <c r="K1182">
        <f t="shared" si="279"/>
        <v>0.56054099761522203</v>
      </c>
      <c r="L1182">
        <f t="shared" si="280"/>
        <v>1.2455957633353907</v>
      </c>
      <c r="M1182">
        <f t="shared" si="281"/>
        <v>1.0006771633002047</v>
      </c>
      <c r="N1182">
        <f t="shared" si="282"/>
        <v>0.99980511562799435</v>
      </c>
      <c r="O1182">
        <v>3.5653370904305958E-3</v>
      </c>
      <c r="P1182">
        <v>6.7441193164090715E-3</v>
      </c>
      <c r="Q1182">
        <f t="shared" si="283"/>
        <v>4179.9924200018895</v>
      </c>
      <c r="R1182">
        <f t="shared" si="284"/>
        <v>4.1799924200018896</v>
      </c>
    </row>
    <row r="1183" spans="1:18" x14ac:dyDescent="0.3">
      <c r="A1183">
        <v>2.3639999999999999</v>
      </c>
      <c r="B1183" s="4"/>
      <c r="C1183">
        <v>-30.278745888026499</v>
      </c>
      <c r="D1183">
        <v>1.95</v>
      </c>
      <c r="E1183">
        <f t="shared" si="273"/>
        <v>169.84273503181953</v>
      </c>
      <c r="F1183">
        <f t="shared" si="274"/>
        <v>1.9073151923566602E-2</v>
      </c>
      <c r="G1183">
        <f t="shared" si="275"/>
        <v>5.8989129660515262E-2</v>
      </c>
      <c r="H1183">
        <f t="shared" si="276"/>
        <v>53.257145370168729</v>
      </c>
      <c r="I1183">
        <f t="shared" si="277"/>
        <v>1.0256902670382038</v>
      </c>
      <c r="J1183">
        <f t="shared" si="278"/>
        <v>1.099447062739038</v>
      </c>
      <c r="K1183">
        <f t="shared" si="279"/>
        <v>0.56054099761522203</v>
      </c>
      <c r="L1183">
        <f t="shared" si="280"/>
        <v>1.2455957633353907</v>
      </c>
      <c r="M1183">
        <f t="shared" si="281"/>
        <v>1.0057323287145272</v>
      </c>
      <c r="N1183">
        <f t="shared" si="282"/>
        <v>0.99982033019355421</v>
      </c>
      <c r="O1183">
        <v>3.6289376391349772E-3</v>
      </c>
      <c r="P1183">
        <v>6.7198150861676334E-3</v>
      </c>
      <c r="Q1183">
        <f t="shared" si="283"/>
        <v>4179.9924200018895</v>
      </c>
      <c r="R1183">
        <f t="shared" si="284"/>
        <v>4.1799924200018896</v>
      </c>
    </row>
    <row r="1184" spans="1:18" x14ac:dyDescent="0.3">
      <c r="A1184">
        <v>2.3660000000000001</v>
      </c>
      <c r="B1184" s="4"/>
      <c r="C1184">
        <v>-30.278745888026499</v>
      </c>
      <c r="D1184">
        <v>1.95</v>
      </c>
      <c r="E1184">
        <f t="shared" si="273"/>
        <v>169.84273503181953</v>
      </c>
      <c r="F1184">
        <f t="shared" si="274"/>
        <v>1.9073151923566602E-2</v>
      </c>
      <c r="G1184">
        <f t="shared" si="275"/>
        <v>5.8989129660515262E-2</v>
      </c>
      <c r="H1184">
        <f t="shared" si="276"/>
        <v>53.257145370168729</v>
      </c>
      <c r="I1184">
        <f t="shared" si="277"/>
        <v>1.0256902670382038</v>
      </c>
      <c r="J1184">
        <f t="shared" si="278"/>
        <v>1.099447062739038</v>
      </c>
      <c r="K1184">
        <f t="shared" si="279"/>
        <v>0.56054099761522203</v>
      </c>
      <c r="L1184">
        <f t="shared" si="280"/>
        <v>1.2455957633353907</v>
      </c>
      <c r="M1184">
        <f t="shared" si="281"/>
        <v>1.0041330915028004</v>
      </c>
      <c r="N1184">
        <f t="shared" si="282"/>
        <v>0.99050141540113279</v>
      </c>
      <c r="O1184">
        <v>3.6898528296930837E-3</v>
      </c>
      <c r="P1184">
        <v>6.6610633601782475E-3</v>
      </c>
      <c r="Q1184">
        <f t="shared" si="283"/>
        <v>4179.9924200018895</v>
      </c>
      <c r="R1184">
        <f t="shared" si="284"/>
        <v>4.1799924200018896</v>
      </c>
    </row>
    <row r="1185" spans="1:18" x14ac:dyDescent="0.3">
      <c r="A1185">
        <v>2.3679999999999999</v>
      </c>
      <c r="B1185" s="4"/>
      <c r="C1185">
        <v>-30.278745888026499</v>
      </c>
      <c r="D1185">
        <v>1.95</v>
      </c>
      <c r="E1185">
        <f t="shared" si="273"/>
        <v>169.84273503181953</v>
      </c>
      <c r="F1185">
        <f t="shared" si="274"/>
        <v>1.9073151923566602E-2</v>
      </c>
      <c r="G1185">
        <f t="shared" si="275"/>
        <v>5.8989129660515262E-2</v>
      </c>
      <c r="H1185">
        <f t="shared" si="276"/>
        <v>53.257145370168729</v>
      </c>
      <c r="I1185">
        <f t="shared" si="277"/>
        <v>1.0256902670382038</v>
      </c>
      <c r="J1185">
        <f t="shared" si="278"/>
        <v>1.099447062739038</v>
      </c>
      <c r="K1185">
        <f t="shared" si="279"/>
        <v>0.56054099761522203</v>
      </c>
      <c r="L1185">
        <f t="shared" si="280"/>
        <v>1.2455957633353907</v>
      </c>
      <c r="M1185">
        <f t="shared" si="281"/>
        <v>1.0023847802329466</v>
      </c>
      <c r="N1185">
        <f t="shared" si="282"/>
        <v>0.99158219218787202</v>
      </c>
      <c r="O1185">
        <v>3.772236013734092E-3</v>
      </c>
      <c r="P1185">
        <v>6.6111809426111293E-3</v>
      </c>
      <c r="Q1185">
        <f t="shared" si="283"/>
        <v>4179.9924200018895</v>
      </c>
      <c r="R1185">
        <f t="shared" si="284"/>
        <v>4.1799924200018896</v>
      </c>
    </row>
    <row r="1186" spans="1:18" x14ac:dyDescent="0.3">
      <c r="A1186">
        <v>2.37</v>
      </c>
      <c r="B1186" s="4"/>
      <c r="C1186">
        <v>-30.278745888026499</v>
      </c>
      <c r="D1186">
        <v>1.95</v>
      </c>
      <c r="E1186">
        <f t="shared" si="273"/>
        <v>169.84273503181953</v>
      </c>
      <c r="F1186">
        <f t="shared" si="274"/>
        <v>1.9073151923566602E-2</v>
      </c>
      <c r="G1186">
        <f t="shared" si="275"/>
        <v>5.8989129660515262E-2</v>
      </c>
      <c r="H1186">
        <f t="shared" si="276"/>
        <v>53.257145370168729</v>
      </c>
      <c r="I1186">
        <f t="shared" si="277"/>
        <v>1.0256902670382038</v>
      </c>
      <c r="J1186">
        <f t="shared" si="278"/>
        <v>1.099447062739038</v>
      </c>
      <c r="K1186">
        <f t="shared" si="279"/>
        <v>0.56054099761522203</v>
      </c>
      <c r="L1186">
        <f t="shared" si="280"/>
        <v>1.2455957633353907</v>
      </c>
      <c r="M1186">
        <f t="shared" si="281"/>
        <v>1.0008687507168403</v>
      </c>
      <c r="N1186">
        <f t="shared" si="282"/>
        <v>0.99282403716372625</v>
      </c>
      <c r="O1186">
        <v>3.8752123201235447E-3</v>
      </c>
      <c r="P1186">
        <v>6.5481907867859981E-3</v>
      </c>
      <c r="Q1186">
        <f t="shared" si="283"/>
        <v>4179.9924200018895</v>
      </c>
      <c r="R1186">
        <f t="shared" si="284"/>
        <v>4.1799924200018896</v>
      </c>
    </row>
    <row r="1187" spans="1:18" x14ac:dyDescent="0.3">
      <c r="A1187">
        <v>2.3719999999999999</v>
      </c>
      <c r="B1187" s="4">
        <v>79</v>
      </c>
      <c r="C1187">
        <v>-29.129738749960001</v>
      </c>
      <c r="D1187">
        <v>1.95</v>
      </c>
      <c r="E1187">
        <f>$E$1186+$R$1186</f>
        <v>174.02272745182142</v>
      </c>
      <c r="F1187">
        <f t="shared" si="274"/>
        <v>1.9306429621187993E-2</v>
      </c>
      <c r="G1187">
        <f t="shared" si="275"/>
        <v>5.971060707583916E-2</v>
      </c>
      <c r="H1187">
        <f t="shared" si="276"/>
        <v>52.613644500375258</v>
      </c>
      <c r="I1187">
        <f t="shared" si="277"/>
        <v>1.0250693512945135</v>
      </c>
      <c r="J1187">
        <f t="shared" si="278"/>
        <v>1.0970019569425498</v>
      </c>
      <c r="K1187">
        <f t="shared" si="279"/>
        <v>0.56108036298489472</v>
      </c>
      <c r="L1187">
        <f t="shared" si="280"/>
        <v>1.2446969181799608</v>
      </c>
      <c r="M1187">
        <f t="shared" si="281"/>
        <v>1.0014111836671817</v>
      </c>
      <c r="N1187">
        <f t="shared" si="282"/>
        <v>0.99656632649858301</v>
      </c>
      <c r="O1187">
        <v>4.2770314181121791E-3</v>
      </c>
      <c r="P1187">
        <v>6.2969216787323729E-3</v>
      </c>
      <c r="Q1187">
        <f t="shared" si="283"/>
        <v>4222.7468437417256</v>
      </c>
      <c r="R1187">
        <f t="shared" si="284"/>
        <v>4.2227468437417253</v>
      </c>
    </row>
    <row r="1188" spans="1:18" x14ac:dyDescent="0.3">
      <c r="A1188">
        <v>2.3740000000000001</v>
      </c>
      <c r="B1188" s="4"/>
      <c r="C1188">
        <v>-29.129738749960001</v>
      </c>
      <c r="D1188">
        <v>1.95</v>
      </c>
      <c r="E1188">
        <f t="shared" ref="E1188:E1216" si="285">$E$1186+$R$1186</f>
        <v>174.02272745182142</v>
      </c>
      <c r="F1188">
        <f t="shared" si="274"/>
        <v>1.9306429621187993E-2</v>
      </c>
      <c r="G1188">
        <f t="shared" si="275"/>
        <v>5.971060707583916E-2</v>
      </c>
      <c r="H1188">
        <f t="shared" si="276"/>
        <v>52.613644500375258</v>
      </c>
      <c r="I1188">
        <f t="shared" si="277"/>
        <v>1.0250693512945135</v>
      </c>
      <c r="J1188">
        <f t="shared" si="278"/>
        <v>1.0970019569425498</v>
      </c>
      <c r="K1188">
        <f t="shared" si="279"/>
        <v>0.56108036298489472</v>
      </c>
      <c r="L1188">
        <f t="shared" si="280"/>
        <v>1.2446969181799608</v>
      </c>
      <c r="M1188">
        <f t="shared" si="281"/>
        <v>0.99163750480685497</v>
      </c>
      <c r="N1188">
        <f t="shared" si="282"/>
        <v>0.9953190656490245</v>
      </c>
      <c r="O1188">
        <v>4.095003181418198E-3</v>
      </c>
      <c r="P1188">
        <v>6.3951302038512741E-3</v>
      </c>
      <c r="Q1188">
        <f t="shared" si="283"/>
        <v>4222.7468437417256</v>
      </c>
      <c r="R1188">
        <f t="shared" si="284"/>
        <v>4.2227468437417253</v>
      </c>
    </row>
    <row r="1189" spans="1:18" x14ac:dyDescent="0.3">
      <c r="A1189">
        <v>2.3759999999999999</v>
      </c>
      <c r="B1189" s="4"/>
      <c r="C1189">
        <v>-29.129738749960001</v>
      </c>
      <c r="D1189">
        <v>1.95</v>
      </c>
      <c r="E1189">
        <f t="shared" si="285"/>
        <v>174.02272745182142</v>
      </c>
      <c r="F1189">
        <f t="shared" si="274"/>
        <v>1.9306429621187993E-2</v>
      </c>
      <c r="G1189">
        <f t="shared" si="275"/>
        <v>5.971060707583916E-2</v>
      </c>
      <c r="H1189">
        <f t="shared" si="276"/>
        <v>52.613644500375258</v>
      </c>
      <c r="I1189">
        <f t="shared" si="277"/>
        <v>1.0250693512945135</v>
      </c>
      <c r="J1189">
        <f t="shared" si="278"/>
        <v>1.0970019569425498</v>
      </c>
      <c r="K1189">
        <f t="shared" si="279"/>
        <v>0.56108036298489472</v>
      </c>
      <c r="L1189">
        <f t="shared" si="280"/>
        <v>1.2446969181799608</v>
      </c>
      <c r="M1189">
        <f t="shared" si="281"/>
        <v>1.0074461765564944</v>
      </c>
      <c r="N1189">
        <f t="shared" si="282"/>
        <v>0.9940015276723061</v>
      </c>
      <c r="O1189">
        <v>4.013914009508927E-3</v>
      </c>
      <c r="P1189">
        <v>6.4814340679574568E-3</v>
      </c>
      <c r="Q1189">
        <f t="shared" si="283"/>
        <v>4222.7468437417256</v>
      </c>
      <c r="R1189">
        <f t="shared" si="284"/>
        <v>4.2227468437417253</v>
      </c>
    </row>
    <row r="1190" spans="1:18" x14ac:dyDescent="0.3">
      <c r="A1190">
        <v>2.3780000000000001</v>
      </c>
      <c r="B1190" s="4"/>
      <c r="C1190">
        <v>-29.129738749960001</v>
      </c>
      <c r="D1190">
        <v>1.95</v>
      </c>
      <c r="E1190">
        <f t="shared" si="285"/>
        <v>174.02272745182142</v>
      </c>
      <c r="F1190">
        <f t="shared" si="274"/>
        <v>1.9306429621187993E-2</v>
      </c>
      <c r="G1190">
        <f t="shared" si="275"/>
        <v>5.971060707583916E-2</v>
      </c>
      <c r="H1190">
        <f t="shared" si="276"/>
        <v>52.613644500375258</v>
      </c>
      <c r="I1190">
        <f t="shared" si="277"/>
        <v>1.0250693512945135</v>
      </c>
      <c r="J1190">
        <f t="shared" si="278"/>
        <v>1.0970019569425498</v>
      </c>
      <c r="K1190">
        <f t="shared" si="279"/>
        <v>0.56108036298489472</v>
      </c>
      <c r="L1190">
        <f t="shared" si="280"/>
        <v>1.2446969181799608</v>
      </c>
      <c r="M1190">
        <f t="shared" si="281"/>
        <v>1.0009538119815853</v>
      </c>
      <c r="N1190">
        <f t="shared" si="282"/>
        <v>0.99269082103493711</v>
      </c>
      <c r="O1190">
        <v>3.8676580835875192E-3</v>
      </c>
      <c r="P1190">
        <v>6.5554552634794084E-3</v>
      </c>
      <c r="Q1190">
        <f t="shared" si="283"/>
        <v>4222.7468437417256</v>
      </c>
      <c r="R1190">
        <f t="shared" si="284"/>
        <v>4.2227468437417253</v>
      </c>
    </row>
    <row r="1191" spans="1:18" x14ac:dyDescent="0.3">
      <c r="A1191">
        <v>2.38</v>
      </c>
      <c r="B1191" s="4"/>
      <c r="C1191">
        <v>-29.129738749960001</v>
      </c>
      <c r="D1191">
        <v>1.95</v>
      </c>
      <c r="E1191">
        <f t="shared" si="285"/>
        <v>174.02272745182142</v>
      </c>
      <c r="F1191">
        <f t="shared" si="274"/>
        <v>1.9306429621187993E-2</v>
      </c>
      <c r="G1191">
        <f t="shared" si="275"/>
        <v>5.971060707583916E-2</v>
      </c>
      <c r="H1191">
        <f t="shared" si="276"/>
        <v>52.613644500375258</v>
      </c>
      <c r="I1191">
        <f t="shared" si="277"/>
        <v>1.0250693512945135</v>
      </c>
      <c r="J1191">
        <f t="shared" si="278"/>
        <v>1.0970019569425498</v>
      </c>
      <c r="K1191">
        <f t="shared" si="279"/>
        <v>0.56108036298489472</v>
      </c>
      <c r="L1191">
        <f t="shared" si="280"/>
        <v>1.2446969181799608</v>
      </c>
      <c r="M1191">
        <f t="shared" si="281"/>
        <v>1.0024794616647055</v>
      </c>
      <c r="N1191">
        <f t="shared" si="282"/>
        <v>0.99146645445065229</v>
      </c>
      <c r="O1191">
        <v>3.766993670355706E-3</v>
      </c>
      <c r="P1191">
        <v>6.6168965008595055E-3</v>
      </c>
      <c r="Q1191">
        <f t="shared" si="283"/>
        <v>4222.7468437417256</v>
      </c>
      <c r="R1191">
        <f t="shared" si="284"/>
        <v>4.2227468437417253</v>
      </c>
    </row>
    <row r="1192" spans="1:18" x14ac:dyDescent="0.3">
      <c r="A1192">
        <v>2.3820000000000001</v>
      </c>
      <c r="B1192" s="4"/>
      <c r="C1192">
        <v>-29.129738749960001</v>
      </c>
      <c r="D1192">
        <v>1.95</v>
      </c>
      <c r="E1192">
        <f t="shared" si="285"/>
        <v>174.02272745182142</v>
      </c>
      <c r="F1192">
        <f t="shared" si="274"/>
        <v>1.9306429621187993E-2</v>
      </c>
      <c r="G1192">
        <f t="shared" si="275"/>
        <v>5.971060707583916E-2</v>
      </c>
      <c r="H1192">
        <f t="shared" si="276"/>
        <v>52.613644500375258</v>
      </c>
      <c r="I1192">
        <f t="shared" si="277"/>
        <v>1.0250693512945135</v>
      </c>
      <c r="J1192">
        <f t="shared" si="278"/>
        <v>1.0970019569425498</v>
      </c>
      <c r="K1192">
        <f t="shared" si="279"/>
        <v>0.56108036298489472</v>
      </c>
      <c r="L1192">
        <f t="shared" si="280"/>
        <v>1.2446969181799608</v>
      </c>
      <c r="M1192">
        <f t="shared" si="281"/>
        <v>1.0042099125292128</v>
      </c>
      <c r="N1192">
        <f t="shared" si="282"/>
        <v>0.99040426282150507</v>
      </c>
      <c r="O1192">
        <v>3.686513660613244E-3</v>
      </c>
      <c r="P1192">
        <v>6.6655295708989339E-3</v>
      </c>
      <c r="Q1192">
        <f t="shared" si="283"/>
        <v>4222.7468437417256</v>
      </c>
      <c r="R1192">
        <f t="shared" si="284"/>
        <v>4.2227468437417253</v>
      </c>
    </row>
    <row r="1193" spans="1:18" x14ac:dyDescent="0.3">
      <c r="A1193">
        <v>2.3839999999999999</v>
      </c>
      <c r="B1193" s="4"/>
      <c r="C1193">
        <v>-29.129738749960001</v>
      </c>
      <c r="D1193">
        <v>1.95</v>
      </c>
      <c r="E1193">
        <f t="shared" si="285"/>
        <v>174.02272745182142</v>
      </c>
      <c r="F1193">
        <f t="shared" si="274"/>
        <v>1.9306429621187993E-2</v>
      </c>
      <c r="G1193">
        <f t="shared" si="275"/>
        <v>5.971060707583916E-2</v>
      </c>
      <c r="H1193">
        <f t="shared" si="276"/>
        <v>52.613644500375258</v>
      </c>
      <c r="I1193">
        <f t="shared" si="277"/>
        <v>1.0250693512945135</v>
      </c>
      <c r="J1193">
        <f t="shared" si="278"/>
        <v>1.0970019569425498</v>
      </c>
      <c r="K1193">
        <f t="shared" si="279"/>
        <v>0.56108036298489472</v>
      </c>
      <c r="L1193">
        <f t="shared" si="280"/>
        <v>1.2446969181799608</v>
      </c>
      <c r="M1193">
        <f t="shared" si="281"/>
        <v>1.0057802943698815</v>
      </c>
      <c r="N1193">
        <f t="shared" si="282"/>
        <v>0.99981814588174067</v>
      </c>
      <c r="O1193">
        <v>3.6270533341171904E-3</v>
      </c>
      <c r="P1193">
        <v>6.7235105840077582E-3</v>
      </c>
      <c r="Q1193">
        <f t="shared" si="283"/>
        <v>4222.7468437417256</v>
      </c>
      <c r="R1193">
        <f t="shared" si="284"/>
        <v>4.2227468437417253</v>
      </c>
    </row>
    <row r="1194" spans="1:18" x14ac:dyDescent="0.3">
      <c r="A1194">
        <v>2.3860000000000001</v>
      </c>
      <c r="B1194" s="4"/>
      <c r="C1194">
        <v>-29.129738749960001</v>
      </c>
      <c r="D1194">
        <v>1.95</v>
      </c>
      <c r="E1194">
        <f t="shared" si="285"/>
        <v>174.02272745182142</v>
      </c>
      <c r="F1194">
        <f t="shared" si="274"/>
        <v>1.9306429621187993E-2</v>
      </c>
      <c r="G1194">
        <f t="shared" si="275"/>
        <v>5.971060707583916E-2</v>
      </c>
      <c r="H1194">
        <f t="shared" si="276"/>
        <v>52.613644500375258</v>
      </c>
      <c r="I1194">
        <f t="shared" si="277"/>
        <v>1.0250693512945135</v>
      </c>
      <c r="J1194">
        <f t="shared" si="278"/>
        <v>1.0970019569425498</v>
      </c>
      <c r="K1194">
        <f t="shared" si="279"/>
        <v>0.56108036298489472</v>
      </c>
      <c r="L1194">
        <f t="shared" si="280"/>
        <v>1.2446969181799608</v>
      </c>
      <c r="M1194">
        <f t="shared" si="281"/>
        <v>1.0006930440715269</v>
      </c>
      <c r="N1194">
        <f t="shared" si="282"/>
        <v>0.99980321210630851</v>
      </c>
      <c r="O1194">
        <v>3.564376761718674E-3</v>
      </c>
      <c r="P1194">
        <v>6.7471669218349432E-3</v>
      </c>
      <c r="Q1194">
        <f t="shared" si="283"/>
        <v>4222.7468437417256</v>
      </c>
      <c r="R1194">
        <f t="shared" si="284"/>
        <v>4.2227468437417253</v>
      </c>
    </row>
    <row r="1195" spans="1:18" x14ac:dyDescent="0.3">
      <c r="A1195">
        <v>2.3879999999999999</v>
      </c>
      <c r="B1195" s="4"/>
      <c r="C1195">
        <v>-29.129738749960001</v>
      </c>
      <c r="D1195">
        <v>1.95</v>
      </c>
      <c r="E1195">
        <f t="shared" si="285"/>
        <v>174.02272745182142</v>
      </c>
      <c r="F1195">
        <f t="shared" si="274"/>
        <v>1.9306429621187993E-2</v>
      </c>
      <c r="G1195">
        <f t="shared" si="275"/>
        <v>5.971060707583916E-2</v>
      </c>
      <c r="H1195">
        <f t="shared" si="276"/>
        <v>52.613644500375258</v>
      </c>
      <c r="I1195">
        <f t="shared" si="277"/>
        <v>1.0250693512945135</v>
      </c>
      <c r="J1195">
        <f t="shared" si="278"/>
        <v>1.0970019569425498</v>
      </c>
      <c r="K1195">
        <f t="shared" si="279"/>
        <v>0.56108036298489472</v>
      </c>
      <c r="L1195">
        <f t="shared" si="280"/>
        <v>1.2446969181799608</v>
      </c>
      <c r="M1195">
        <f t="shared" si="281"/>
        <v>1.0009915538528369</v>
      </c>
      <c r="N1195">
        <f t="shared" si="282"/>
        <v>0.99979671478919896</v>
      </c>
      <c r="O1195">
        <v>3.5476535315891906E-3</v>
      </c>
      <c r="P1195">
        <v>6.7570285819475587E-3</v>
      </c>
      <c r="Q1195">
        <f t="shared" si="283"/>
        <v>4222.7468437417256</v>
      </c>
      <c r="R1195">
        <f t="shared" si="284"/>
        <v>4.2227468437417253</v>
      </c>
    </row>
    <row r="1196" spans="1:18" x14ac:dyDescent="0.3">
      <c r="A1196">
        <v>2.39</v>
      </c>
      <c r="B1196" s="4"/>
      <c r="C1196">
        <v>-29.129738749960001</v>
      </c>
      <c r="D1196">
        <v>1.95</v>
      </c>
      <c r="E1196">
        <f t="shared" si="285"/>
        <v>174.02272745182142</v>
      </c>
      <c r="F1196">
        <f t="shared" si="274"/>
        <v>1.9306429621187993E-2</v>
      </c>
      <c r="G1196">
        <f t="shared" si="275"/>
        <v>5.971060707583916E-2</v>
      </c>
      <c r="H1196">
        <f t="shared" si="276"/>
        <v>52.613644500375258</v>
      </c>
      <c r="I1196">
        <f t="shared" si="277"/>
        <v>1.0250693512945135</v>
      </c>
      <c r="J1196">
        <f t="shared" si="278"/>
        <v>1.0970019569425498</v>
      </c>
      <c r="K1196">
        <f t="shared" si="279"/>
        <v>0.56108036298489472</v>
      </c>
      <c r="L1196">
        <f t="shared" si="280"/>
        <v>1.2446969181799608</v>
      </c>
      <c r="M1196">
        <f t="shared" si="281"/>
        <v>1.0008684414399345</v>
      </c>
      <c r="N1196">
        <f t="shared" si="282"/>
        <v>0.99979936174140827</v>
      </c>
      <c r="O1196">
        <v>3.5544182588237291E-3</v>
      </c>
      <c r="P1196">
        <v>6.7530407834334345E-3</v>
      </c>
      <c r="Q1196">
        <f t="shared" si="283"/>
        <v>4222.7468437417256</v>
      </c>
      <c r="R1196">
        <f t="shared" si="284"/>
        <v>4.2227468437417253</v>
      </c>
    </row>
    <row r="1197" spans="1:18" x14ac:dyDescent="0.3">
      <c r="A1197">
        <v>2.3919999999999999</v>
      </c>
      <c r="B1197" s="4"/>
      <c r="C1197">
        <v>-29.129738749960001</v>
      </c>
      <c r="D1197">
        <v>1.95</v>
      </c>
      <c r="E1197">
        <f t="shared" si="285"/>
        <v>174.02272745182142</v>
      </c>
      <c r="F1197">
        <f t="shared" si="274"/>
        <v>1.9306429621187993E-2</v>
      </c>
      <c r="G1197">
        <f t="shared" si="275"/>
        <v>5.971060707583916E-2</v>
      </c>
      <c r="H1197">
        <f t="shared" si="276"/>
        <v>52.613644500375258</v>
      </c>
      <c r="I1197">
        <f t="shared" si="277"/>
        <v>1.0250693512945135</v>
      </c>
      <c r="J1197">
        <f t="shared" si="278"/>
        <v>1.0970019569425498</v>
      </c>
      <c r="K1197">
        <f t="shared" si="279"/>
        <v>0.56108036298489472</v>
      </c>
      <c r="L1197">
        <f t="shared" si="280"/>
        <v>1.2446969181799608</v>
      </c>
      <c r="M1197">
        <f t="shared" si="281"/>
        <v>1.0063597448181751</v>
      </c>
      <c r="N1197">
        <f t="shared" si="282"/>
        <v>0.99981086393606677</v>
      </c>
      <c r="O1197">
        <v>3.6084681499625707E-3</v>
      </c>
      <c r="P1197">
        <v>6.7352256621010754E-3</v>
      </c>
      <c r="Q1197">
        <f t="shared" si="283"/>
        <v>4222.7468437417256</v>
      </c>
      <c r="R1197">
        <f t="shared" si="284"/>
        <v>4.2227468437417253</v>
      </c>
    </row>
    <row r="1198" spans="1:18" x14ac:dyDescent="0.3">
      <c r="A1198">
        <v>2.3940000000000001</v>
      </c>
      <c r="B1198" s="4"/>
      <c r="C1198">
        <v>-29.129738749960001</v>
      </c>
      <c r="D1198">
        <v>1.95</v>
      </c>
      <c r="E1198">
        <f t="shared" si="285"/>
        <v>174.02272745182142</v>
      </c>
      <c r="F1198">
        <f t="shared" si="274"/>
        <v>1.9306429621187993E-2</v>
      </c>
      <c r="G1198">
        <f t="shared" si="275"/>
        <v>5.971060707583916E-2</v>
      </c>
      <c r="H1198">
        <f t="shared" si="276"/>
        <v>52.613644500375258</v>
      </c>
      <c r="I1198">
        <f t="shared" si="277"/>
        <v>1.0250693512945135</v>
      </c>
      <c r="J1198">
        <f t="shared" si="278"/>
        <v>1.0970019569425498</v>
      </c>
      <c r="K1198">
        <f t="shared" si="279"/>
        <v>0.56108036298489472</v>
      </c>
      <c r="L1198">
        <f t="shared" si="280"/>
        <v>1.2446969181799608</v>
      </c>
      <c r="M1198">
        <f t="shared" si="281"/>
        <v>1.004914178838384</v>
      </c>
      <c r="N1198">
        <f t="shared" si="282"/>
        <v>0.99001929940208289</v>
      </c>
      <c r="O1198">
        <v>3.6586776672232271E-3</v>
      </c>
      <c r="P1198">
        <v>6.6822506560101132E-3</v>
      </c>
      <c r="Q1198">
        <f t="shared" si="283"/>
        <v>4222.7468437417256</v>
      </c>
      <c r="R1198">
        <f t="shared" si="284"/>
        <v>4.2227468437417253</v>
      </c>
    </row>
    <row r="1199" spans="1:18" x14ac:dyDescent="0.3">
      <c r="A1199">
        <v>2.3959999999999999</v>
      </c>
      <c r="B1199" s="4"/>
      <c r="C1199">
        <v>-29.129738749960001</v>
      </c>
      <c r="D1199">
        <v>1.95</v>
      </c>
      <c r="E1199">
        <f t="shared" si="285"/>
        <v>174.02272745182142</v>
      </c>
      <c r="F1199">
        <f t="shared" si="274"/>
        <v>1.9306429621187993E-2</v>
      </c>
      <c r="G1199">
        <f t="shared" si="275"/>
        <v>5.971060707583916E-2</v>
      </c>
      <c r="H1199">
        <f t="shared" si="276"/>
        <v>52.613644500375258</v>
      </c>
      <c r="I1199">
        <f t="shared" si="277"/>
        <v>1.0250693512945135</v>
      </c>
      <c r="J1199">
        <f t="shared" si="278"/>
        <v>1.0970019569425498</v>
      </c>
      <c r="K1199">
        <f t="shared" si="279"/>
        <v>0.56108036298489472</v>
      </c>
      <c r="L1199">
        <f t="shared" si="280"/>
        <v>1.2446969181799608</v>
      </c>
      <c r="M1199">
        <f t="shared" si="281"/>
        <v>1.003211494927124</v>
      </c>
      <c r="N1199">
        <f t="shared" si="282"/>
        <v>0.99099184798111606</v>
      </c>
      <c r="O1199">
        <v>3.7303287986581858E-3</v>
      </c>
      <c r="P1199">
        <v>6.6391060451728937E-3</v>
      </c>
      <c r="Q1199">
        <f t="shared" si="283"/>
        <v>4222.7468437417256</v>
      </c>
      <c r="R1199">
        <f t="shared" si="284"/>
        <v>4.2227468437417253</v>
      </c>
    </row>
    <row r="1200" spans="1:18" x14ac:dyDescent="0.3">
      <c r="A1200">
        <v>2.3980000000000001</v>
      </c>
      <c r="B1200" s="4"/>
      <c r="C1200">
        <v>-29.129738749960001</v>
      </c>
      <c r="D1200">
        <v>1.95</v>
      </c>
      <c r="E1200">
        <f t="shared" si="285"/>
        <v>174.02272745182142</v>
      </c>
      <c r="F1200">
        <f t="shared" si="274"/>
        <v>1.9306429621187993E-2</v>
      </c>
      <c r="G1200">
        <f t="shared" si="275"/>
        <v>5.971060707583916E-2</v>
      </c>
      <c r="H1200">
        <f t="shared" si="276"/>
        <v>52.613644500375258</v>
      </c>
      <c r="I1200">
        <f t="shared" si="277"/>
        <v>1.0250693512945135</v>
      </c>
      <c r="J1200">
        <f t="shared" si="278"/>
        <v>1.0970019569425498</v>
      </c>
      <c r="K1200">
        <f t="shared" si="279"/>
        <v>0.56108036298489472</v>
      </c>
      <c r="L1200">
        <f t="shared" si="280"/>
        <v>1.2446969181799608</v>
      </c>
      <c r="M1200">
        <f t="shared" si="281"/>
        <v>1.0015498082121261</v>
      </c>
      <c r="N1200">
        <f t="shared" si="282"/>
        <v>0.99215625204391478</v>
      </c>
      <c r="O1200">
        <v>3.8225451545428439E-3</v>
      </c>
      <c r="P1200">
        <v>6.58307486520553E-3</v>
      </c>
      <c r="Q1200">
        <f t="shared" si="283"/>
        <v>4222.7468437417256</v>
      </c>
      <c r="R1200">
        <f t="shared" si="284"/>
        <v>4.2227468437417253</v>
      </c>
    </row>
    <row r="1201" spans="1:18" x14ac:dyDescent="0.3">
      <c r="A1201">
        <v>2.4</v>
      </c>
      <c r="B1201" s="4"/>
      <c r="C1201">
        <v>-29.129738749960001</v>
      </c>
      <c r="D1201">
        <v>1.95</v>
      </c>
      <c r="E1201">
        <f t="shared" si="285"/>
        <v>174.02272745182142</v>
      </c>
      <c r="F1201">
        <f t="shared" si="274"/>
        <v>1.9306429621187993E-2</v>
      </c>
      <c r="G1201">
        <f t="shared" si="275"/>
        <v>5.971060707583916E-2</v>
      </c>
      <c r="H1201">
        <f t="shared" si="276"/>
        <v>52.613644500375258</v>
      </c>
      <c r="I1201">
        <f t="shared" si="277"/>
        <v>1.0250693512945135</v>
      </c>
      <c r="J1201">
        <f t="shared" si="278"/>
        <v>1.0970019569425498</v>
      </c>
      <c r="K1201">
        <f t="shared" si="279"/>
        <v>0.56108036298489472</v>
      </c>
      <c r="L1201">
        <f t="shared" si="280"/>
        <v>1.2446969181799608</v>
      </c>
      <c r="M1201">
        <f t="shared" si="281"/>
        <v>1.0003333777005996</v>
      </c>
      <c r="N1201">
        <f t="shared" si="282"/>
        <v>0.99343995850662981</v>
      </c>
      <c r="O1201">
        <v>3.9343680127677484E-3</v>
      </c>
      <c r="P1201">
        <v>6.514359074586612E-3</v>
      </c>
      <c r="Q1201">
        <f t="shared" si="283"/>
        <v>4222.7468437417256</v>
      </c>
      <c r="R1201">
        <f t="shared" si="284"/>
        <v>4.2227468437417253</v>
      </c>
    </row>
    <row r="1202" spans="1:18" x14ac:dyDescent="0.3">
      <c r="A1202">
        <v>2.4020000000000001</v>
      </c>
      <c r="B1202" s="4"/>
      <c r="C1202">
        <v>-29.129738749960001</v>
      </c>
      <c r="D1202">
        <v>1.95</v>
      </c>
      <c r="E1202">
        <f t="shared" si="285"/>
        <v>174.02272745182142</v>
      </c>
      <c r="F1202">
        <f t="shared" si="274"/>
        <v>1.9306429621187993E-2</v>
      </c>
      <c r="G1202">
        <f t="shared" si="275"/>
        <v>5.971060707583916E-2</v>
      </c>
      <c r="H1202">
        <f t="shared" si="276"/>
        <v>52.613644500375258</v>
      </c>
      <c r="I1202">
        <f t="shared" si="277"/>
        <v>1.0250693512945135</v>
      </c>
      <c r="J1202">
        <f t="shared" si="278"/>
        <v>1.0970019569425498</v>
      </c>
      <c r="K1202">
        <f t="shared" si="279"/>
        <v>0.56108036298489472</v>
      </c>
      <c r="L1202">
        <f t="shared" si="280"/>
        <v>1.2446969181799608</v>
      </c>
      <c r="M1202">
        <f t="shared" si="281"/>
        <v>0.99713812999958018</v>
      </c>
      <c r="N1202">
        <f t="shared" si="282"/>
        <v>0.99476429694098534</v>
      </c>
      <c r="O1202">
        <v>4.0544585954635625E-3</v>
      </c>
      <c r="P1202">
        <v>6.4332253383928076E-3</v>
      </c>
      <c r="Q1202">
        <f t="shared" si="283"/>
        <v>4222.7468437417256</v>
      </c>
      <c r="R1202">
        <f t="shared" si="284"/>
        <v>4.2227468437417253</v>
      </c>
    </row>
    <row r="1203" spans="1:18" x14ac:dyDescent="0.3">
      <c r="A1203">
        <v>2.4039999999999999</v>
      </c>
      <c r="B1203" s="4"/>
      <c r="C1203">
        <v>-29.129738749960001</v>
      </c>
      <c r="D1203">
        <v>1.95</v>
      </c>
      <c r="E1203">
        <f t="shared" si="285"/>
        <v>174.02272745182142</v>
      </c>
      <c r="F1203">
        <f t="shared" si="274"/>
        <v>1.9306429621187993E-2</v>
      </c>
      <c r="G1203">
        <f t="shared" si="275"/>
        <v>5.971060707583916E-2</v>
      </c>
      <c r="H1203">
        <f t="shared" si="276"/>
        <v>52.613644500375258</v>
      </c>
      <c r="I1203">
        <f t="shared" si="277"/>
        <v>1.0250693512945135</v>
      </c>
      <c r="J1203">
        <f t="shared" si="278"/>
        <v>1.0970019569425498</v>
      </c>
      <c r="K1203">
        <f t="shared" si="279"/>
        <v>0.56108036298489472</v>
      </c>
      <c r="L1203">
        <f t="shared" si="280"/>
        <v>1.2446969181799608</v>
      </c>
      <c r="M1203">
        <f t="shared" si="281"/>
        <v>1.0006270465716518</v>
      </c>
      <c r="N1203">
        <f t="shared" si="282"/>
        <v>0.99605038119269007</v>
      </c>
      <c r="O1203">
        <v>4.2104012916568557E-3</v>
      </c>
      <c r="P1203">
        <v>6.3400158806154322E-3</v>
      </c>
      <c r="Q1203">
        <f t="shared" si="283"/>
        <v>4222.7468437417256</v>
      </c>
      <c r="R1203">
        <f t="shared" si="284"/>
        <v>4.2227468437417253</v>
      </c>
    </row>
    <row r="1204" spans="1:18" x14ac:dyDescent="0.3">
      <c r="A1204">
        <v>2.4060000000000001</v>
      </c>
      <c r="B1204" s="4"/>
      <c r="C1204">
        <v>-29.129738749960001</v>
      </c>
      <c r="D1204">
        <v>1.95</v>
      </c>
      <c r="E1204">
        <f t="shared" si="285"/>
        <v>174.02272745182142</v>
      </c>
      <c r="F1204">
        <f t="shared" si="274"/>
        <v>1.9306429621187993E-2</v>
      </c>
      <c r="G1204">
        <f t="shared" si="275"/>
        <v>5.971060707583916E-2</v>
      </c>
      <c r="H1204">
        <f t="shared" si="276"/>
        <v>52.613644500375258</v>
      </c>
      <c r="I1204">
        <f t="shared" si="277"/>
        <v>1.0250693512945135</v>
      </c>
      <c r="J1204">
        <f t="shared" si="278"/>
        <v>1.0970019569425498</v>
      </c>
      <c r="K1204">
        <f t="shared" si="279"/>
        <v>0.56108036298489472</v>
      </c>
      <c r="L1204">
        <f t="shared" si="280"/>
        <v>1.2446969181799608</v>
      </c>
      <c r="M1204">
        <f t="shared" si="281"/>
        <v>1.003054689596542</v>
      </c>
      <c r="N1204">
        <f t="shared" si="282"/>
        <v>0.9972253057155136</v>
      </c>
      <c r="O1204">
        <v>4.3716429867573479E-3</v>
      </c>
      <c r="P1204">
        <v>6.2351611350594952E-3</v>
      </c>
      <c r="Q1204">
        <f t="shared" si="283"/>
        <v>4222.7468437417256</v>
      </c>
      <c r="R1204">
        <f t="shared" si="284"/>
        <v>4.2227468437417253</v>
      </c>
    </row>
    <row r="1205" spans="1:18" x14ac:dyDescent="0.3">
      <c r="A1205">
        <v>2.4079999999999999</v>
      </c>
      <c r="B1205" s="4"/>
      <c r="C1205">
        <v>-29.129738749960001</v>
      </c>
      <c r="D1205">
        <v>1.95</v>
      </c>
      <c r="E1205">
        <f t="shared" si="285"/>
        <v>174.02272745182142</v>
      </c>
      <c r="F1205">
        <f t="shared" si="274"/>
        <v>1.9306429621187993E-2</v>
      </c>
      <c r="G1205">
        <f t="shared" si="275"/>
        <v>5.971060707583916E-2</v>
      </c>
      <c r="H1205">
        <f t="shared" si="276"/>
        <v>52.613644500375258</v>
      </c>
      <c r="I1205">
        <f t="shared" si="277"/>
        <v>1.0250693512945135</v>
      </c>
      <c r="J1205">
        <f t="shared" si="278"/>
        <v>1.0970019569425498</v>
      </c>
      <c r="K1205">
        <f t="shared" si="279"/>
        <v>0.56108036298489472</v>
      </c>
      <c r="L1205">
        <f t="shared" si="280"/>
        <v>1.2446969181799608</v>
      </c>
      <c r="M1205">
        <f t="shared" si="281"/>
        <v>0.99322400067720107</v>
      </c>
      <c r="N1205">
        <f t="shared" si="282"/>
        <v>0.99822821859829913</v>
      </c>
      <c r="O1205">
        <v>4.5004490409645539E-3</v>
      </c>
      <c r="P1205">
        <v>6.1191939620676705E-3</v>
      </c>
      <c r="Q1205">
        <f t="shared" si="283"/>
        <v>4222.7468437417256</v>
      </c>
      <c r="R1205">
        <f t="shared" si="284"/>
        <v>4.2227468437417253</v>
      </c>
    </row>
    <row r="1206" spans="1:18" x14ac:dyDescent="0.3">
      <c r="A1206">
        <v>2.41</v>
      </c>
      <c r="B1206" s="4"/>
      <c r="C1206">
        <v>-29.129738749960001</v>
      </c>
      <c r="D1206">
        <v>1.95</v>
      </c>
      <c r="E1206">
        <f t="shared" si="285"/>
        <v>174.02272745182142</v>
      </c>
      <c r="F1206">
        <f t="shared" si="274"/>
        <v>1.9306429621187993E-2</v>
      </c>
      <c r="G1206">
        <f t="shared" si="275"/>
        <v>5.971060707583916E-2</v>
      </c>
      <c r="H1206">
        <f t="shared" si="276"/>
        <v>52.613644500375258</v>
      </c>
      <c r="I1206">
        <f t="shared" si="277"/>
        <v>1.0250693512945135</v>
      </c>
      <c r="J1206">
        <f t="shared" si="278"/>
        <v>1.0970019569425498</v>
      </c>
      <c r="K1206">
        <f t="shared" si="279"/>
        <v>0.56108036298489472</v>
      </c>
      <c r="L1206">
        <f t="shared" si="280"/>
        <v>1.2446969181799608</v>
      </c>
      <c r="M1206">
        <f t="shared" si="281"/>
        <v>1.0041981794879165</v>
      </c>
      <c r="N1206">
        <f t="shared" si="282"/>
        <v>0.9990158055992524</v>
      </c>
      <c r="O1206">
        <v>4.7001374779590734E-3</v>
      </c>
      <c r="P1206">
        <v>5.99276508218698E-3</v>
      </c>
      <c r="Q1206">
        <f t="shared" si="283"/>
        <v>4222.7468437417256</v>
      </c>
      <c r="R1206">
        <f t="shared" si="284"/>
        <v>4.2227468437417253</v>
      </c>
    </row>
    <row r="1207" spans="1:18" x14ac:dyDescent="0.3">
      <c r="A1207">
        <v>2.4119999999999999</v>
      </c>
      <c r="B1207" s="4"/>
      <c r="C1207">
        <v>-29.129738749960001</v>
      </c>
      <c r="D1207">
        <v>1.95</v>
      </c>
      <c r="E1207">
        <f t="shared" si="285"/>
        <v>174.02272745182142</v>
      </c>
      <c r="F1207">
        <f t="shared" si="274"/>
        <v>1.9306429621187993E-2</v>
      </c>
      <c r="G1207">
        <f t="shared" si="275"/>
        <v>5.971060707583916E-2</v>
      </c>
      <c r="H1207">
        <f t="shared" si="276"/>
        <v>52.613644500375258</v>
      </c>
      <c r="I1207">
        <f t="shared" si="277"/>
        <v>1.0250693512945135</v>
      </c>
      <c r="J1207">
        <f t="shared" si="278"/>
        <v>1.0970019569425498</v>
      </c>
      <c r="K1207">
        <f t="shared" si="279"/>
        <v>0.56108036298489472</v>
      </c>
      <c r="L1207">
        <f t="shared" si="280"/>
        <v>1.2446969181799608</v>
      </c>
      <c r="M1207">
        <f t="shared" si="281"/>
        <v>0.99960076803340536</v>
      </c>
      <c r="N1207">
        <f t="shared" si="282"/>
        <v>0.99956669269893417</v>
      </c>
      <c r="O1207">
        <v>4.8539049507850106E-3</v>
      </c>
      <c r="P1207">
        <v>5.8566592302068659E-3</v>
      </c>
      <c r="Q1207">
        <f t="shared" si="283"/>
        <v>4222.7468437417256</v>
      </c>
      <c r="R1207">
        <f t="shared" si="284"/>
        <v>4.2227468437417253</v>
      </c>
    </row>
    <row r="1208" spans="1:18" x14ac:dyDescent="0.3">
      <c r="A1208">
        <v>2.4140000000000001</v>
      </c>
      <c r="B1208" s="4"/>
      <c r="C1208">
        <v>-29.129738749960001</v>
      </c>
      <c r="D1208">
        <v>1.95</v>
      </c>
      <c r="E1208">
        <f t="shared" si="285"/>
        <v>174.02272745182142</v>
      </c>
      <c r="F1208">
        <f t="shared" si="274"/>
        <v>1.9306429621187993E-2</v>
      </c>
      <c r="G1208">
        <f t="shared" si="275"/>
        <v>5.971060707583916E-2</v>
      </c>
      <c r="H1208">
        <f t="shared" si="276"/>
        <v>52.613644500375258</v>
      </c>
      <c r="I1208">
        <f t="shared" si="277"/>
        <v>1.0250693512945135</v>
      </c>
      <c r="J1208">
        <f t="shared" si="278"/>
        <v>1.0970019569425498</v>
      </c>
      <c r="K1208">
        <f t="shared" si="279"/>
        <v>0.56108036298489472</v>
      </c>
      <c r="L1208">
        <f t="shared" si="280"/>
        <v>1.2446969181799608</v>
      </c>
      <c r="M1208">
        <f t="shared" si="281"/>
        <v>0.99892575733824063</v>
      </c>
      <c r="N1208">
        <f t="shared" si="282"/>
        <v>1.0071915562045386</v>
      </c>
      <c r="O1208">
        <v>5.0204573940616105E-3</v>
      </c>
      <c r="P1208">
        <v>5.7303291768823284E-3</v>
      </c>
      <c r="Q1208">
        <f t="shared" si="283"/>
        <v>4222.7468437417256</v>
      </c>
      <c r="R1208">
        <f t="shared" si="284"/>
        <v>4.2227468437417253</v>
      </c>
    </row>
    <row r="1209" spans="1:18" x14ac:dyDescent="0.3">
      <c r="A1209">
        <v>2.4159999999999999</v>
      </c>
      <c r="B1209" s="4"/>
      <c r="C1209">
        <v>-29.129738749960001</v>
      </c>
      <c r="D1209">
        <v>1.95</v>
      </c>
      <c r="E1209">
        <f t="shared" si="285"/>
        <v>174.02272745182142</v>
      </c>
      <c r="F1209">
        <f t="shared" si="274"/>
        <v>1.9306429621187993E-2</v>
      </c>
      <c r="G1209">
        <f t="shared" si="275"/>
        <v>5.971060707583916E-2</v>
      </c>
      <c r="H1209">
        <f t="shared" si="276"/>
        <v>52.613644500375258</v>
      </c>
      <c r="I1209">
        <f t="shared" si="277"/>
        <v>1.0250693512945135</v>
      </c>
      <c r="J1209">
        <f t="shared" si="278"/>
        <v>1.0970019569425498</v>
      </c>
      <c r="K1209">
        <f t="shared" si="279"/>
        <v>0.56108036298489472</v>
      </c>
      <c r="L1209">
        <f t="shared" si="280"/>
        <v>1.2446969181799608</v>
      </c>
      <c r="M1209">
        <f t="shared" si="281"/>
        <v>0.9977679252170335</v>
      </c>
      <c r="N1209">
        <f t="shared" si="282"/>
        <v>1.0009427118004244</v>
      </c>
      <c r="O1209">
        <v>5.1846101123365568E-3</v>
      </c>
      <c r="P1209">
        <v>5.5617833843742163E-3</v>
      </c>
      <c r="Q1209">
        <f t="shared" si="283"/>
        <v>4222.7468437417256</v>
      </c>
      <c r="R1209">
        <f t="shared" si="284"/>
        <v>4.2227468437417253</v>
      </c>
    </row>
    <row r="1210" spans="1:18" x14ac:dyDescent="0.3">
      <c r="A1210">
        <v>2.4180000000000001</v>
      </c>
      <c r="B1210" s="4"/>
      <c r="C1210">
        <v>-29.129738749960001</v>
      </c>
      <c r="D1210">
        <v>1.95</v>
      </c>
      <c r="E1210">
        <f t="shared" si="285"/>
        <v>174.02272745182142</v>
      </c>
      <c r="F1210">
        <f t="shared" si="274"/>
        <v>1.9306429621187993E-2</v>
      </c>
      <c r="G1210">
        <f t="shared" si="275"/>
        <v>5.971060707583916E-2</v>
      </c>
      <c r="H1210">
        <f t="shared" si="276"/>
        <v>52.613644500375258</v>
      </c>
      <c r="I1210">
        <f t="shared" si="277"/>
        <v>1.0250693512945135</v>
      </c>
      <c r="J1210">
        <f t="shared" si="278"/>
        <v>1.0970019569425498</v>
      </c>
      <c r="K1210">
        <f t="shared" si="279"/>
        <v>0.56108036298489472</v>
      </c>
      <c r="L1210">
        <f t="shared" si="280"/>
        <v>1.2446969181799608</v>
      </c>
      <c r="M1210">
        <f t="shared" si="281"/>
        <v>1.0014190403448109</v>
      </c>
      <c r="N1210">
        <f t="shared" si="282"/>
        <v>0.99762414706608638</v>
      </c>
      <c r="O1210">
        <v>5.3591297935194713E-3</v>
      </c>
      <c r="P1210">
        <v>5.3942121145684682E-3</v>
      </c>
      <c r="Q1210">
        <f t="shared" si="283"/>
        <v>4222.7468437417256</v>
      </c>
      <c r="R1210">
        <f t="shared" si="284"/>
        <v>4.2227468437417253</v>
      </c>
    </row>
    <row r="1211" spans="1:18" x14ac:dyDescent="0.3">
      <c r="A1211">
        <v>2.42</v>
      </c>
      <c r="B1211" s="4"/>
      <c r="C1211">
        <v>-29.129738749960001</v>
      </c>
      <c r="D1211">
        <v>1.95</v>
      </c>
      <c r="E1211">
        <f t="shared" si="285"/>
        <v>174.02272745182142</v>
      </c>
      <c r="F1211">
        <f t="shared" si="274"/>
        <v>1.9306429621187993E-2</v>
      </c>
      <c r="G1211">
        <f t="shared" si="275"/>
        <v>5.971060707583916E-2</v>
      </c>
      <c r="H1211">
        <f t="shared" si="276"/>
        <v>52.613644500375258</v>
      </c>
      <c r="I1211">
        <f t="shared" si="277"/>
        <v>1.0250693512945135</v>
      </c>
      <c r="J1211">
        <f t="shared" si="278"/>
        <v>1.0970019569425498</v>
      </c>
      <c r="K1211">
        <f t="shared" si="279"/>
        <v>0.56108036298489472</v>
      </c>
      <c r="L1211">
        <f t="shared" si="280"/>
        <v>1.2446969181799608</v>
      </c>
      <c r="M1211">
        <f t="shared" si="281"/>
        <v>1.0080619572689686</v>
      </c>
      <c r="N1211">
        <f t="shared" si="282"/>
        <v>0.9988020307478721</v>
      </c>
      <c r="O1211">
        <v>5.5366114665525981E-3</v>
      </c>
      <c r="P1211">
        <v>5.2338522504907295E-3</v>
      </c>
      <c r="Q1211">
        <f t="shared" si="283"/>
        <v>4222.7468437417256</v>
      </c>
      <c r="R1211">
        <f t="shared" si="284"/>
        <v>4.2227468437417253</v>
      </c>
    </row>
    <row r="1212" spans="1:18" x14ac:dyDescent="0.3">
      <c r="A1212">
        <v>2.4220000000000002</v>
      </c>
      <c r="B1212" s="4"/>
      <c r="C1212">
        <v>-29.129738749960001</v>
      </c>
      <c r="D1212">
        <v>1.95</v>
      </c>
      <c r="E1212">
        <f t="shared" si="285"/>
        <v>174.02272745182142</v>
      </c>
      <c r="F1212">
        <f t="shared" si="274"/>
        <v>1.9306429621187993E-2</v>
      </c>
      <c r="G1212">
        <f t="shared" si="275"/>
        <v>5.971060707583916E-2</v>
      </c>
      <c r="H1212">
        <f t="shared" si="276"/>
        <v>52.613644500375258</v>
      </c>
      <c r="I1212">
        <f t="shared" si="277"/>
        <v>1.0250693512945135</v>
      </c>
      <c r="J1212">
        <f t="shared" si="278"/>
        <v>1.0970019569425498</v>
      </c>
      <c r="K1212">
        <f t="shared" si="279"/>
        <v>0.56108036298489472</v>
      </c>
      <c r="L1212">
        <f t="shared" si="280"/>
        <v>1.2446969181799608</v>
      </c>
      <c r="M1212">
        <f t="shared" si="281"/>
        <v>0.99945576086375043</v>
      </c>
      <c r="N1212">
        <f t="shared" si="282"/>
        <v>0.99952252992360935</v>
      </c>
      <c r="O1212">
        <v>5.668671075055717E-3</v>
      </c>
      <c r="P1212">
        <v>5.0691446657649547E-3</v>
      </c>
      <c r="Q1212">
        <f t="shared" si="283"/>
        <v>4222.7468437417256</v>
      </c>
      <c r="R1212">
        <f t="shared" si="284"/>
        <v>4.2227468437417253</v>
      </c>
    </row>
    <row r="1213" spans="1:18" x14ac:dyDescent="0.3">
      <c r="A1213">
        <v>2.4239999999999999</v>
      </c>
      <c r="B1213" s="4"/>
      <c r="C1213">
        <v>-29.129738749960001</v>
      </c>
      <c r="D1213">
        <v>1.95</v>
      </c>
      <c r="E1213">
        <f t="shared" si="285"/>
        <v>174.02272745182142</v>
      </c>
      <c r="F1213">
        <f t="shared" si="274"/>
        <v>1.9306429621187993E-2</v>
      </c>
      <c r="G1213">
        <f t="shared" si="275"/>
        <v>5.971060707583916E-2</v>
      </c>
      <c r="H1213">
        <f t="shared" si="276"/>
        <v>52.613644500375258</v>
      </c>
      <c r="I1213">
        <f t="shared" si="277"/>
        <v>1.0250693512945135</v>
      </c>
      <c r="J1213">
        <f t="shared" si="278"/>
        <v>1.0970019569425498</v>
      </c>
      <c r="K1213">
        <f t="shared" si="279"/>
        <v>0.56108036298489472</v>
      </c>
      <c r="L1213">
        <f t="shared" si="280"/>
        <v>1.2446969181799608</v>
      </c>
      <c r="M1213">
        <f t="shared" si="281"/>
        <v>0.99876733647140559</v>
      </c>
      <c r="N1213">
        <f t="shared" si="282"/>
        <v>1.0052459953652744</v>
      </c>
      <c r="O1213">
        <v>5.8147254549802971E-3</v>
      </c>
      <c r="P1213">
        <v>4.9176039986293506E-3</v>
      </c>
      <c r="Q1213">
        <f t="shared" si="283"/>
        <v>4222.7468437417256</v>
      </c>
      <c r="R1213">
        <f t="shared" si="284"/>
        <v>4.2227468437417253</v>
      </c>
    </row>
    <row r="1214" spans="1:18" x14ac:dyDescent="0.3">
      <c r="A1214">
        <v>2.4260000000000002</v>
      </c>
      <c r="B1214" s="4"/>
      <c r="C1214">
        <v>-29.129738749960001</v>
      </c>
      <c r="D1214">
        <v>1.95</v>
      </c>
      <c r="E1214">
        <f t="shared" si="285"/>
        <v>174.02272745182142</v>
      </c>
      <c r="F1214">
        <f t="shared" si="274"/>
        <v>1.9306429621187993E-2</v>
      </c>
      <c r="G1214">
        <f t="shared" si="275"/>
        <v>5.971060707583916E-2</v>
      </c>
      <c r="H1214">
        <f t="shared" si="276"/>
        <v>52.613644500375258</v>
      </c>
      <c r="I1214">
        <f t="shared" si="277"/>
        <v>1.0250693512945135</v>
      </c>
      <c r="J1214">
        <f t="shared" si="278"/>
        <v>1.0970019569425498</v>
      </c>
      <c r="K1214">
        <f t="shared" si="279"/>
        <v>0.56108036298489472</v>
      </c>
      <c r="L1214">
        <f t="shared" si="280"/>
        <v>1.2446969181799608</v>
      </c>
      <c r="M1214">
        <f t="shared" si="281"/>
        <v>0.99776307624783778</v>
      </c>
      <c r="N1214">
        <f t="shared" si="282"/>
        <v>1.000825216398666</v>
      </c>
      <c r="O1214">
        <v>5.9521578086725053E-3</v>
      </c>
      <c r="P1214">
        <v>4.736520995041054E-3</v>
      </c>
      <c r="Q1214">
        <f t="shared" si="283"/>
        <v>4222.7468437417256</v>
      </c>
      <c r="R1214">
        <f t="shared" si="284"/>
        <v>4.2227468437417253</v>
      </c>
    </row>
    <row r="1215" spans="1:18" x14ac:dyDescent="0.3">
      <c r="A1215">
        <v>2.4279999999999999</v>
      </c>
      <c r="B1215" s="4"/>
      <c r="C1215">
        <v>-29.129738749960001</v>
      </c>
      <c r="D1215">
        <v>1.95</v>
      </c>
      <c r="E1215">
        <f t="shared" si="285"/>
        <v>174.02272745182142</v>
      </c>
      <c r="F1215">
        <f t="shared" si="274"/>
        <v>1.9306429621187993E-2</v>
      </c>
      <c r="G1215">
        <f t="shared" si="275"/>
        <v>5.971060707583916E-2</v>
      </c>
      <c r="H1215">
        <f t="shared" si="276"/>
        <v>52.613644500375258</v>
      </c>
      <c r="I1215">
        <f t="shared" si="277"/>
        <v>1.0250693512945135</v>
      </c>
      <c r="J1215">
        <f t="shared" si="278"/>
        <v>1.0970019569425498</v>
      </c>
      <c r="K1215">
        <f t="shared" si="279"/>
        <v>0.56108036298489472</v>
      </c>
      <c r="L1215">
        <f t="shared" si="280"/>
        <v>1.2446969181799608</v>
      </c>
      <c r="M1215">
        <f t="shared" si="281"/>
        <v>0.99645213861612514</v>
      </c>
      <c r="N1215">
        <f t="shared" si="282"/>
        <v>1.0039402425895858</v>
      </c>
      <c r="O1215">
        <v>6.0800407263602836E-3</v>
      </c>
      <c r="P1215">
        <v>4.5802427539861036E-3</v>
      </c>
      <c r="Q1215">
        <f t="shared" si="283"/>
        <v>4222.7468437417256</v>
      </c>
      <c r="R1215">
        <f t="shared" si="284"/>
        <v>4.2227468437417253</v>
      </c>
    </row>
    <row r="1216" spans="1:18" x14ac:dyDescent="0.3">
      <c r="A1216">
        <v>2.4300000000000002</v>
      </c>
      <c r="B1216" s="4"/>
      <c r="C1216">
        <v>-29.129738749960001</v>
      </c>
      <c r="D1216">
        <v>1.95</v>
      </c>
      <c r="E1216">
        <f t="shared" si="285"/>
        <v>174.02272745182142</v>
      </c>
      <c r="F1216">
        <f t="shared" si="274"/>
        <v>1.9306429621187993E-2</v>
      </c>
      <c r="G1216">
        <f t="shared" si="275"/>
        <v>5.971060707583916E-2</v>
      </c>
      <c r="H1216">
        <f t="shared" si="276"/>
        <v>52.613644500375258</v>
      </c>
      <c r="I1216">
        <f t="shared" si="277"/>
        <v>1.0250693512945135</v>
      </c>
      <c r="J1216">
        <f t="shared" si="278"/>
        <v>1.0970019569425498</v>
      </c>
      <c r="K1216">
        <f t="shared" si="279"/>
        <v>0.56108036298489472</v>
      </c>
      <c r="L1216">
        <f t="shared" si="280"/>
        <v>1.2446969181799608</v>
      </c>
      <c r="M1216">
        <f t="shared" si="281"/>
        <v>0.99487176787306786</v>
      </c>
      <c r="N1216">
        <f t="shared" si="282"/>
        <v>1.0009432702525585</v>
      </c>
      <c r="O1216">
        <v>6.1976022692701704E-3</v>
      </c>
      <c r="P1216">
        <v>4.4089166775467294E-3</v>
      </c>
      <c r="Q1216">
        <f t="shared" si="283"/>
        <v>4222.7468437417256</v>
      </c>
      <c r="R1216">
        <f t="shared" si="284"/>
        <v>4.2227468437417253</v>
      </c>
    </row>
    <row r="1217" spans="1:18" x14ac:dyDescent="0.3">
      <c r="A1217">
        <v>2.4319999999999999</v>
      </c>
      <c r="B1217" s="4">
        <v>80</v>
      </c>
      <c r="C1217">
        <v>-28.590982069666602</v>
      </c>
      <c r="D1217">
        <v>1.95</v>
      </c>
      <c r="E1217">
        <f>$E$1216+$R$1216</f>
        <v>178.24547429556316</v>
      </c>
      <c r="F1217">
        <f t="shared" si="274"/>
        <v>1.9539265609978256E-2</v>
      </c>
      <c r="G1217">
        <f t="shared" si="275"/>
        <v>6.043071838137605E-2</v>
      </c>
      <c r="H1217">
        <f t="shared" si="276"/>
        <v>51.986683887544032</v>
      </c>
      <c r="I1217">
        <f t="shared" si="277"/>
        <v>1.0244718338766785</v>
      </c>
      <c r="J1217">
        <f t="shared" si="278"/>
        <v>1.094650935902113</v>
      </c>
      <c r="K1217">
        <f t="shared" si="279"/>
        <v>0.56160016526436374</v>
      </c>
      <c r="L1217">
        <f t="shared" si="280"/>
        <v>1.2438317434250878</v>
      </c>
      <c r="M1217">
        <f t="shared" si="281"/>
        <v>1.0001224165594245</v>
      </c>
      <c r="N1217">
        <f t="shared" si="282"/>
        <v>0.99539814776926794</v>
      </c>
      <c r="O1217">
        <v>4.1373871314212716E-3</v>
      </c>
      <c r="P1217">
        <v>6.3896143417841635E-3</v>
      </c>
      <c r="Q1217">
        <f t="shared" si="283"/>
        <v>4239.514422198371</v>
      </c>
      <c r="R1217">
        <f t="shared" si="284"/>
        <v>4.2395144221983712</v>
      </c>
    </row>
    <row r="1218" spans="1:18" x14ac:dyDescent="0.3">
      <c r="A1218">
        <v>2.4340000000000002</v>
      </c>
      <c r="B1218" s="4"/>
      <c r="C1218">
        <v>-28.590982069666602</v>
      </c>
      <c r="D1218">
        <v>1.95</v>
      </c>
      <c r="E1218">
        <f t="shared" ref="E1218:E1247" si="286">$E$1216+$R$1216</f>
        <v>178.24547429556316</v>
      </c>
      <c r="F1218">
        <f t="shared" si="274"/>
        <v>1.9539265609978256E-2</v>
      </c>
      <c r="G1218">
        <f t="shared" si="275"/>
        <v>6.043071838137605E-2</v>
      </c>
      <c r="H1218">
        <f t="shared" si="276"/>
        <v>51.986683887544032</v>
      </c>
      <c r="I1218">
        <f t="shared" si="277"/>
        <v>1.0244718338766785</v>
      </c>
      <c r="J1218">
        <f t="shared" si="278"/>
        <v>1.094650935902113</v>
      </c>
      <c r="K1218">
        <f t="shared" si="279"/>
        <v>0.56160016526436374</v>
      </c>
      <c r="L1218">
        <f t="shared" si="280"/>
        <v>1.2438317434250878</v>
      </c>
      <c r="M1218">
        <f t="shared" si="281"/>
        <v>1.0015923821230985</v>
      </c>
      <c r="N1218">
        <f t="shared" si="282"/>
        <v>0.99662809638491712</v>
      </c>
      <c r="O1218">
        <v>4.2896029855079313E-3</v>
      </c>
      <c r="P1218">
        <v>6.2916291940165762E-3</v>
      </c>
      <c r="Q1218">
        <f t="shared" si="283"/>
        <v>4239.514422198371</v>
      </c>
      <c r="R1218">
        <f t="shared" si="284"/>
        <v>4.2395144221983712</v>
      </c>
    </row>
    <row r="1219" spans="1:18" x14ac:dyDescent="0.3">
      <c r="A1219">
        <v>2.4359999999999999</v>
      </c>
      <c r="B1219" s="4"/>
      <c r="C1219">
        <v>-28.590982069666602</v>
      </c>
      <c r="D1219">
        <v>1.95</v>
      </c>
      <c r="E1219">
        <f t="shared" si="286"/>
        <v>178.24547429556316</v>
      </c>
      <c r="F1219">
        <f t="shared" ref="F1219:F1282" si="287">0.0462806*SQRT(E1219/1000)</f>
        <v>1.9539265609978256E-2</v>
      </c>
      <c r="G1219">
        <f t="shared" ref="G1219:G1282" si="288">$U$3*F1219/2</f>
        <v>6.043071838137605E-2</v>
      </c>
      <c r="H1219">
        <f t="shared" ref="H1219:H1282" si="289">PI()/G1219</f>
        <v>51.986683887544032</v>
      </c>
      <c r="I1219">
        <f t="shared" ref="I1219:I1282" si="290">BESSELI(H1219*$Y$5,0)</f>
        <v>1.0244718338766785</v>
      </c>
      <c r="J1219">
        <f t="shared" ref="J1219:J1282" si="291">BESSELI(H1219*D1219*$Y$5,0)</f>
        <v>1.094650935902113</v>
      </c>
      <c r="K1219">
        <f t="shared" ref="K1219:K1282" si="292">(D1219^2-1)/(D1219^2*I1219+J1219)</f>
        <v>0.56160016526436374</v>
      </c>
      <c r="L1219">
        <f t="shared" ref="L1219:L1282" si="293">I1219+J1219/(D1219^2*I1219+J1219)</f>
        <v>1.2438317434250878</v>
      </c>
      <c r="M1219">
        <f t="shared" ref="M1219:M1282" si="294">((L1219*O1219^2)/$Y$5^2)+(K1219*BESSELI(O1219*H1219,0)*COS(H1219*A1219))</f>
        <v>1.0050405167220999</v>
      </c>
      <c r="N1219">
        <f t="shared" ref="N1219:N1282" si="295">((L1219*P1219^2)/$Y$5^2)-(K1219*BESSELI(P1219*H1219,0)*COS(H1219*A1219))</f>
        <v>0.99771795570427413</v>
      </c>
      <c r="O1219">
        <v>4.4560304480611313E-3</v>
      </c>
      <c r="P1219">
        <v>6.1825107145329506E-3</v>
      </c>
      <c r="Q1219">
        <f t="shared" ref="Q1219:Q1282" si="296">PI()*K1219*$U$4*J1219*COS(C1219*$Y$7)/(4*$Y$6)</f>
        <v>4239.514422198371</v>
      </c>
      <c r="R1219">
        <f t="shared" ref="R1219:R1282" si="297">Q1219/1000</f>
        <v>4.2395144221983712</v>
      </c>
    </row>
    <row r="1220" spans="1:18" x14ac:dyDescent="0.3">
      <c r="A1220">
        <v>2.4380000000000002</v>
      </c>
      <c r="B1220" s="4"/>
      <c r="C1220">
        <v>-28.590982069666602</v>
      </c>
      <c r="D1220">
        <v>1.95</v>
      </c>
      <c r="E1220">
        <f t="shared" si="286"/>
        <v>178.24547429556316</v>
      </c>
      <c r="F1220">
        <f t="shared" si="287"/>
        <v>1.9539265609978256E-2</v>
      </c>
      <c r="G1220">
        <f t="shared" si="288"/>
        <v>6.043071838137605E-2</v>
      </c>
      <c r="H1220">
        <f t="shared" si="289"/>
        <v>51.986683887544032</v>
      </c>
      <c r="I1220">
        <f t="shared" si="290"/>
        <v>1.0244718338766785</v>
      </c>
      <c r="J1220">
        <f t="shared" si="291"/>
        <v>1.094650935902113</v>
      </c>
      <c r="K1220">
        <f t="shared" si="292"/>
        <v>0.56160016526436374</v>
      </c>
      <c r="L1220">
        <f t="shared" si="293"/>
        <v>1.2438317434250878</v>
      </c>
      <c r="M1220">
        <f t="shared" si="294"/>
        <v>1.001893248757687</v>
      </c>
      <c r="N1220">
        <f t="shared" si="295"/>
        <v>0.9986164692216446</v>
      </c>
      <c r="O1220">
        <v>4.6069262810330951E-3</v>
      </c>
      <c r="P1220">
        <v>6.0628252641622997E-3</v>
      </c>
      <c r="Q1220">
        <f t="shared" si="296"/>
        <v>4239.514422198371</v>
      </c>
      <c r="R1220">
        <f t="shared" si="297"/>
        <v>4.2395144221983712</v>
      </c>
    </row>
    <row r="1221" spans="1:18" x14ac:dyDescent="0.3">
      <c r="A1221">
        <v>2.44</v>
      </c>
      <c r="B1221" s="4"/>
      <c r="C1221">
        <v>-28.590982069666602</v>
      </c>
      <c r="D1221">
        <v>1.95</v>
      </c>
      <c r="E1221">
        <f t="shared" si="286"/>
        <v>178.24547429556316</v>
      </c>
      <c r="F1221">
        <f t="shared" si="287"/>
        <v>1.9539265609978256E-2</v>
      </c>
      <c r="G1221">
        <f t="shared" si="288"/>
        <v>6.043071838137605E-2</v>
      </c>
      <c r="H1221">
        <f t="shared" si="289"/>
        <v>51.986683887544032</v>
      </c>
      <c r="I1221">
        <f t="shared" si="290"/>
        <v>1.0244718338766785</v>
      </c>
      <c r="J1221">
        <f t="shared" si="291"/>
        <v>1.094650935902113</v>
      </c>
      <c r="K1221">
        <f t="shared" si="292"/>
        <v>0.56160016526436374</v>
      </c>
      <c r="L1221">
        <f t="shared" si="293"/>
        <v>1.2438317434250878</v>
      </c>
      <c r="M1221">
        <f t="shared" si="294"/>
        <v>1.0068674248648435</v>
      </c>
      <c r="N1221">
        <f t="shared" si="295"/>
        <v>0.99929131602078802</v>
      </c>
      <c r="O1221">
        <v>4.7866251369189884E-3</v>
      </c>
      <c r="P1221">
        <v>5.9332590042419312E-3</v>
      </c>
      <c r="Q1221">
        <f t="shared" si="296"/>
        <v>4239.514422198371</v>
      </c>
      <c r="R1221">
        <f t="shared" si="297"/>
        <v>4.2395144221983712</v>
      </c>
    </row>
    <row r="1222" spans="1:18" x14ac:dyDescent="0.3">
      <c r="A1222">
        <v>2.4420000000000002</v>
      </c>
      <c r="B1222" s="4"/>
      <c r="C1222">
        <v>-28.590982069666602</v>
      </c>
      <c r="D1222">
        <v>1.95</v>
      </c>
      <c r="E1222">
        <f t="shared" si="286"/>
        <v>178.24547429556316</v>
      </c>
      <c r="F1222">
        <f t="shared" si="287"/>
        <v>1.9539265609978256E-2</v>
      </c>
      <c r="G1222">
        <f t="shared" si="288"/>
        <v>6.043071838137605E-2</v>
      </c>
      <c r="H1222">
        <f t="shared" si="289"/>
        <v>51.986683887544032</v>
      </c>
      <c r="I1222">
        <f t="shared" si="290"/>
        <v>1.0244718338766785</v>
      </c>
      <c r="J1222">
        <f t="shared" si="291"/>
        <v>1.094650935902113</v>
      </c>
      <c r="K1222">
        <f t="shared" si="292"/>
        <v>0.56160016526436374</v>
      </c>
      <c r="L1222">
        <f t="shared" si="293"/>
        <v>1.2438317434250878</v>
      </c>
      <c r="M1222">
        <f t="shared" si="294"/>
        <v>0.99934407807779624</v>
      </c>
      <c r="N1222">
        <f t="shared" si="295"/>
        <v>0.99973262230951176</v>
      </c>
      <c r="O1222">
        <v>4.9305017159549814E-3</v>
      </c>
      <c r="P1222">
        <v>5.7946333079328229E-3</v>
      </c>
      <c r="Q1222">
        <f t="shared" si="296"/>
        <v>4239.514422198371</v>
      </c>
      <c r="R1222">
        <f t="shared" si="297"/>
        <v>4.2395144221983712</v>
      </c>
    </row>
    <row r="1223" spans="1:18" x14ac:dyDescent="0.3">
      <c r="A1223">
        <v>2.444</v>
      </c>
      <c r="B1223" s="4"/>
      <c r="C1223">
        <v>-28.590982069666602</v>
      </c>
      <c r="D1223">
        <v>1.95</v>
      </c>
      <c r="E1223">
        <f t="shared" si="286"/>
        <v>178.24547429556316</v>
      </c>
      <c r="F1223">
        <f t="shared" si="287"/>
        <v>1.9539265609978256E-2</v>
      </c>
      <c r="G1223">
        <f t="shared" si="288"/>
        <v>6.043071838137605E-2</v>
      </c>
      <c r="H1223">
        <f t="shared" si="289"/>
        <v>51.986683887544032</v>
      </c>
      <c r="I1223">
        <f t="shared" si="290"/>
        <v>1.0244718338766785</v>
      </c>
      <c r="J1223">
        <f t="shared" si="291"/>
        <v>1.094650935902113</v>
      </c>
      <c r="K1223">
        <f t="shared" si="292"/>
        <v>0.56160016526436374</v>
      </c>
      <c r="L1223">
        <f t="shared" si="293"/>
        <v>1.2438317434250878</v>
      </c>
      <c r="M1223">
        <f t="shared" si="294"/>
        <v>0.99847449649021547</v>
      </c>
      <c r="N1223">
        <f t="shared" si="295"/>
        <v>1.0043103222833509</v>
      </c>
      <c r="O1223">
        <v>5.0944015696973016E-3</v>
      </c>
      <c r="P1223">
        <v>5.6590908582092462E-3</v>
      </c>
      <c r="Q1223">
        <f t="shared" si="296"/>
        <v>4239.514422198371</v>
      </c>
      <c r="R1223">
        <f t="shared" si="297"/>
        <v>4.2395144221983712</v>
      </c>
    </row>
    <row r="1224" spans="1:18" x14ac:dyDescent="0.3">
      <c r="A1224">
        <v>2.4460000000000002</v>
      </c>
      <c r="B1224" s="4"/>
      <c r="C1224">
        <v>-28.590982069666602</v>
      </c>
      <c r="D1224">
        <v>1.95</v>
      </c>
      <c r="E1224">
        <f t="shared" si="286"/>
        <v>178.24547429556316</v>
      </c>
      <c r="F1224">
        <f t="shared" si="287"/>
        <v>1.9539265609978256E-2</v>
      </c>
      <c r="G1224">
        <f t="shared" si="288"/>
        <v>6.043071838137605E-2</v>
      </c>
      <c r="H1224">
        <f t="shared" si="289"/>
        <v>51.986683887544032</v>
      </c>
      <c r="I1224">
        <f t="shared" si="290"/>
        <v>1.0244718338766785</v>
      </c>
      <c r="J1224">
        <f t="shared" si="291"/>
        <v>1.094650935902113</v>
      </c>
      <c r="K1224">
        <f t="shared" si="292"/>
        <v>0.56160016526436374</v>
      </c>
      <c r="L1224">
        <f t="shared" si="293"/>
        <v>1.2438317434250878</v>
      </c>
      <c r="M1224">
        <f t="shared" si="294"/>
        <v>0.99863699616679458</v>
      </c>
      <c r="N1224">
        <f t="shared" si="295"/>
        <v>0.99891018405600784</v>
      </c>
      <c r="O1224">
        <v>5.2594065285071672E-3</v>
      </c>
      <c r="P1224">
        <v>5.4913904158292439E-3</v>
      </c>
      <c r="Q1224">
        <f t="shared" si="296"/>
        <v>4239.514422198371</v>
      </c>
      <c r="R1224">
        <f t="shared" si="297"/>
        <v>4.2395144221983712</v>
      </c>
    </row>
    <row r="1225" spans="1:18" x14ac:dyDescent="0.3">
      <c r="A1225">
        <v>2.448</v>
      </c>
      <c r="B1225" s="4"/>
      <c r="C1225">
        <v>-28.590982069666602</v>
      </c>
      <c r="D1225">
        <v>1.95</v>
      </c>
      <c r="E1225">
        <f t="shared" si="286"/>
        <v>178.24547429556316</v>
      </c>
      <c r="F1225">
        <f t="shared" si="287"/>
        <v>1.9539265609978256E-2</v>
      </c>
      <c r="G1225">
        <f t="shared" si="288"/>
        <v>6.043071838137605E-2</v>
      </c>
      <c r="H1225">
        <f t="shared" si="289"/>
        <v>51.986683887544032</v>
      </c>
      <c r="I1225">
        <f t="shared" si="290"/>
        <v>1.0244718338766785</v>
      </c>
      <c r="J1225">
        <f t="shared" si="291"/>
        <v>1.094650935902113</v>
      </c>
      <c r="K1225">
        <f t="shared" si="292"/>
        <v>0.56160016526436374</v>
      </c>
      <c r="L1225">
        <f t="shared" si="293"/>
        <v>1.2438317434250878</v>
      </c>
      <c r="M1225">
        <f t="shared" si="294"/>
        <v>1.0039849853408194</v>
      </c>
      <c r="N1225">
        <f t="shared" si="295"/>
        <v>0.99816046282122806</v>
      </c>
      <c r="O1225">
        <v>5.4348189419505446E-3</v>
      </c>
      <c r="P1225">
        <v>5.3301821878203263E-3</v>
      </c>
      <c r="Q1225">
        <f t="shared" si="296"/>
        <v>4239.514422198371</v>
      </c>
      <c r="R1225">
        <f t="shared" si="297"/>
        <v>4.2395144221983712</v>
      </c>
    </row>
    <row r="1226" spans="1:18" x14ac:dyDescent="0.3">
      <c r="A1226">
        <v>2.4500000000000002</v>
      </c>
      <c r="B1226" s="4"/>
      <c r="C1226">
        <v>-28.590982069666602</v>
      </c>
      <c r="D1226">
        <v>1.95</v>
      </c>
      <c r="E1226">
        <f t="shared" si="286"/>
        <v>178.24547429556316</v>
      </c>
      <c r="F1226">
        <f t="shared" si="287"/>
        <v>1.9539265609978256E-2</v>
      </c>
      <c r="G1226">
        <f t="shared" si="288"/>
        <v>6.043071838137605E-2</v>
      </c>
      <c r="H1226">
        <f t="shared" si="289"/>
        <v>51.986683887544032</v>
      </c>
      <c r="I1226">
        <f t="shared" si="290"/>
        <v>1.0244718338766785</v>
      </c>
      <c r="J1226">
        <f t="shared" si="291"/>
        <v>1.094650935902113</v>
      </c>
      <c r="K1226">
        <f t="shared" si="292"/>
        <v>0.56160016526436374</v>
      </c>
      <c r="L1226">
        <f t="shared" si="293"/>
        <v>1.2438317434250878</v>
      </c>
      <c r="M1226">
        <f t="shared" si="294"/>
        <v>0.99971891530328727</v>
      </c>
      <c r="N1226">
        <f t="shared" si="295"/>
        <v>0.99913506316859169</v>
      </c>
      <c r="O1226">
        <v>5.5797518694361021E-3</v>
      </c>
      <c r="P1226">
        <v>5.1696537187698888E-3</v>
      </c>
      <c r="Q1226">
        <f t="shared" si="296"/>
        <v>4239.514422198371</v>
      </c>
      <c r="R1226">
        <f t="shared" si="297"/>
        <v>4.2395144221983712</v>
      </c>
    </row>
    <row r="1227" spans="1:18" x14ac:dyDescent="0.3">
      <c r="A1227">
        <v>2.452</v>
      </c>
      <c r="B1227" s="4"/>
      <c r="C1227">
        <v>-28.590982069666602</v>
      </c>
      <c r="D1227">
        <v>1.95</v>
      </c>
      <c r="E1227">
        <f t="shared" si="286"/>
        <v>178.24547429556316</v>
      </c>
      <c r="F1227">
        <f t="shared" si="287"/>
        <v>1.9539265609978256E-2</v>
      </c>
      <c r="G1227">
        <f t="shared" si="288"/>
        <v>6.043071838137605E-2</v>
      </c>
      <c r="H1227">
        <f t="shared" si="289"/>
        <v>51.986683887544032</v>
      </c>
      <c r="I1227">
        <f t="shared" si="290"/>
        <v>1.0244718338766785</v>
      </c>
      <c r="J1227">
        <f t="shared" si="291"/>
        <v>1.094650935902113</v>
      </c>
      <c r="K1227">
        <f t="shared" si="292"/>
        <v>0.56160016526436374</v>
      </c>
      <c r="L1227">
        <f t="shared" si="293"/>
        <v>1.2438317434250878</v>
      </c>
      <c r="M1227">
        <f t="shared" si="294"/>
        <v>0.99921488014958049</v>
      </c>
      <c r="N1227">
        <f t="shared" si="295"/>
        <v>1.0092356328197556</v>
      </c>
      <c r="O1227">
        <v>5.7287884326864217E-3</v>
      </c>
      <c r="P1227">
        <v>5.0329607690502666E-3</v>
      </c>
      <c r="Q1227">
        <f t="shared" si="296"/>
        <v>4239.514422198371</v>
      </c>
      <c r="R1227">
        <f t="shared" si="297"/>
        <v>4.2395144221983712</v>
      </c>
    </row>
    <row r="1228" spans="1:18" x14ac:dyDescent="0.3">
      <c r="A1228">
        <v>2.4540000000000002</v>
      </c>
      <c r="B1228" s="4"/>
      <c r="C1228">
        <v>-28.590982069666602</v>
      </c>
      <c r="D1228">
        <v>1.95</v>
      </c>
      <c r="E1228">
        <f t="shared" si="286"/>
        <v>178.24547429556316</v>
      </c>
      <c r="F1228">
        <f t="shared" si="287"/>
        <v>1.9539265609978256E-2</v>
      </c>
      <c r="G1228">
        <f t="shared" si="288"/>
        <v>6.043071838137605E-2</v>
      </c>
      <c r="H1228">
        <f t="shared" si="289"/>
        <v>51.986683887544032</v>
      </c>
      <c r="I1228">
        <f t="shared" si="290"/>
        <v>1.0244718338766785</v>
      </c>
      <c r="J1228">
        <f t="shared" si="291"/>
        <v>1.094650935902113</v>
      </c>
      <c r="K1228">
        <f t="shared" si="292"/>
        <v>0.56160016526436374</v>
      </c>
      <c r="L1228">
        <f t="shared" si="293"/>
        <v>1.2438317434250878</v>
      </c>
      <c r="M1228">
        <f t="shared" si="294"/>
        <v>0.99840997078147731</v>
      </c>
      <c r="N1228">
        <f t="shared" si="295"/>
        <v>1.0033186324769603</v>
      </c>
      <c r="O1228">
        <v>5.8700244498222746E-3</v>
      </c>
      <c r="P1228">
        <v>4.8496426822361906E-3</v>
      </c>
      <c r="Q1228">
        <f t="shared" si="296"/>
        <v>4239.514422198371</v>
      </c>
      <c r="R1228">
        <f t="shared" si="297"/>
        <v>4.2395144221983712</v>
      </c>
    </row>
    <row r="1229" spans="1:18" x14ac:dyDescent="0.3">
      <c r="A1229">
        <v>2.456</v>
      </c>
      <c r="B1229" s="4"/>
      <c r="C1229">
        <v>-28.590982069666602</v>
      </c>
      <c r="D1229">
        <v>1.95</v>
      </c>
      <c r="E1229">
        <f t="shared" si="286"/>
        <v>178.24547429556316</v>
      </c>
      <c r="F1229">
        <f t="shared" si="287"/>
        <v>1.9539265609978256E-2</v>
      </c>
      <c r="G1229">
        <f t="shared" si="288"/>
        <v>6.043071838137605E-2</v>
      </c>
      <c r="H1229">
        <f t="shared" si="289"/>
        <v>51.986683887544032</v>
      </c>
      <c r="I1229">
        <f t="shared" si="290"/>
        <v>1.0244718338766785</v>
      </c>
      <c r="J1229">
        <f t="shared" si="291"/>
        <v>1.094650935902113</v>
      </c>
      <c r="K1229">
        <f t="shared" si="292"/>
        <v>0.56160016526436374</v>
      </c>
      <c r="L1229">
        <f t="shared" si="293"/>
        <v>1.2438317434250878</v>
      </c>
      <c r="M1229">
        <f t="shared" si="294"/>
        <v>0.99729574825342993</v>
      </c>
      <c r="N1229">
        <f t="shared" si="295"/>
        <v>1.0040033282621019</v>
      </c>
      <c r="O1229">
        <v>6.002466002239454E-3</v>
      </c>
      <c r="P1229">
        <v>4.6862327258054629E-3</v>
      </c>
      <c r="Q1229">
        <f t="shared" si="296"/>
        <v>4239.514422198371</v>
      </c>
      <c r="R1229">
        <f t="shared" si="297"/>
        <v>4.2395144221983712</v>
      </c>
    </row>
    <row r="1230" spans="1:18" x14ac:dyDescent="0.3">
      <c r="A1230">
        <v>2.4580000000000002</v>
      </c>
      <c r="B1230" s="4"/>
      <c r="C1230">
        <v>-28.590982069666602</v>
      </c>
      <c r="D1230">
        <v>1.95</v>
      </c>
      <c r="E1230">
        <f t="shared" si="286"/>
        <v>178.24547429556316</v>
      </c>
      <c r="F1230">
        <f t="shared" si="287"/>
        <v>1.9539265609978256E-2</v>
      </c>
      <c r="G1230">
        <f t="shared" si="288"/>
        <v>6.043071838137605E-2</v>
      </c>
      <c r="H1230">
        <f t="shared" si="289"/>
        <v>51.986683887544032</v>
      </c>
      <c r="I1230">
        <f t="shared" si="290"/>
        <v>1.0244718338766785</v>
      </c>
      <c r="J1230">
        <f t="shared" si="291"/>
        <v>1.094650935902113</v>
      </c>
      <c r="K1230">
        <f t="shared" si="292"/>
        <v>0.56160016526436374</v>
      </c>
      <c r="L1230">
        <f t="shared" si="293"/>
        <v>1.2438317434250878</v>
      </c>
      <c r="M1230">
        <f t="shared" si="294"/>
        <v>0.99589164907487859</v>
      </c>
      <c r="N1230">
        <f t="shared" si="295"/>
        <v>1.0026362557428445</v>
      </c>
      <c r="O1230">
        <v>6.1252779063632693E-3</v>
      </c>
      <c r="P1230">
        <v>4.5191711382214098E-3</v>
      </c>
      <c r="Q1230">
        <f t="shared" si="296"/>
        <v>4239.514422198371</v>
      </c>
      <c r="R1230">
        <f t="shared" si="297"/>
        <v>4.2395144221983712</v>
      </c>
    </row>
    <row r="1231" spans="1:18" x14ac:dyDescent="0.3">
      <c r="A1231">
        <v>2.46</v>
      </c>
      <c r="B1231" s="4"/>
      <c r="C1231">
        <v>-28.590982069666602</v>
      </c>
      <c r="D1231">
        <v>1.95</v>
      </c>
      <c r="E1231">
        <f t="shared" si="286"/>
        <v>178.24547429556316</v>
      </c>
      <c r="F1231">
        <f t="shared" si="287"/>
        <v>1.9539265609978256E-2</v>
      </c>
      <c r="G1231">
        <f t="shared" si="288"/>
        <v>6.043071838137605E-2</v>
      </c>
      <c r="H1231">
        <f t="shared" si="289"/>
        <v>51.986683887544032</v>
      </c>
      <c r="I1231">
        <f t="shared" si="290"/>
        <v>1.0244718338766785</v>
      </c>
      <c r="J1231">
        <f t="shared" si="291"/>
        <v>1.094650935902113</v>
      </c>
      <c r="K1231">
        <f t="shared" si="292"/>
        <v>0.56160016526436374</v>
      </c>
      <c r="L1231">
        <f t="shared" si="293"/>
        <v>1.2438317434250878</v>
      </c>
      <c r="M1231">
        <f t="shared" si="294"/>
        <v>0.99424293176498091</v>
      </c>
      <c r="N1231">
        <f t="shared" si="295"/>
        <v>1.000412040224232</v>
      </c>
      <c r="O1231">
        <v>6.2377670695153604E-3</v>
      </c>
      <c r="P1231">
        <v>4.3538039663385854E-3</v>
      </c>
      <c r="Q1231">
        <f t="shared" si="296"/>
        <v>4239.514422198371</v>
      </c>
      <c r="R1231">
        <f t="shared" si="297"/>
        <v>4.2395144221983712</v>
      </c>
    </row>
    <row r="1232" spans="1:18" x14ac:dyDescent="0.3">
      <c r="A1232">
        <v>2.4620000000000002</v>
      </c>
      <c r="B1232" s="4"/>
      <c r="C1232">
        <v>-28.590982069666602</v>
      </c>
      <c r="D1232">
        <v>1.95</v>
      </c>
      <c r="E1232">
        <f t="shared" si="286"/>
        <v>178.24547429556316</v>
      </c>
      <c r="F1232">
        <f t="shared" si="287"/>
        <v>1.9539265609978256E-2</v>
      </c>
      <c r="G1232">
        <f t="shared" si="288"/>
        <v>6.043071838137605E-2</v>
      </c>
      <c r="H1232">
        <f t="shared" si="289"/>
        <v>51.986683887544032</v>
      </c>
      <c r="I1232">
        <f t="shared" si="290"/>
        <v>1.0244718338766785</v>
      </c>
      <c r="J1232">
        <f t="shared" si="291"/>
        <v>1.094650935902113</v>
      </c>
      <c r="K1232">
        <f t="shared" si="292"/>
        <v>0.56160016526436374</v>
      </c>
      <c r="L1232">
        <f t="shared" si="293"/>
        <v>1.2438317434250878</v>
      </c>
      <c r="M1232">
        <f t="shared" si="294"/>
        <v>0.99241677113410309</v>
      </c>
      <c r="N1232">
        <f t="shared" si="295"/>
        <v>1.0060456240311124</v>
      </c>
      <c r="O1232">
        <v>6.3393654761957127E-3</v>
      </c>
      <c r="P1232">
        <v>4.2218312845094261E-3</v>
      </c>
      <c r="Q1232">
        <f t="shared" si="296"/>
        <v>4239.514422198371</v>
      </c>
      <c r="R1232">
        <f t="shared" si="297"/>
        <v>4.2395144221983712</v>
      </c>
    </row>
    <row r="1233" spans="1:18" x14ac:dyDescent="0.3">
      <c r="A1233">
        <v>2.464</v>
      </c>
      <c r="B1233" s="4"/>
      <c r="C1233">
        <v>-28.590982069666602</v>
      </c>
      <c r="D1233">
        <v>1.95</v>
      </c>
      <c r="E1233">
        <f t="shared" si="286"/>
        <v>178.24547429556316</v>
      </c>
      <c r="F1233">
        <f t="shared" si="287"/>
        <v>1.9539265609978256E-2</v>
      </c>
      <c r="G1233">
        <f t="shared" si="288"/>
        <v>6.043071838137605E-2</v>
      </c>
      <c r="H1233">
        <f t="shared" si="289"/>
        <v>51.986683887544032</v>
      </c>
      <c r="I1233">
        <f t="shared" si="290"/>
        <v>1.0244718338766785</v>
      </c>
      <c r="J1233">
        <f t="shared" si="291"/>
        <v>1.094650935902113</v>
      </c>
      <c r="K1233">
        <f t="shared" si="292"/>
        <v>0.56160016526436374</v>
      </c>
      <c r="L1233">
        <f t="shared" si="293"/>
        <v>1.2438317434250878</v>
      </c>
      <c r="M1233">
        <f t="shared" si="294"/>
        <v>0.99049697030555306</v>
      </c>
      <c r="N1233">
        <f t="shared" si="295"/>
        <v>1.0006565167228993</v>
      </c>
      <c r="O1233">
        <v>6.4296135930837599E-3</v>
      </c>
      <c r="P1233">
        <v>4.0618431184002409E-3</v>
      </c>
      <c r="Q1233">
        <f t="shared" si="296"/>
        <v>4239.514422198371</v>
      </c>
      <c r="R1233">
        <f t="shared" si="297"/>
        <v>4.2395144221983712</v>
      </c>
    </row>
    <row r="1234" spans="1:18" x14ac:dyDescent="0.3">
      <c r="A1234">
        <v>2.4660000000000002</v>
      </c>
      <c r="B1234" s="4"/>
      <c r="C1234">
        <v>-28.590982069666602</v>
      </c>
      <c r="D1234">
        <v>1.95</v>
      </c>
      <c r="E1234">
        <f t="shared" si="286"/>
        <v>178.24547429556316</v>
      </c>
      <c r="F1234">
        <f t="shared" si="287"/>
        <v>1.9539265609978256E-2</v>
      </c>
      <c r="G1234">
        <f t="shared" si="288"/>
        <v>6.043071838137605E-2</v>
      </c>
      <c r="H1234">
        <f t="shared" si="289"/>
        <v>51.986683887544032</v>
      </c>
      <c r="I1234">
        <f t="shared" si="290"/>
        <v>1.0244718338766785</v>
      </c>
      <c r="J1234">
        <f t="shared" si="291"/>
        <v>1.094650935902113</v>
      </c>
      <c r="K1234">
        <f t="shared" si="292"/>
        <v>0.56160016526436374</v>
      </c>
      <c r="L1234">
        <f t="shared" si="293"/>
        <v>1.2438317434250878</v>
      </c>
      <c r="M1234">
        <f t="shared" si="294"/>
        <v>0.9997820562634856</v>
      </c>
      <c r="N1234">
        <f t="shared" si="295"/>
        <v>1.0023800018951068</v>
      </c>
      <c r="O1234">
        <v>6.5332402626463205E-3</v>
      </c>
      <c r="P1234">
        <v>3.9386097731203776E-3</v>
      </c>
      <c r="Q1234">
        <f t="shared" si="296"/>
        <v>4239.514422198371</v>
      </c>
      <c r="R1234">
        <f t="shared" si="297"/>
        <v>4.2395144221983712</v>
      </c>
    </row>
    <row r="1235" spans="1:18" x14ac:dyDescent="0.3">
      <c r="A1235">
        <v>2.468</v>
      </c>
      <c r="B1235" s="4"/>
      <c r="C1235">
        <v>-28.590982069666602</v>
      </c>
      <c r="D1235">
        <v>1.95</v>
      </c>
      <c r="E1235">
        <f t="shared" si="286"/>
        <v>178.24547429556316</v>
      </c>
      <c r="F1235">
        <f t="shared" si="287"/>
        <v>1.9539265609978256E-2</v>
      </c>
      <c r="G1235">
        <f t="shared" si="288"/>
        <v>6.043071838137605E-2</v>
      </c>
      <c r="H1235">
        <f t="shared" si="289"/>
        <v>51.986683887544032</v>
      </c>
      <c r="I1235">
        <f t="shared" si="290"/>
        <v>1.0244718338766785</v>
      </c>
      <c r="J1235">
        <f t="shared" si="291"/>
        <v>1.094650935902113</v>
      </c>
      <c r="K1235">
        <f t="shared" si="292"/>
        <v>0.56160016526436374</v>
      </c>
      <c r="L1235">
        <f t="shared" si="293"/>
        <v>1.2438317434250878</v>
      </c>
      <c r="M1235">
        <f t="shared" si="294"/>
        <v>0.99972678714880936</v>
      </c>
      <c r="N1235">
        <f t="shared" si="295"/>
        <v>1.0047092602601178</v>
      </c>
      <c r="O1235">
        <v>6.6034366674123969E-3</v>
      </c>
      <c r="P1235">
        <v>3.8327227540681632E-3</v>
      </c>
      <c r="Q1235">
        <f t="shared" si="296"/>
        <v>4239.514422198371</v>
      </c>
      <c r="R1235">
        <f t="shared" si="297"/>
        <v>4.2395144221983712</v>
      </c>
    </row>
    <row r="1236" spans="1:18" x14ac:dyDescent="0.3">
      <c r="A1236">
        <v>2.4700000000000002</v>
      </c>
      <c r="B1236" s="4"/>
      <c r="C1236">
        <v>-28.590982069666602</v>
      </c>
      <c r="D1236">
        <v>1.95</v>
      </c>
      <c r="E1236">
        <f t="shared" si="286"/>
        <v>178.24547429556316</v>
      </c>
      <c r="F1236">
        <f t="shared" si="287"/>
        <v>1.9539265609978256E-2</v>
      </c>
      <c r="G1236">
        <f t="shared" si="288"/>
        <v>6.043071838137605E-2</v>
      </c>
      <c r="H1236">
        <f t="shared" si="289"/>
        <v>51.986683887544032</v>
      </c>
      <c r="I1236">
        <f t="shared" si="290"/>
        <v>1.0244718338766785</v>
      </c>
      <c r="J1236">
        <f t="shared" si="291"/>
        <v>1.094650935902113</v>
      </c>
      <c r="K1236">
        <f t="shared" si="292"/>
        <v>0.56160016526436374</v>
      </c>
      <c r="L1236">
        <f t="shared" si="293"/>
        <v>1.2438317434250878</v>
      </c>
      <c r="M1236">
        <f t="shared" si="294"/>
        <v>0.99972726806011658</v>
      </c>
      <c r="N1236">
        <f t="shared" si="295"/>
        <v>1.0006031886764504</v>
      </c>
      <c r="O1236">
        <v>6.6610882830318643E-3</v>
      </c>
      <c r="P1236">
        <v>3.7198448825299791E-3</v>
      </c>
      <c r="Q1236">
        <f t="shared" si="296"/>
        <v>4239.514422198371</v>
      </c>
      <c r="R1236">
        <f t="shared" si="297"/>
        <v>4.2395144221983712</v>
      </c>
    </row>
    <row r="1237" spans="1:18" x14ac:dyDescent="0.3">
      <c r="A1237">
        <v>2.472</v>
      </c>
      <c r="B1237" s="4"/>
      <c r="C1237">
        <v>-28.590982069666602</v>
      </c>
      <c r="D1237">
        <v>1.95</v>
      </c>
      <c r="E1237">
        <f t="shared" si="286"/>
        <v>178.24547429556316</v>
      </c>
      <c r="F1237">
        <f t="shared" si="287"/>
        <v>1.9539265609978256E-2</v>
      </c>
      <c r="G1237">
        <f t="shared" si="288"/>
        <v>6.043071838137605E-2</v>
      </c>
      <c r="H1237">
        <f t="shared" si="289"/>
        <v>51.986683887544032</v>
      </c>
      <c r="I1237">
        <f t="shared" si="290"/>
        <v>1.0244718338766785</v>
      </c>
      <c r="J1237">
        <f t="shared" si="291"/>
        <v>1.094650935902113</v>
      </c>
      <c r="K1237">
        <f t="shared" si="292"/>
        <v>0.56160016526436374</v>
      </c>
      <c r="L1237">
        <f t="shared" si="293"/>
        <v>1.2438317434250878</v>
      </c>
      <c r="M1237">
        <f t="shared" si="294"/>
        <v>0.9998027933980882</v>
      </c>
      <c r="N1237">
        <f t="shared" si="295"/>
        <v>1.0020378836249517</v>
      </c>
      <c r="O1237">
        <v>6.7059078567277049E-3</v>
      </c>
      <c r="P1237">
        <v>3.6477113895074316E-3</v>
      </c>
      <c r="Q1237">
        <f t="shared" si="296"/>
        <v>4239.514422198371</v>
      </c>
      <c r="R1237">
        <f t="shared" si="297"/>
        <v>4.2395144221983712</v>
      </c>
    </row>
    <row r="1238" spans="1:18" x14ac:dyDescent="0.3">
      <c r="A1238">
        <v>2.4740000000000002</v>
      </c>
      <c r="B1238" s="4"/>
      <c r="C1238">
        <v>-28.590982069666602</v>
      </c>
      <c r="D1238">
        <v>1.95</v>
      </c>
      <c r="E1238">
        <f t="shared" si="286"/>
        <v>178.24547429556316</v>
      </c>
      <c r="F1238">
        <f t="shared" si="287"/>
        <v>1.9539265609978256E-2</v>
      </c>
      <c r="G1238">
        <f t="shared" si="288"/>
        <v>6.043071838137605E-2</v>
      </c>
      <c r="H1238">
        <f t="shared" si="289"/>
        <v>51.986683887544032</v>
      </c>
      <c r="I1238">
        <f t="shared" si="290"/>
        <v>1.0244718338766785</v>
      </c>
      <c r="J1238">
        <f t="shared" si="291"/>
        <v>1.094650935902113</v>
      </c>
      <c r="K1238">
        <f t="shared" si="292"/>
        <v>0.56160016526436374</v>
      </c>
      <c r="L1238">
        <f t="shared" si="293"/>
        <v>1.2438317434250878</v>
      </c>
      <c r="M1238">
        <f t="shared" si="294"/>
        <v>0.99985005920307979</v>
      </c>
      <c r="N1238">
        <f t="shared" si="295"/>
        <v>1.0032711428744276</v>
      </c>
      <c r="O1238">
        <v>6.7374185531089365E-3</v>
      </c>
      <c r="P1238">
        <v>3.5967545166764301E-3</v>
      </c>
      <c r="Q1238">
        <f t="shared" si="296"/>
        <v>4239.514422198371</v>
      </c>
      <c r="R1238">
        <f t="shared" si="297"/>
        <v>4.2395144221983712</v>
      </c>
    </row>
    <row r="1239" spans="1:18" x14ac:dyDescent="0.3">
      <c r="A1239">
        <v>2.476</v>
      </c>
      <c r="B1239" s="4"/>
      <c r="C1239">
        <v>-28.590982069666602</v>
      </c>
      <c r="D1239">
        <v>1.95</v>
      </c>
      <c r="E1239">
        <f t="shared" si="286"/>
        <v>178.24547429556316</v>
      </c>
      <c r="F1239">
        <f t="shared" si="287"/>
        <v>1.9539265609978256E-2</v>
      </c>
      <c r="G1239">
        <f t="shared" si="288"/>
        <v>6.043071838137605E-2</v>
      </c>
      <c r="H1239">
        <f t="shared" si="289"/>
        <v>51.986683887544032</v>
      </c>
      <c r="I1239">
        <f t="shared" si="290"/>
        <v>1.0244718338766785</v>
      </c>
      <c r="J1239">
        <f t="shared" si="291"/>
        <v>1.094650935902113</v>
      </c>
      <c r="K1239">
        <f t="shared" si="292"/>
        <v>0.56160016526436374</v>
      </c>
      <c r="L1239">
        <f t="shared" si="293"/>
        <v>1.2438317434250878</v>
      </c>
      <c r="M1239">
        <f t="shared" si="294"/>
        <v>0.99035763253434617</v>
      </c>
      <c r="N1239">
        <f t="shared" si="295"/>
        <v>1.0040617288347273</v>
      </c>
      <c r="O1239">
        <v>6.7348112228077057E-3</v>
      </c>
      <c r="P1239">
        <v>3.567489759568979E-3</v>
      </c>
      <c r="Q1239">
        <f t="shared" si="296"/>
        <v>4239.514422198371</v>
      </c>
      <c r="R1239">
        <f t="shared" si="297"/>
        <v>4.2395144221983712</v>
      </c>
    </row>
    <row r="1240" spans="1:18" x14ac:dyDescent="0.3">
      <c r="A1240">
        <v>2.4780000000000002</v>
      </c>
      <c r="B1240" s="4"/>
      <c r="C1240">
        <v>-28.590982069666602</v>
      </c>
      <c r="D1240">
        <v>1.95</v>
      </c>
      <c r="E1240">
        <f t="shared" si="286"/>
        <v>178.24547429556316</v>
      </c>
      <c r="F1240">
        <f t="shared" si="287"/>
        <v>1.9539265609978256E-2</v>
      </c>
      <c r="G1240">
        <f t="shared" si="288"/>
        <v>6.043071838137605E-2</v>
      </c>
      <c r="H1240">
        <f t="shared" si="289"/>
        <v>51.986683887544032</v>
      </c>
      <c r="I1240">
        <f t="shared" si="290"/>
        <v>1.0244718338766785</v>
      </c>
      <c r="J1240">
        <f t="shared" si="291"/>
        <v>1.094650935902113</v>
      </c>
      <c r="K1240">
        <f t="shared" si="292"/>
        <v>0.56160016526436374</v>
      </c>
      <c r="L1240">
        <f t="shared" si="293"/>
        <v>1.2438317434250878</v>
      </c>
      <c r="M1240">
        <f t="shared" si="294"/>
        <v>0.99056518848697284</v>
      </c>
      <c r="N1240">
        <f t="shared" si="295"/>
        <v>1.004267644647536</v>
      </c>
      <c r="O1240">
        <v>6.7397417809853255E-3</v>
      </c>
      <c r="P1240">
        <v>3.560212777283871E-3</v>
      </c>
      <c r="Q1240">
        <f t="shared" si="296"/>
        <v>4239.514422198371</v>
      </c>
      <c r="R1240">
        <f t="shared" si="297"/>
        <v>4.2395144221983712</v>
      </c>
    </row>
    <row r="1241" spans="1:18" x14ac:dyDescent="0.3">
      <c r="A1241">
        <v>2.48</v>
      </c>
      <c r="B1241" s="4"/>
      <c r="C1241">
        <v>-28.590982069666602</v>
      </c>
      <c r="D1241">
        <v>1.95</v>
      </c>
      <c r="E1241">
        <f t="shared" si="286"/>
        <v>178.24547429556316</v>
      </c>
      <c r="F1241">
        <f t="shared" si="287"/>
        <v>1.9539265609978256E-2</v>
      </c>
      <c r="G1241">
        <f t="shared" si="288"/>
        <v>6.043071838137605E-2</v>
      </c>
      <c r="H1241">
        <f t="shared" si="289"/>
        <v>51.986683887544032</v>
      </c>
      <c r="I1241">
        <f t="shared" si="290"/>
        <v>1.0244718338766785</v>
      </c>
      <c r="J1241">
        <f t="shared" si="291"/>
        <v>1.094650935902113</v>
      </c>
      <c r="K1241">
        <f t="shared" si="292"/>
        <v>0.56160016526436374</v>
      </c>
      <c r="L1241">
        <f t="shared" si="293"/>
        <v>1.2438317434250878</v>
      </c>
      <c r="M1241">
        <f t="shared" si="294"/>
        <v>0.99014526427373628</v>
      </c>
      <c r="N1241">
        <f t="shared" si="295"/>
        <v>1.0038531902667018</v>
      </c>
      <c r="O1241">
        <v>6.7297254381605926E-3</v>
      </c>
      <c r="P1241">
        <v>3.574997044074621E-3</v>
      </c>
      <c r="Q1241">
        <f t="shared" si="296"/>
        <v>4239.514422198371</v>
      </c>
      <c r="R1241">
        <f t="shared" si="297"/>
        <v>4.2395144221983712</v>
      </c>
    </row>
    <row r="1242" spans="1:18" x14ac:dyDescent="0.3">
      <c r="A1242">
        <v>2.4820000000000002</v>
      </c>
      <c r="B1242" s="4"/>
      <c r="C1242">
        <v>-28.590982069666602</v>
      </c>
      <c r="D1242">
        <v>1.95</v>
      </c>
      <c r="E1242">
        <f t="shared" si="286"/>
        <v>178.24547429556316</v>
      </c>
      <c r="F1242">
        <f t="shared" si="287"/>
        <v>1.9539265609978256E-2</v>
      </c>
      <c r="G1242">
        <f t="shared" si="288"/>
        <v>6.043071838137605E-2</v>
      </c>
      <c r="H1242">
        <f t="shared" si="289"/>
        <v>51.986683887544032</v>
      </c>
      <c r="I1242">
        <f t="shared" si="290"/>
        <v>1.0244718338766785</v>
      </c>
      <c r="J1242">
        <f t="shared" si="291"/>
        <v>1.094650935902113</v>
      </c>
      <c r="K1242">
        <f t="shared" si="292"/>
        <v>0.56160016526436374</v>
      </c>
      <c r="L1242">
        <f t="shared" si="293"/>
        <v>1.2438317434250878</v>
      </c>
      <c r="M1242">
        <f t="shared" si="294"/>
        <v>0.99983676065355342</v>
      </c>
      <c r="N1242">
        <f t="shared" si="295"/>
        <v>1.0028907323973046</v>
      </c>
      <c r="O1242">
        <v>6.7281936273290693E-3</v>
      </c>
      <c r="P1242">
        <v>3.6116932675805415E-3</v>
      </c>
      <c r="Q1242">
        <f t="shared" si="296"/>
        <v>4239.514422198371</v>
      </c>
      <c r="R1242">
        <f t="shared" si="297"/>
        <v>4.2395144221983712</v>
      </c>
    </row>
    <row r="1243" spans="1:18" x14ac:dyDescent="0.3">
      <c r="A1243">
        <v>2.484</v>
      </c>
      <c r="B1243" s="4"/>
      <c r="C1243">
        <v>-28.590982069666602</v>
      </c>
      <c r="D1243">
        <v>1.95</v>
      </c>
      <c r="E1243">
        <f t="shared" si="286"/>
        <v>178.24547429556316</v>
      </c>
      <c r="F1243">
        <f t="shared" si="287"/>
        <v>1.9539265609978256E-2</v>
      </c>
      <c r="G1243">
        <f t="shared" si="288"/>
        <v>6.043071838137605E-2</v>
      </c>
      <c r="H1243">
        <f t="shared" si="289"/>
        <v>51.986683887544032</v>
      </c>
      <c r="I1243">
        <f t="shared" si="290"/>
        <v>1.0244718338766785</v>
      </c>
      <c r="J1243">
        <f t="shared" si="291"/>
        <v>1.094650935902113</v>
      </c>
      <c r="K1243">
        <f t="shared" si="292"/>
        <v>0.56160016526436374</v>
      </c>
      <c r="L1243">
        <f t="shared" si="293"/>
        <v>1.2438317434250878</v>
      </c>
      <c r="M1243">
        <f t="shared" si="294"/>
        <v>0.9997805554241036</v>
      </c>
      <c r="N1243">
        <f t="shared" si="295"/>
        <v>1.0015571150162135</v>
      </c>
      <c r="O1243">
        <v>6.6921289115984099E-3</v>
      </c>
      <c r="P1243">
        <v>3.6699305716891796E-3</v>
      </c>
      <c r="Q1243">
        <f t="shared" si="296"/>
        <v>4239.514422198371</v>
      </c>
      <c r="R1243">
        <f t="shared" si="297"/>
        <v>4.2395144221983712</v>
      </c>
    </row>
    <row r="1244" spans="1:18" x14ac:dyDescent="0.3">
      <c r="A1244">
        <v>2.4860000000000002</v>
      </c>
      <c r="B1244" s="4"/>
      <c r="C1244">
        <v>-28.590982069666602</v>
      </c>
      <c r="D1244">
        <v>1.95</v>
      </c>
      <c r="E1244">
        <f t="shared" si="286"/>
        <v>178.24547429556316</v>
      </c>
      <c r="F1244">
        <f t="shared" si="287"/>
        <v>1.9539265609978256E-2</v>
      </c>
      <c r="G1244">
        <f t="shared" si="288"/>
        <v>6.043071838137605E-2</v>
      </c>
      <c r="H1244">
        <f t="shared" si="289"/>
        <v>51.986683887544032</v>
      </c>
      <c r="I1244">
        <f t="shared" si="290"/>
        <v>1.0244718338766785</v>
      </c>
      <c r="J1244">
        <f t="shared" si="291"/>
        <v>1.094650935902113</v>
      </c>
      <c r="K1244">
        <f t="shared" si="292"/>
        <v>0.56160016526436374</v>
      </c>
      <c r="L1244">
        <f t="shared" si="293"/>
        <v>1.2438317434250878</v>
      </c>
      <c r="M1244">
        <f t="shared" si="294"/>
        <v>0.99969401804930647</v>
      </c>
      <c r="N1244">
        <f t="shared" si="295"/>
        <v>1.0063718968156472</v>
      </c>
      <c r="O1244">
        <v>6.6428268912319425E-3</v>
      </c>
      <c r="P1244">
        <v>3.7729180936305392E-3</v>
      </c>
      <c r="Q1244">
        <f t="shared" si="296"/>
        <v>4239.514422198371</v>
      </c>
      <c r="R1244">
        <f t="shared" si="297"/>
        <v>4.2395144221983712</v>
      </c>
    </row>
    <row r="1245" spans="1:18" x14ac:dyDescent="0.3">
      <c r="A1245">
        <v>2.488</v>
      </c>
      <c r="B1245" s="4"/>
      <c r="C1245">
        <v>-28.590982069666602</v>
      </c>
      <c r="D1245">
        <v>1.95</v>
      </c>
      <c r="E1245">
        <f t="shared" si="286"/>
        <v>178.24547429556316</v>
      </c>
      <c r="F1245">
        <f t="shared" si="287"/>
        <v>1.9539265609978256E-2</v>
      </c>
      <c r="G1245">
        <f t="shared" si="288"/>
        <v>6.043071838137605E-2</v>
      </c>
      <c r="H1245">
        <f t="shared" si="289"/>
        <v>51.986683887544032</v>
      </c>
      <c r="I1245">
        <f t="shared" si="290"/>
        <v>1.0244718338766785</v>
      </c>
      <c r="J1245">
        <f t="shared" si="291"/>
        <v>1.094650935902113</v>
      </c>
      <c r="K1245">
        <f t="shared" si="292"/>
        <v>0.56160016526436374</v>
      </c>
      <c r="L1245">
        <f t="shared" si="293"/>
        <v>1.2438317434250878</v>
      </c>
      <c r="M1245">
        <f t="shared" si="294"/>
        <v>0.99974555947647792</v>
      </c>
      <c r="N1245">
        <f t="shared" si="295"/>
        <v>1.0038748294395878</v>
      </c>
      <c r="O1245">
        <v>6.5809351340418449E-3</v>
      </c>
      <c r="P1245">
        <v>3.8667634550462039E-3</v>
      </c>
      <c r="Q1245">
        <f t="shared" si="296"/>
        <v>4239.514422198371</v>
      </c>
      <c r="R1245">
        <f t="shared" si="297"/>
        <v>4.2395144221983712</v>
      </c>
    </row>
    <row r="1246" spans="1:18" x14ac:dyDescent="0.3">
      <c r="A1246">
        <v>2.4900000000000002</v>
      </c>
      <c r="B1246" s="4"/>
      <c r="C1246">
        <v>-28.590982069666602</v>
      </c>
      <c r="D1246">
        <v>1.95</v>
      </c>
      <c r="E1246">
        <f t="shared" si="286"/>
        <v>178.24547429556316</v>
      </c>
      <c r="F1246">
        <f t="shared" si="287"/>
        <v>1.9539265609978256E-2</v>
      </c>
      <c r="G1246">
        <f t="shared" si="288"/>
        <v>6.043071838137605E-2</v>
      </c>
      <c r="H1246">
        <f t="shared" si="289"/>
        <v>51.986683887544032</v>
      </c>
      <c r="I1246">
        <f t="shared" si="290"/>
        <v>1.0244718338766785</v>
      </c>
      <c r="J1246">
        <f t="shared" si="291"/>
        <v>1.094650935902113</v>
      </c>
      <c r="K1246">
        <f t="shared" si="292"/>
        <v>0.56160016526436374</v>
      </c>
      <c r="L1246">
        <f t="shared" si="293"/>
        <v>1.2438317434250878</v>
      </c>
      <c r="M1246">
        <f t="shared" si="294"/>
        <v>0.99980065980588895</v>
      </c>
      <c r="N1246">
        <f t="shared" si="295"/>
        <v>1.0017030378029497</v>
      </c>
      <c r="O1246">
        <v>6.5065128902986212E-3</v>
      </c>
      <c r="P1246">
        <v>3.9786882902307051E-3</v>
      </c>
      <c r="Q1246">
        <f t="shared" si="296"/>
        <v>4239.514422198371</v>
      </c>
      <c r="R1246">
        <f t="shared" si="297"/>
        <v>4.2395144221983712</v>
      </c>
    </row>
    <row r="1247" spans="1:18" x14ac:dyDescent="0.3">
      <c r="A1247">
        <v>2.492</v>
      </c>
      <c r="B1247" s="4"/>
      <c r="C1247">
        <v>-28.590982069666602</v>
      </c>
      <c r="D1247">
        <v>1.95</v>
      </c>
      <c r="E1247">
        <f t="shared" si="286"/>
        <v>178.24547429556316</v>
      </c>
      <c r="F1247">
        <f t="shared" si="287"/>
        <v>1.9539265609978256E-2</v>
      </c>
      <c r="G1247">
        <f t="shared" si="288"/>
        <v>6.043071838137605E-2</v>
      </c>
      <c r="H1247">
        <f t="shared" si="289"/>
        <v>51.986683887544032</v>
      </c>
      <c r="I1247">
        <f t="shared" si="290"/>
        <v>1.0244718338766785</v>
      </c>
      <c r="J1247">
        <f t="shared" si="291"/>
        <v>1.094650935902113</v>
      </c>
      <c r="K1247">
        <f t="shared" si="292"/>
        <v>0.56160016526436374</v>
      </c>
      <c r="L1247">
        <f t="shared" si="293"/>
        <v>1.2438317434250878</v>
      </c>
      <c r="M1247">
        <f t="shared" si="294"/>
        <v>0.99115555715652515</v>
      </c>
      <c r="N1247">
        <f t="shared" si="295"/>
        <v>1.0002868806927954</v>
      </c>
      <c r="O1247">
        <v>6.4001789607776695E-3</v>
      </c>
      <c r="P1247">
        <v>4.1075496785403049E-3</v>
      </c>
      <c r="Q1247">
        <f t="shared" si="296"/>
        <v>4239.514422198371</v>
      </c>
      <c r="R1247">
        <f t="shared" si="297"/>
        <v>4.2395144221983712</v>
      </c>
    </row>
    <row r="1248" spans="1:18" x14ac:dyDescent="0.3">
      <c r="A1248">
        <v>2.4940000000000002</v>
      </c>
      <c r="B1248" s="4">
        <v>81</v>
      </c>
      <c r="C1248">
        <v>-28.174577714098</v>
      </c>
      <c r="D1248">
        <v>1.95</v>
      </c>
      <c r="E1248">
        <f>$E$1247+$R$1247</f>
        <v>182.48498871776152</v>
      </c>
      <c r="F1248">
        <f t="shared" si="287"/>
        <v>1.9770267848749454E-2</v>
      </c>
      <c r="G1248">
        <f t="shared" si="288"/>
        <v>6.1145158295101407E-2</v>
      </c>
      <c r="H1248">
        <f t="shared" si="289"/>
        <v>51.379254567102478</v>
      </c>
      <c r="I1248">
        <f t="shared" si="290"/>
        <v>1.0238999267155604</v>
      </c>
      <c r="J1248">
        <f t="shared" si="291"/>
        <v>1.0924024683441256</v>
      </c>
      <c r="K1248">
        <f t="shared" si="292"/>
        <v>0.56209838976227811</v>
      </c>
      <c r="L1248">
        <f t="shared" si="293"/>
        <v>1.2430034658515359</v>
      </c>
      <c r="M1248">
        <f t="shared" si="294"/>
        <v>0.99981153923089172</v>
      </c>
      <c r="N1248">
        <f t="shared" si="295"/>
        <v>1.001289564780139</v>
      </c>
      <c r="O1248">
        <v>6.4900983711057231E-3</v>
      </c>
      <c r="P1248">
        <v>4.0071353803239019E-3</v>
      </c>
      <c r="Q1248">
        <f t="shared" si="296"/>
        <v>4251.220537051925</v>
      </c>
      <c r="R1248">
        <f t="shared" si="297"/>
        <v>4.2512205370519247</v>
      </c>
    </row>
    <row r="1249" spans="1:18" x14ac:dyDescent="0.3">
      <c r="A1249">
        <v>2.496</v>
      </c>
      <c r="B1249" s="4"/>
      <c r="C1249">
        <v>-28.174577714098</v>
      </c>
      <c r="D1249">
        <v>1.95</v>
      </c>
      <c r="E1249">
        <f t="shared" ref="E1249:E1278" si="298">$E$1247+$R$1247</f>
        <v>182.48498871776152</v>
      </c>
      <c r="F1249">
        <f t="shared" si="287"/>
        <v>1.9770267848749454E-2</v>
      </c>
      <c r="G1249">
        <f t="shared" si="288"/>
        <v>6.1145158295101407E-2</v>
      </c>
      <c r="H1249">
        <f t="shared" si="289"/>
        <v>51.379254567102478</v>
      </c>
      <c r="I1249">
        <f t="shared" si="290"/>
        <v>1.0238999267155604</v>
      </c>
      <c r="J1249">
        <f t="shared" si="291"/>
        <v>1.0924024683441256</v>
      </c>
      <c r="K1249">
        <f t="shared" si="292"/>
        <v>0.56209838976227811</v>
      </c>
      <c r="L1249">
        <f t="shared" si="293"/>
        <v>1.2430034658515359</v>
      </c>
      <c r="M1249">
        <f t="shared" si="294"/>
        <v>0.99975713218993589</v>
      </c>
      <c r="N1249">
        <f t="shared" si="295"/>
        <v>1.0032994392909484</v>
      </c>
      <c r="O1249">
        <v>6.5665386629121959E-3</v>
      </c>
      <c r="P1249">
        <v>3.8922913786563844E-3</v>
      </c>
      <c r="Q1249">
        <f t="shared" si="296"/>
        <v>4251.220537051925</v>
      </c>
      <c r="R1249">
        <f t="shared" si="297"/>
        <v>4.2512205370519247</v>
      </c>
    </row>
    <row r="1250" spans="1:18" x14ac:dyDescent="0.3">
      <c r="A1250">
        <v>2.4980000000000002</v>
      </c>
      <c r="B1250" s="4"/>
      <c r="C1250">
        <v>-28.174577714098</v>
      </c>
      <c r="D1250">
        <v>1.95</v>
      </c>
      <c r="E1250">
        <f t="shared" si="298"/>
        <v>182.48498871776152</v>
      </c>
      <c r="F1250">
        <f t="shared" si="287"/>
        <v>1.9770267848749454E-2</v>
      </c>
      <c r="G1250">
        <f t="shared" si="288"/>
        <v>6.1145158295101407E-2</v>
      </c>
      <c r="H1250">
        <f t="shared" si="289"/>
        <v>51.379254567102478</v>
      </c>
      <c r="I1250">
        <f t="shared" si="290"/>
        <v>1.0238999267155604</v>
      </c>
      <c r="J1250">
        <f t="shared" si="291"/>
        <v>1.0924024683441256</v>
      </c>
      <c r="K1250">
        <f t="shared" si="292"/>
        <v>0.56209838976227811</v>
      </c>
      <c r="L1250">
        <f t="shared" si="293"/>
        <v>1.2430034658515359</v>
      </c>
      <c r="M1250">
        <f t="shared" si="294"/>
        <v>0.99970263217282818</v>
      </c>
      <c r="N1250">
        <f t="shared" si="295"/>
        <v>1.005727187613223</v>
      </c>
      <c r="O1250">
        <v>6.6308202474519721E-3</v>
      </c>
      <c r="P1250">
        <v>3.7948777997965913E-3</v>
      </c>
      <c r="Q1250">
        <f t="shared" si="296"/>
        <v>4251.220537051925</v>
      </c>
      <c r="R1250">
        <f t="shared" si="297"/>
        <v>4.2512205370519247</v>
      </c>
    </row>
    <row r="1251" spans="1:18" x14ac:dyDescent="0.3">
      <c r="A1251">
        <v>2.5</v>
      </c>
      <c r="B1251" s="4"/>
      <c r="C1251">
        <v>-28.174577714098</v>
      </c>
      <c r="D1251">
        <v>1.95</v>
      </c>
      <c r="E1251">
        <f t="shared" si="298"/>
        <v>182.48498871776152</v>
      </c>
      <c r="F1251">
        <f t="shared" si="287"/>
        <v>1.9770267848749454E-2</v>
      </c>
      <c r="G1251">
        <f t="shared" si="288"/>
        <v>6.1145158295101407E-2</v>
      </c>
      <c r="H1251">
        <f t="shared" si="289"/>
        <v>51.379254567102478</v>
      </c>
      <c r="I1251">
        <f t="shared" si="290"/>
        <v>1.0238999267155604</v>
      </c>
      <c r="J1251">
        <f t="shared" si="291"/>
        <v>1.0924024683441256</v>
      </c>
      <c r="K1251">
        <f t="shared" si="292"/>
        <v>0.56209838976227811</v>
      </c>
      <c r="L1251">
        <f t="shared" si="293"/>
        <v>1.2430034658515359</v>
      </c>
      <c r="M1251">
        <f t="shared" si="294"/>
        <v>0.99976515084210305</v>
      </c>
      <c r="N1251">
        <f t="shared" si="295"/>
        <v>1.0011763441887604</v>
      </c>
      <c r="O1251">
        <v>6.6828411389328853E-3</v>
      </c>
      <c r="P1251">
        <v>3.6887276918392432E-3</v>
      </c>
      <c r="Q1251">
        <f t="shared" si="296"/>
        <v>4251.220537051925</v>
      </c>
      <c r="R1251">
        <f t="shared" si="297"/>
        <v>4.2512205370519247</v>
      </c>
    </row>
    <row r="1252" spans="1:18" x14ac:dyDescent="0.3">
      <c r="A1252">
        <v>2.5019999999999998</v>
      </c>
      <c r="B1252" s="4"/>
      <c r="C1252">
        <v>-28.174577714098</v>
      </c>
      <c r="D1252">
        <v>1.95</v>
      </c>
      <c r="E1252">
        <f t="shared" si="298"/>
        <v>182.48498871776152</v>
      </c>
      <c r="F1252">
        <f t="shared" si="287"/>
        <v>1.9770267848749454E-2</v>
      </c>
      <c r="G1252">
        <f t="shared" si="288"/>
        <v>6.1145158295101407E-2</v>
      </c>
      <c r="H1252">
        <f t="shared" si="289"/>
        <v>51.379254567102478</v>
      </c>
      <c r="I1252">
        <f t="shared" si="290"/>
        <v>1.0238999267155604</v>
      </c>
      <c r="J1252">
        <f t="shared" si="291"/>
        <v>1.0924024683441256</v>
      </c>
      <c r="K1252">
        <f t="shared" si="292"/>
        <v>0.56209838976227811</v>
      </c>
      <c r="L1252">
        <f t="shared" si="293"/>
        <v>1.2430034658515359</v>
      </c>
      <c r="M1252">
        <f t="shared" si="294"/>
        <v>0.99982772682346921</v>
      </c>
      <c r="N1252">
        <f t="shared" si="295"/>
        <v>1.0025531779389778</v>
      </c>
      <c r="O1252">
        <v>6.7220568894175749E-3</v>
      </c>
      <c r="P1252">
        <v>3.625399013850685E-3</v>
      </c>
      <c r="Q1252">
        <f t="shared" si="296"/>
        <v>4251.220537051925</v>
      </c>
      <c r="R1252">
        <f t="shared" si="297"/>
        <v>4.2512205370519247</v>
      </c>
    </row>
    <row r="1253" spans="1:18" x14ac:dyDescent="0.3">
      <c r="A1253">
        <v>2.504</v>
      </c>
      <c r="B1253" s="4"/>
      <c r="C1253">
        <v>-28.174577714098</v>
      </c>
      <c r="D1253">
        <v>1.95</v>
      </c>
      <c r="E1253">
        <f t="shared" si="298"/>
        <v>182.48498871776152</v>
      </c>
      <c r="F1253">
        <f t="shared" si="287"/>
        <v>1.9770267848749454E-2</v>
      </c>
      <c r="G1253">
        <f t="shared" si="288"/>
        <v>6.1145158295101407E-2</v>
      </c>
      <c r="H1253">
        <f t="shared" si="289"/>
        <v>51.379254567102478</v>
      </c>
      <c r="I1253">
        <f t="shared" si="290"/>
        <v>1.0238999267155604</v>
      </c>
      <c r="J1253">
        <f t="shared" si="291"/>
        <v>1.0924024683441256</v>
      </c>
      <c r="K1253">
        <f t="shared" si="292"/>
        <v>0.56209838976227811</v>
      </c>
      <c r="L1253">
        <f t="shared" si="293"/>
        <v>1.2430034658515359</v>
      </c>
      <c r="M1253">
        <f t="shared" si="294"/>
        <v>0.99002894709993894</v>
      </c>
      <c r="N1253">
        <f t="shared" si="295"/>
        <v>1.003631783879491</v>
      </c>
      <c r="O1253">
        <v>6.726829295296455E-3</v>
      </c>
      <c r="P1253">
        <v>3.5830056864366985E-3</v>
      </c>
      <c r="Q1253">
        <f t="shared" si="296"/>
        <v>4251.220537051925</v>
      </c>
      <c r="R1253">
        <f t="shared" si="297"/>
        <v>4.2512205370519247</v>
      </c>
    </row>
    <row r="1254" spans="1:18" x14ac:dyDescent="0.3">
      <c r="A1254">
        <v>2.5059999999999998</v>
      </c>
      <c r="B1254" s="4"/>
      <c r="C1254">
        <v>-28.174577714098</v>
      </c>
      <c r="D1254">
        <v>1.95</v>
      </c>
      <c r="E1254">
        <f t="shared" si="298"/>
        <v>182.48498871776152</v>
      </c>
      <c r="F1254">
        <f t="shared" si="287"/>
        <v>1.9770267848749454E-2</v>
      </c>
      <c r="G1254">
        <f t="shared" si="288"/>
        <v>6.1145158295101407E-2</v>
      </c>
      <c r="H1254">
        <f t="shared" si="289"/>
        <v>51.379254567102478</v>
      </c>
      <c r="I1254">
        <f t="shared" si="290"/>
        <v>1.0238999267155604</v>
      </c>
      <c r="J1254">
        <f t="shared" si="291"/>
        <v>1.0924024683441256</v>
      </c>
      <c r="K1254">
        <f t="shared" si="292"/>
        <v>0.56209838976227811</v>
      </c>
      <c r="L1254">
        <f t="shared" si="293"/>
        <v>1.2430034658515359</v>
      </c>
      <c r="M1254">
        <f t="shared" si="294"/>
        <v>0.99062486187221677</v>
      </c>
      <c r="N1254">
        <f t="shared" si="295"/>
        <v>1.0042138258181617</v>
      </c>
      <c r="O1254">
        <v>6.7410676266950447E-3</v>
      </c>
      <c r="P1254">
        <v>3.5619669893890357E-3</v>
      </c>
      <c r="Q1254">
        <f t="shared" si="296"/>
        <v>4251.220537051925</v>
      </c>
      <c r="R1254">
        <f t="shared" si="297"/>
        <v>4.2512205370519247</v>
      </c>
    </row>
    <row r="1255" spans="1:18" x14ac:dyDescent="0.3">
      <c r="A1255">
        <v>2.508</v>
      </c>
      <c r="B1255" s="4"/>
      <c r="C1255">
        <v>-28.174577714098</v>
      </c>
      <c r="D1255">
        <v>1.95</v>
      </c>
      <c r="E1255">
        <f t="shared" si="298"/>
        <v>182.48498871776152</v>
      </c>
      <c r="F1255">
        <f t="shared" si="287"/>
        <v>1.9770267848749454E-2</v>
      </c>
      <c r="G1255">
        <f t="shared" si="288"/>
        <v>6.1145158295101407E-2</v>
      </c>
      <c r="H1255">
        <f t="shared" si="289"/>
        <v>51.379254567102478</v>
      </c>
      <c r="I1255">
        <f t="shared" si="290"/>
        <v>1.0238999267155604</v>
      </c>
      <c r="J1255">
        <f t="shared" si="291"/>
        <v>1.0924024683441256</v>
      </c>
      <c r="K1255">
        <f t="shared" si="292"/>
        <v>0.56209838976227811</v>
      </c>
      <c r="L1255">
        <f t="shared" si="293"/>
        <v>1.2430034658515359</v>
      </c>
      <c r="M1255">
        <f t="shared" si="294"/>
        <v>0.99060985583999217</v>
      </c>
      <c r="N1255">
        <f t="shared" si="295"/>
        <v>1.0041989581659394</v>
      </c>
      <c r="O1255">
        <v>6.7407130595465367E-3</v>
      </c>
      <c r="P1255">
        <v>3.5624907873785809E-3</v>
      </c>
      <c r="Q1255">
        <f t="shared" si="296"/>
        <v>4251.220537051925</v>
      </c>
      <c r="R1255">
        <f t="shared" si="297"/>
        <v>4.2512205370519247</v>
      </c>
    </row>
    <row r="1256" spans="1:18" x14ac:dyDescent="0.3">
      <c r="A1256">
        <v>2.5099999999999998</v>
      </c>
      <c r="B1256" s="4"/>
      <c r="C1256">
        <v>-28.174577714098</v>
      </c>
      <c r="D1256">
        <v>1.95</v>
      </c>
      <c r="E1256">
        <f t="shared" si="298"/>
        <v>182.48498871776152</v>
      </c>
      <c r="F1256">
        <f t="shared" si="287"/>
        <v>1.9770267848749454E-2</v>
      </c>
      <c r="G1256">
        <f t="shared" si="288"/>
        <v>6.1145158295101407E-2</v>
      </c>
      <c r="H1256">
        <f t="shared" si="289"/>
        <v>51.379254567102478</v>
      </c>
      <c r="I1256">
        <f t="shared" si="290"/>
        <v>1.0238999267155604</v>
      </c>
      <c r="J1256">
        <f t="shared" si="291"/>
        <v>1.0924024683441256</v>
      </c>
      <c r="K1256">
        <f t="shared" si="292"/>
        <v>0.56209838976227811</v>
      </c>
      <c r="L1256">
        <f t="shared" si="293"/>
        <v>1.2430034658515359</v>
      </c>
      <c r="M1256">
        <f t="shared" si="294"/>
        <v>0.999863749761709</v>
      </c>
      <c r="N1256">
        <f t="shared" si="295"/>
        <v>1.003589694645983</v>
      </c>
      <c r="O1256">
        <v>6.7472362637944006E-3</v>
      </c>
      <c r="P1256">
        <v>3.5845719069367296E-3</v>
      </c>
      <c r="Q1256">
        <f t="shared" si="296"/>
        <v>4251.220537051925</v>
      </c>
      <c r="R1256">
        <f t="shared" si="297"/>
        <v>4.2512205370519247</v>
      </c>
    </row>
    <row r="1257" spans="1:18" x14ac:dyDescent="0.3">
      <c r="A1257">
        <v>2.512</v>
      </c>
      <c r="B1257" s="4"/>
      <c r="C1257">
        <v>-28.174577714098</v>
      </c>
      <c r="D1257">
        <v>1.95</v>
      </c>
      <c r="E1257">
        <f t="shared" si="298"/>
        <v>182.48498871776152</v>
      </c>
      <c r="F1257">
        <f t="shared" si="287"/>
        <v>1.9770267848749454E-2</v>
      </c>
      <c r="G1257">
        <f t="shared" si="288"/>
        <v>6.1145158295101407E-2</v>
      </c>
      <c r="H1257">
        <f t="shared" si="289"/>
        <v>51.379254567102478</v>
      </c>
      <c r="I1257">
        <f t="shared" si="290"/>
        <v>1.0238999267155604</v>
      </c>
      <c r="J1257">
        <f t="shared" si="291"/>
        <v>1.0924024683441256</v>
      </c>
      <c r="K1257">
        <f t="shared" si="292"/>
        <v>0.56209838976227811</v>
      </c>
      <c r="L1257">
        <f t="shared" si="293"/>
        <v>1.2430034658515359</v>
      </c>
      <c r="M1257">
        <f t="shared" si="294"/>
        <v>0.99982532025819615</v>
      </c>
      <c r="N1257">
        <f t="shared" si="295"/>
        <v>1.0024912864843893</v>
      </c>
      <c r="O1257">
        <v>6.7204548967166001E-3</v>
      </c>
      <c r="P1257">
        <v>3.627992176780879E-3</v>
      </c>
      <c r="Q1257">
        <f t="shared" si="296"/>
        <v>4251.220537051925</v>
      </c>
      <c r="R1257">
        <f t="shared" si="297"/>
        <v>4.2512205370519247</v>
      </c>
    </row>
    <row r="1258" spans="1:18" x14ac:dyDescent="0.3">
      <c r="A1258">
        <v>2.5139999999999998</v>
      </c>
      <c r="B1258" s="4"/>
      <c r="C1258">
        <v>-28.174577714098</v>
      </c>
      <c r="D1258">
        <v>1.95</v>
      </c>
      <c r="E1258">
        <f t="shared" si="298"/>
        <v>182.48498871776152</v>
      </c>
      <c r="F1258">
        <f t="shared" si="287"/>
        <v>1.9770267848749454E-2</v>
      </c>
      <c r="G1258">
        <f t="shared" si="288"/>
        <v>6.1145158295101407E-2</v>
      </c>
      <c r="H1258">
        <f t="shared" si="289"/>
        <v>51.379254567102478</v>
      </c>
      <c r="I1258">
        <f t="shared" si="290"/>
        <v>1.0238999267155604</v>
      </c>
      <c r="J1258">
        <f t="shared" si="291"/>
        <v>1.0924024683441256</v>
      </c>
      <c r="K1258">
        <f t="shared" si="292"/>
        <v>0.56209838976227811</v>
      </c>
      <c r="L1258">
        <f t="shared" si="293"/>
        <v>1.2430034658515359</v>
      </c>
      <c r="M1258">
        <f t="shared" si="294"/>
        <v>0.9997613707479307</v>
      </c>
      <c r="N1258">
        <f t="shared" si="295"/>
        <v>1.0011066150169756</v>
      </c>
      <c r="O1258">
        <v>6.6806094913602091E-3</v>
      </c>
      <c r="P1258">
        <v>3.6923221316050793E-3</v>
      </c>
      <c r="Q1258">
        <f t="shared" si="296"/>
        <v>4251.220537051925</v>
      </c>
      <c r="R1258">
        <f t="shared" si="297"/>
        <v>4.2512205370519247</v>
      </c>
    </row>
    <row r="1259" spans="1:18" x14ac:dyDescent="0.3">
      <c r="A1259">
        <v>2.516</v>
      </c>
      <c r="B1259" s="4"/>
      <c r="C1259">
        <v>-28.174577714098</v>
      </c>
      <c r="D1259">
        <v>1.95</v>
      </c>
      <c r="E1259">
        <f t="shared" si="298"/>
        <v>182.48498871776152</v>
      </c>
      <c r="F1259">
        <f t="shared" si="287"/>
        <v>1.9770267848749454E-2</v>
      </c>
      <c r="G1259">
        <f t="shared" si="288"/>
        <v>6.1145158295101407E-2</v>
      </c>
      <c r="H1259">
        <f t="shared" si="289"/>
        <v>51.379254567102478</v>
      </c>
      <c r="I1259">
        <f t="shared" si="290"/>
        <v>1.0238999267155604</v>
      </c>
      <c r="J1259">
        <f t="shared" si="291"/>
        <v>1.0924024683441256</v>
      </c>
      <c r="K1259">
        <f t="shared" si="292"/>
        <v>0.56209838976227811</v>
      </c>
      <c r="L1259">
        <f t="shared" si="293"/>
        <v>1.2430034658515359</v>
      </c>
      <c r="M1259">
        <f t="shared" si="294"/>
        <v>0.99970521542776891</v>
      </c>
      <c r="N1259">
        <f t="shared" si="295"/>
        <v>1.0056057842721196</v>
      </c>
      <c r="O1259">
        <v>6.6279880866259612E-3</v>
      </c>
      <c r="P1259">
        <v>3.7991857727825147E-3</v>
      </c>
      <c r="Q1259">
        <f t="shared" si="296"/>
        <v>4251.220537051925</v>
      </c>
      <c r="R1259">
        <f t="shared" si="297"/>
        <v>4.2512205370519247</v>
      </c>
    </row>
    <row r="1260" spans="1:18" x14ac:dyDescent="0.3">
      <c r="A1260">
        <v>2.5179999999999998</v>
      </c>
      <c r="B1260" s="4"/>
      <c r="C1260">
        <v>-28.174577714098</v>
      </c>
      <c r="D1260">
        <v>1.95</v>
      </c>
      <c r="E1260">
        <f t="shared" si="298"/>
        <v>182.48498871776152</v>
      </c>
      <c r="F1260">
        <f t="shared" si="287"/>
        <v>1.9770267848749454E-2</v>
      </c>
      <c r="G1260">
        <f t="shared" si="288"/>
        <v>6.1145158295101407E-2</v>
      </c>
      <c r="H1260">
        <f t="shared" si="289"/>
        <v>51.379254567102478</v>
      </c>
      <c r="I1260">
        <f t="shared" si="290"/>
        <v>1.0238999267155604</v>
      </c>
      <c r="J1260">
        <f t="shared" si="291"/>
        <v>1.0924024683441256</v>
      </c>
      <c r="K1260">
        <f t="shared" si="292"/>
        <v>0.56209838976227811</v>
      </c>
      <c r="L1260">
        <f t="shared" si="293"/>
        <v>1.2430034658515359</v>
      </c>
      <c r="M1260">
        <f t="shared" si="294"/>
        <v>0.99975980658834041</v>
      </c>
      <c r="N1260">
        <f t="shared" si="295"/>
        <v>1.003188990232815</v>
      </c>
      <c r="O1260">
        <v>6.5631080346334547E-3</v>
      </c>
      <c r="P1260">
        <v>3.8974687586883754E-3</v>
      </c>
      <c r="Q1260">
        <f t="shared" si="296"/>
        <v>4251.220537051925</v>
      </c>
      <c r="R1260">
        <f t="shared" si="297"/>
        <v>4.2512205370519247</v>
      </c>
    </row>
    <row r="1261" spans="1:18" x14ac:dyDescent="0.3">
      <c r="A1261">
        <v>2.52</v>
      </c>
      <c r="B1261" s="4"/>
      <c r="C1261">
        <v>-28.174577714098</v>
      </c>
      <c r="D1261">
        <v>1.95</v>
      </c>
      <c r="E1261">
        <f t="shared" si="298"/>
        <v>182.48498871776152</v>
      </c>
      <c r="F1261">
        <f t="shared" si="287"/>
        <v>1.9770267848749454E-2</v>
      </c>
      <c r="G1261">
        <f t="shared" si="288"/>
        <v>6.1145158295101407E-2</v>
      </c>
      <c r="H1261">
        <f t="shared" si="289"/>
        <v>51.379254567102478</v>
      </c>
      <c r="I1261">
        <f t="shared" si="290"/>
        <v>1.0238999267155604</v>
      </c>
      <c r="J1261">
        <f t="shared" si="291"/>
        <v>1.0924024683441256</v>
      </c>
      <c r="K1261">
        <f t="shared" si="292"/>
        <v>0.56209838976227811</v>
      </c>
      <c r="L1261">
        <f t="shared" si="293"/>
        <v>1.2430034658515359</v>
      </c>
      <c r="M1261">
        <f t="shared" si="294"/>
        <v>0.99981410747559596</v>
      </c>
      <c r="N1261">
        <f t="shared" si="295"/>
        <v>1.0012099427087369</v>
      </c>
      <c r="O1261">
        <v>6.4860880875006032E-3</v>
      </c>
      <c r="P1261">
        <v>4.0131305103606836E-3</v>
      </c>
      <c r="Q1261">
        <f t="shared" si="296"/>
        <v>4251.220537051925</v>
      </c>
      <c r="R1261">
        <f t="shared" si="297"/>
        <v>4.2512205370519247</v>
      </c>
    </row>
    <row r="1262" spans="1:18" x14ac:dyDescent="0.3">
      <c r="A1262">
        <v>2.5219999999999998</v>
      </c>
      <c r="B1262" s="4"/>
      <c r="C1262">
        <v>-28.174577714098</v>
      </c>
      <c r="D1262">
        <v>1.95</v>
      </c>
      <c r="E1262">
        <f t="shared" si="298"/>
        <v>182.48498871776152</v>
      </c>
      <c r="F1262">
        <f t="shared" si="287"/>
        <v>1.9770267848749454E-2</v>
      </c>
      <c r="G1262">
        <f t="shared" si="288"/>
        <v>6.1145158295101407E-2</v>
      </c>
      <c r="H1262">
        <f t="shared" si="289"/>
        <v>51.379254567102478</v>
      </c>
      <c r="I1262">
        <f t="shared" si="290"/>
        <v>1.0238999267155604</v>
      </c>
      <c r="J1262">
        <f t="shared" si="291"/>
        <v>1.0924024683441256</v>
      </c>
      <c r="K1262">
        <f t="shared" si="292"/>
        <v>0.56209838976227811</v>
      </c>
      <c r="L1262">
        <f t="shared" si="293"/>
        <v>1.2430034658515359</v>
      </c>
      <c r="M1262">
        <f t="shared" si="294"/>
        <v>0.99162348254697419</v>
      </c>
      <c r="N1262">
        <f t="shared" si="295"/>
        <v>1.0000924835203726</v>
      </c>
      <c r="O1262">
        <v>6.3785271527875024E-3</v>
      </c>
      <c r="P1262">
        <v>4.1450146490337892E-3</v>
      </c>
      <c r="Q1262">
        <f t="shared" si="296"/>
        <v>4251.220537051925</v>
      </c>
      <c r="R1262">
        <f t="shared" si="297"/>
        <v>4.2512205370519247</v>
      </c>
    </row>
    <row r="1263" spans="1:18" x14ac:dyDescent="0.3">
      <c r="A1263">
        <v>2.524</v>
      </c>
      <c r="B1263" s="4"/>
      <c r="C1263">
        <v>-28.174577714098</v>
      </c>
      <c r="D1263">
        <v>1.95</v>
      </c>
      <c r="E1263">
        <f t="shared" si="298"/>
        <v>182.48498871776152</v>
      </c>
      <c r="F1263">
        <f t="shared" si="287"/>
        <v>1.9770267848749454E-2</v>
      </c>
      <c r="G1263">
        <f t="shared" si="288"/>
        <v>6.1145158295101407E-2</v>
      </c>
      <c r="H1263">
        <f t="shared" si="289"/>
        <v>51.379254567102478</v>
      </c>
      <c r="I1263">
        <f t="shared" si="290"/>
        <v>1.0238999267155604</v>
      </c>
      <c r="J1263">
        <f t="shared" si="291"/>
        <v>1.0924024683441256</v>
      </c>
      <c r="K1263">
        <f t="shared" si="292"/>
        <v>0.56209838976227811</v>
      </c>
      <c r="L1263">
        <f t="shared" si="293"/>
        <v>1.2430034658515359</v>
      </c>
      <c r="M1263">
        <f t="shared" si="294"/>
        <v>0.99348323313967113</v>
      </c>
      <c r="N1263">
        <f t="shared" si="295"/>
        <v>0.99201915624373793</v>
      </c>
      <c r="O1263">
        <v>6.2825195337855655E-3</v>
      </c>
      <c r="P1263">
        <v>4.2640495973545207E-3</v>
      </c>
      <c r="Q1263">
        <f t="shared" si="296"/>
        <v>4251.220537051925</v>
      </c>
      <c r="R1263">
        <f t="shared" si="297"/>
        <v>4.2512205370519247</v>
      </c>
    </row>
    <row r="1264" spans="1:18" x14ac:dyDescent="0.3">
      <c r="A1264">
        <v>2.5259999999999998</v>
      </c>
      <c r="B1264" s="4"/>
      <c r="C1264">
        <v>-28.174577714098</v>
      </c>
      <c r="D1264">
        <v>1.95</v>
      </c>
      <c r="E1264">
        <f t="shared" si="298"/>
        <v>182.48498871776152</v>
      </c>
      <c r="F1264">
        <f t="shared" si="287"/>
        <v>1.9770267848749454E-2</v>
      </c>
      <c r="G1264">
        <f t="shared" si="288"/>
        <v>6.1145158295101407E-2</v>
      </c>
      <c r="H1264">
        <f t="shared" si="289"/>
        <v>51.379254567102478</v>
      </c>
      <c r="I1264">
        <f t="shared" si="290"/>
        <v>1.0238999267155604</v>
      </c>
      <c r="J1264">
        <f t="shared" si="291"/>
        <v>1.0924024683441256</v>
      </c>
      <c r="K1264">
        <f t="shared" si="292"/>
        <v>0.56209838976227811</v>
      </c>
      <c r="L1264">
        <f t="shared" si="293"/>
        <v>1.2430034658515359</v>
      </c>
      <c r="M1264">
        <f t="shared" si="294"/>
        <v>0.99520113509023878</v>
      </c>
      <c r="N1264">
        <f t="shared" si="295"/>
        <v>1.0014696815179711</v>
      </c>
      <c r="O1264">
        <v>6.1756718543917576E-3</v>
      </c>
      <c r="P1264">
        <v>4.4497067528214704E-3</v>
      </c>
      <c r="Q1264">
        <f t="shared" si="296"/>
        <v>4251.220537051925</v>
      </c>
      <c r="R1264">
        <f t="shared" si="297"/>
        <v>4.2512205370519247</v>
      </c>
    </row>
    <row r="1265" spans="1:18" x14ac:dyDescent="0.3">
      <c r="A1265">
        <v>2.528</v>
      </c>
      <c r="B1265" s="4"/>
      <c r="C1265">
        <v>-28.174577714098</v>
      </c>
      <c r="D1265">
        <v>1.95</v>
      </c>
      <c r="E1265">
        <f t="shared" si="298"/>
        <v>182.48498871776152</v>
      </c>
      <c r="F1265">
        <f t="shared" si="287"/>
        <v>1.9770267848749454E-2</v>
      </c>
      <c r="G1265">
        <f t="shared" si="288"/>
        <v>6.1145158295101407E-2</v>
      </c>
      <c r="H1265">
        <f t="shared" si="289"/>
        <v>51.379254567102478</v>
      </c>
      <c r="I1265">
        <f t="shared" si="290"/>
        <v>1.0238999267155604</v>
      </c>
      <c r="J1265">
        <f t="shared" si="291"/>
        <v>1.0924024683441256</v>
      </c>
      <c r="K1265">
        <f t="shared" si="292"/>
        <v>0.56209838976227811</v>
      </c>
      <c r="L1265">
        <f t="shared" si="293"/>
        <v>1.2430034658515359</v>
      </c>
      <c r="M1265">
        <f t="shared" si="294"/>
        <v>0.99670478314832356</v>
      </c>
      <c r="N1265">
        <f t="shared" si="295"/>
        <v>1.0049184615514246</v>
      </c>
      <c r="O1265">
        <v>6.0584859123345245E-3</v>
      </c>
      <c r="P1265">
        <v>4.6199886373617651E-3</v>
      </c>
      <c r="Q1265">
        <f t="shared" si="296"/>
        <v>4251.220537051925</v>
      </c>
      <c r="R1265">
        <f t="shared" si="297"/>
        <v>4.2512205370519247</v>
      </c>
    </row>
    <row r="1266" spans="1:18" x14ac:dyDescent="0.3">
      <c r="A1266">
        <v>2.5299999999999998</v>
      </c>
      <c r="B1266" s="4"/>
      <c r="C1266">
        <v>-28.174577714098</v>
      </c>
      <c r="D1266">
        <v>1.95</v>
      </c>
      <c r="E1266">
        <f t="shared" si="298"/>
        <v>182.48498871776152</v>
      </c>
      <c r="F1266">
        <f t="shared" si="287"/>
        <v>1.9770267848749454E-2</v>
      </c>
      <c r="G1266">
        <f t="shared" si="288"/>
        <v>6.1145158295101407E-2</v>
      </c>
      <c r="H1266">
        <f t="shared" si="289"/>
        <v>51.379254567102478</v>
      </c>
      <c r="I1266">
        <f t="shared" si="290"/>
        <v>1.0238999267155604</v>
      </c>
      <c r="J1266">
        <f t="shared" si="291"/>
        <v>1.0924024683441256</v>
      </c>
      <c r="K1266">
        <f t="shared" si="292"/>
        <v>0.56209838976227811</v>
      </c>
      <c r="L1266">
        <f t="shared" si="293"/>
        <v>1.2430034658515359</v>
      </c>
      <c r="M1266">
        <f t="shared" si="294"/>
        <v>0.99794072804622025</v>
      </c>
      <c r="N1266">
        <f t="shared" si="295"/>
        <v>1.0015184615410169</v>
      </c>
      <c r="O1266">
        <v>5.9315761624696515E-3</v>
      </c>
      <c r="P1266">
        <v>4.7723892023140294E-3</v>
      </c>
      <c r="Q1266">
        <f t="shared" si="296"/>
        <v>4251.220537051925</v>
      </c>
      <c r="R1266">
        <f t="shared" si="297"/>
        <v>4.2512205370519247</v>
      </c>
    </row>
    <row r="1267" spans="1:18" x14ac:dyDescent="0.3">
      <c r="A1267">
        <v>2.532</v>
      </c>
      <c r="B1267" s="4"/>
      <c r="C1267">
        <v>-28.174577714098</v>
      </c>
      <c r="D1267">
        <v>1.95</v>
      </c>
      <c r="E1267">
        <f t="shared" si="298"/>
        <v>182.48498871776152</v>
      </c>
      <c r="F1267">
        <f t="shared" si="287"/>
        <v>1.9770267848749454E-2</v>
      </c>
      <c r="G1267">
        <f t="shared" si="288"/>
        <v>6.1145158295101407E-2</v>
      </c>
      <c r="H1267">
        <f t="shared" si="289"/>
        <v>51.379254567102478</v>
      </c>
      <c r="I1267">
        <f t="shared" si="290"/>
        <v>1.0238999267155604</v>
      </c>
      <c r="J1267">
        <f t="shared" si="291"/>
        <v>1.0924024683441256</v>
      </c>
      <c r="K1267">
        <f t="shared" si="292"/>
        <v>0.56209838976227811</v>
      </c>
      <c r="L1267">
        <f t="shared" si="293"/>
        <v>1.2430034658515359</v>
      </c>
      <c r="M1267">
        <f t="shared" si="294"/>
        <v>0.99887878457467882</v>
      </c>
      <c r="N1267">
        <f t="shared" si="295"/>
        <v>1.0062970262027826</v>
      </c>
      <c r="O1267">
        <v>5.795685747943014E-3</v>
      </c>
      <c r="P1267">
        <v>4.9509311459417817E-3</v>
      </c>
      <c r="Q1267">
        <f t="shared" si="296"/>
        <v>4251.220537051925</v>
      </c>
      <c r="R1267">
        <f t="shared" si="297"/>
        <v>4.2512205370519247</v>
      </c>
    </row>
    <row r="1268" spans="1:18" x14ac:dyDescent="0.3">
      <c r="A1268">
        <v>2.5339999999999998</v>
      </c>
      <c r="B1268" s="4"/>
      <c r="C1268">
        <v>-28.174577714098</v>
      </c>
      <c r="D1268">
        <v>1.95</v>
      </c>
      <c r="E1268">
        <f t="shared" si="298"/>
        <v>182.48498871776152</v>
      </c>
      <c r="F1268">
        <f t="shared" si="287"/>
        <v>1.9770267848749454E-2</v>
      </c>
      <c r="G1268">
        <f t="shared" si="288"/>
        <v>6.1145158295101407E-2</v>
      </c>
      <c r="H1268">
        <f t="shared" si="289"/>
        <v>51.379254567102478</v>
      </c>
      <c r="I1268">
        <f t="shared" si="290"/>
        <v>1.0238999267155604</v>
      </c>
      <c r="J1268">
        <f t="shared" si="291"/>
        <v>1.0924024683441256</v>
      </c>
      <c r="K1268">
        <f t="shared" si="292"/>
        <v>0.56209838976227811</v>
      </c>
      <c r="L1268">
        <f t="shared" si="293"/>
        <v>1.2430034658515359</v>
      </c>
      <c r="M1268">
        <f t="shared" si="294"/>
        <v>0.99951479665301424</v>
      </c>
      <c r="N1268">
        <f t="shared" si="295"/>
        <v>0.99943598641905185</v>
      </c>
      <c r="O1268">
        <v>5.6517025404339612E-3</v>
      </c>
      <c r="P1268">
        <v>5.0954648786259073E-3</v>
      </c>
      <c r="Q1268">
        <f t="shared" si="296"/>
        <v>4251.220537051925</v>
      </c>
      <c r="R1268">
        <f t="shared" si="297"/>
        <v>4.2512205370519247</v>
      </c>
    </row>
    <row r="1269" spans="1:18" x14ac:dyDescent="0.3">
      <c r="A1269">
        <v>2.536</v>
      </c>
      <c r="B1269" s="4"/>
      <c r="C1269">
        <v>-28.174577714098</v>
      </c>
      <c r="D1269">
        <v>1.95</v>
      </c>
      <c r="E1269">
        <f t="shared" si="298"/>
        <v>182.48498871776152</v>
      </c>
      <c r="F1269">
        <f t="shared" si="287"/>
        <v>1.9770267848749454E-2</v>
      </c>
      <c r="G1269">
        <f t="shared" si="288"/>
        <v>6.1145158295101407E-2</v>
      </c>
      <c r="H1269">
        <f t="shared" si="289"/>
        <v>51.379254567102478</v>
      </c>
      <c r="I1269">
        <f t="shared" si="290"/>
        <v>1.0238999267155604</v>
      </c>
      <c r="J1269">
        <f t="shared" si="291"/>
        <v>1.0924024683441256</v>
      </c>
      <c r="K1269">
        <f t="shared" si="292"/>
        <v>0.56209838976227811</v>
      </c>
      <c r="L1269">
        <f t="shared" si="293"/>
        <v>1.2430034658515359</v>
      </c>
      <c r="M1269">
        <f t="shared" si="294"/>
        <v>1.007354115095872</v>
      </c>
      <c r="N1269">
        <f t="shared" si="295"/>
        <v>0.99867134712995753</v>
      </c>
      <c r="O1269">
        <v>5.5203546964399637E-3</v>
      </c>
      <c r="P1269">
        <v>5.256122645725377E-3</v>
      </c>
      <c r="Q1269">
        <f t="shared" si="296"/>
        <v>4251.220537051925</v>
      </c>
      <c r="R1269">
        <f t="shared" si="297"/>
        <v>4.2512205370519247</v>
      </c>
    </row>
    <row r="1270" spans="1:18" x14ac:dyDescent="0.3">
      <c r="A1270">
        <v>2.5379999999999998</v>
      </c>
      <c r="B1270" s="4"/>
      <c r="C1270">
        <v>-28.174577714098</v>
      </c>
      <c r="D1270">
        <v>1.95</v>
      </c>
      <c r="E1270">
        <f t="shared" si="298"/>
        <v>182.48498871776152</v>
      </c>
      <c r="F1270">
        <f t="shared" si="287"/>
        <v>1.9770267848749454E-2</v>
      </c>
      <c r="G1270">
        <f t="shared" si="288"/>
        <v>6.1145158295101407E-2</v>
      </c>
      <c r="H1270">
        <f t="shared" si="289"/>
        <v>51.379254567102478</v>
      </c>
      <c r="I1270">
        <f t="shared" si="290"/>
        <v>1.0238999267155604</v>
      </c>
      <c r="J1270">
        <f t="shared" si="291"/>
        <v>1.0924024683441256</v>
      </c>
      <c r="K1270">
        <f t="shared" si="292"/>
        <v>0.56209838976227811</v>
      </c>
      <c r="L1270">
        <f t="shared" si="293"/>
        <v>1.2430034658515359</v>
      </c>
      <c r="M1270">
        <f t="shared" si="294"/>
        <v>1.0010311177595272</v>
      </c>
      <c r="N1270">
        <f t="shared" si="295"/>
        <v>0.99745821701393877</v>
      </c>
      <c r="O1270">
        <v>5.3466234408055613E-3</v>
      </c>
      <c r="P1270">
        <v>5.4124179873143354E-3</v>
      </c>
      <c r="Q1270">
        <f t="shared" si="296"/>
        <v>4251.220537051925</v>
      </c>
      <c r="R1270">
        <f t="shared" si="297"/>
        <v>4.2512205370519247</v>
      </c>
    </row>
    <row r="1271" spans="1:18" x14ac:dyDescent="0.3">
      <c r="A1271">
        <v>2.54</v>
      </c>
      <c r="B1271" s="4"/>
      <c r="C1271">
        <v>-28.174577714098</v>
      </c>
      <c r="D1271">
        <v>1.95</v>
      </c>
      <c r="E1271">
        <f t="shared" si="298"/>
        <v>182.48498871776152</v>
      </c>
      <c r="F1271">
        <f t="shared" si="287"/>
        <v>1.9770267848749454E-2</v>
      </c>
      <c r="G1271">
        <f t="shared" si="288"/>
        <v>6.1145158295101407E-2</v>
      </c>
      <c r="H1271">
        <f t="shared" si="289"/>
        <v>51.379254567102478</v>
      </c>
      <c r="I1271">
        <f t="shared" si="290"/>
        <v>1.0238999267155604</v>
      </c>
      <c r="J1271">
        <f t="shared" si="291"/>
        <v>1.0924024683441256</v>
      </c>
      <c r="K1271">
        <f t="shared" si="292"/>
        <v>0.56209838976227811</v>
      </c>
      <c r="L1271">
        <f t="shared" si="293"/>
        <v>1.2430034658515359</v>
      </c>
      <c r="M1271">
        <f t="shared" si="294"/>
        <v>0.99784072948380209</v>
      </c>
      <c r="N1271">
        <f t="shared" si="295"/>
        <v>1.0014518501030198</v>
      </c>
      <c r="O1271">
        <v>5.1766318451272166E-3</v>
      </c>
      <c r="P1271">
        <v>5.5778263494052713E-3</v>
      </c>
      <c r="Q1271">
        <f t="shared" si="296"/>
        <v>4251.220537051925</v>
      </c>
      <c r="R1271">
        <f t="shared" si="297"/>
        <v>4.2512205370519247</v>
      </c>
    </row>
    <row r="1272" spans="1:18" x14ac:dyDescent="0.3">
      <c r="A1272">
        <v>2.5419999999999998</v>
      </c>
      <c r="B1272" s="4"/>
      <c r="C1272">
        <v>-28.174577714098</v>
      </c>
      <c r="D1272">
        <v>1.95</v>
      </c>
      <c r="E1272">
        <f t="shared" si="298"/>
        <v>182.48498871776152</v>
      </c>
      <c r="F1272">
        <f t="shared" si="287"/>
        <v>1.9770267848749454E-2</v>
      </c>
      <c r="G1272">
        <f t="shared" si="288"/>
        <v>6.1145158295101407E-2</v>
      </c>
      <c r="H1272">
        <f t="shared" si="289"/>
        <v>51.379254567102478</v>
      </c>
      <c r="I1272">
        <f t="shared" si="290"/>
        <v>1.0238999267155604</v>
      </c>
      <c r="J1272">
        <f t="shared" si="291"/>
        <v>1.0924024683441256</v>
      </c>
      <c r="K1272">
        <f t="shared" si="292"/>
        <v>0.56209838976227811</v>
      </c>
      <c r="L1272">
        <f t="shared" si="293"/>
        <v>1.2430034658515359</v>
      </c>
      <c r="M1272">
        <f t="shared" si="294"/>
        <v>0.9989519335184609</v>
      </c>
      <c r="N1272">
        <f t="shared" si="295"/>
        <v>1.0077136768655941</v>
      </c>
      <c r="O1272">
        <v>5.0158733313775527E-3</v>
      </c>
      <c r="P1272">
        <v>5.7426137048724145E-3</v>
      </c>
      <c r="Q1272">
        <f t="shared" si="296"/>
        <v>4251.220537051925</v>
      </c>
      <c r="R1272">
        <f t="shared" si="297"/>
        <v>4.2512205370519247</v>
      </c>
    </row>
    <row r="1273" spans="1:18" x14ac:dyDescent="0.3">
      <c r="A1273">
        <v>2.544</v>
      </c>
      <c r="B1273" s="4"/>
      <c r="C1273">
        <v>-28.174577714098</v>
      </c>
      <c r="D1273">
        <v>1.95</v>
      </c>
      <c r="E1273">
        <f t="shared" si="298"/>
        <v>182.48498871776152</v>
      </c>
      <c r="F1273">
        <f t="shared" si="287"/>
        <v>1.9770267848749454E-2</v>
      </c>
      <c r="G1273">
        <f t="shared" si="288"/>
        <v>6.1145158295101407E-2</v>
      </c>
      <c r="H1273">
        <f t="shared" si="289"/>
        <v>51.379254567102478</v>
      </c>
      <c r="I1273">
        <f t="shared" si="290"/>
        <v>1.0238999267155604</v>
      </c>
      <c r="J1273">
        <f t="shared" si="291"/>
        <v>1.0924024683441256</v>
      </c>
      <c r="K1273">
        <f t="shared" si="292"/>
        <v>0.56209838976227811</v>
      </c>
      <c r="L1273">
        <f t="shared" si="293"/>
        <v>1.2430034658515359</v>
      </c>
      <c r="M1273">
        <f t="shared" si="294"/>
        <v>0.99960427377804328</v>
      </c>
      <c r="N1273">
        <f t="shared" si="295"/>
        <v>0.99954405276829827</v>
      </c>
      <c r="O1273">
        <v>4.8528758579046523E-3</v>
      </c>
      <c r="P1273">
        <v>5.8640889088345484E-3</v>
      </c>
      <c r="Q1273">
        <f t="shared" si="296"/>
        <v>4251.220537051925</v>
      </c>
      <c r="R1273">
        <f t="shared" si="297"/>
        <v>4.2512205370519247</v>
      </c>
    </row>
    <row r="1274" spans="1:18" x14ac:dyDescent="0.3">
      <c r="A1274">
        <v>2.5459999999999998</v>
      </c>
      <c r="B1274" s="4"/>
      <c r="C1274">
        <v>-28.174577714098</v>
      </c>
      <c r="D1274">
        <v>1.95</v>
      </c>
      <c r="E1274">
        <f t="shared" si="298"/>
        <v>182.48498871776152</v>
      </c>
      <c r="F1274">
        <f t="shared" si="287"/>
        <v>1.9770267848749454E-2</v>
      </c>
      <c r="G1274">
        <f t="shared" si="288"/>
        <v>6.1145158295101407E-2</v>
      </c>
      <c r="H1274">
        <f t="shared" si="289"/>
        <v>51.379254567102478</v>
      </c>
      <c r="I1274">
        <f t="shared" si="290"/>
        <v>1.0238999267155604</v>
      </c>
      <c r="J1274">
        <f t="shared" si="291"/>
        <v>1.0924024683441256</v>
      </c>
      <c r="K1274">
        <f t="shared" si="292"/>
        <v>0.56209838976227811</v>
      </c>
      <c r="L1274">
        <f t="shared" si="293"/>
        <v>1.2430034658515359</v>
      </c>
      <c r="M1274">
        <f t="shared" si="294"/>
        <v>1.0042699537631701</v>
      </c>
      <c r="N1274">
        <f t="shared" si="295"/>
        <v>0.99899491040088373</v>
      </c>
      <c r="O1274">
        <v>4.7029354755308422E-3</v>
      </c>
      <c r="P1274">
        <v>5.9970436030028114E-3</v>
      </c>
      <c r="Q1274">
        <f t="shared" si="296"/>
        <v>4251.220537051925</v>
      </c>
      <c r="R1274">
        <f t="shared" si="297"/>
        <v>4.2512205370519247</v>
      </c>
    </row>
    <row r="1275" spans="1:18" x14ac:dyDescent="0.3">
      <c r="A1275">
        <v>2.548</v>
      </c>
      <c r="B1275" s="4"/>
      <c r="C1275">
        <v>-28.174577714098</v>
      </c>
      <c r="D1275">
        <v>1.95</v>
      </c>
      <c r="E1275">
        <f t="shared" si="298"/>
        <v>182.48498871776152</v>
      </c>
      <c r="F1275">
        <f t="shared" si="287"/>
        <v>1.9770267848749454E-2</v>
      </c>
      <c r="G1275">
        <f t="shared" si="288"/>
        <v>6.1145158295101407E-2</v>
      </c>
      <c r="H1275">
        <f t="shared" si="289"/>
        <v>51.379254567102478</v>
      </c>
      <c r="I1275">
        <f t="shared" si="290"/>
        <v>1.0238999267155604</v>
      </c>
      <c r="J1275">
        <f t="shared" si="291"/>
        <v>1.0924024683441256</v>
      </c>
      <c r="K1275">
        <f t="shared" si="292"/>
        <v>0.56209838976227811</v>
      </c>
      <c r="L1275">
        <f t="shared" si="293"/>
        <v>1.2430034658515359</v>
      </c>
      <c r="M1275">
        <f t="shared" si="294"/>
        <v>0.99134221032747449</v>
      </c>
      <c r="N1275">
        <f t="shared" si="295"/>
        <v>0.99821853027609841</v>
      </c>
      <c r="O1275">
        <v>4.5004490409645539E-3</v>
      </c>
      <c r="P1275">
        <v>6.1207449634470244E-3</v>
      </c>
      <c r="Q1275">
        <f t="shared" si="296"/>
        <v>4251.220537051925</v>
      </c>
      <c r="R1275">
        <f t="shared" si="297"/>
        <v>4.2512205370519247</v>
      </c>
    </row>
    <row r="1276" spans="1:18" x14ac:dyDescent="0.3">
      <c r="A1276">
        <v>2.5499999999999998</v>
      </c>
      <c r="B1276" s="4"/>
      <c r="C1276">
        <v>-28.174577714098</v>
      </c>
      <c r="D1276">
        <v>1.95</v>
      </c>
      <c r="E1276">
        <f t="shared" si="298"/>
        <v>182.48498871776152</v>
      </c>
      <c r="F1276">
        <f t="shared" si="287"/>
        <v>1.9770267848749454E-2</v>
      </c>
      <c r="G1276">
        <f t="shared" si="288"/>
        <v>6.1145158295101407E-2</v>
      </c>
      <c r="H1276">
        <f t="shared" si="289"/>
        <v>51.379254567102478</v>
      </c>
      <c r="I1276">
        <f t="shared" si="290"/>
        <v>1.0238999267155604</v>
      </c>
      <c r="J1276">
        <f t="shared" si="291"/>
        <v>1.0924024683441256</v>
      </c>
      <c r="K1276">
        <f t="shared" si="292"/>
        <v>0.56209838976227811</v>
      </c>
      <c r="L1276">
        <f t="shared" si="293"/>
        <v>1.2430034658515359</v>
      </c>
      <c r="M1276">
        <f t="shared" si="294"/>
        <v>1.0032561804570532</v>
      </c>
      <c r="N1276">
        <f t="shared" si="295"/>
        <v>0.99723496492985686</v>
      </c>
      <c r="O1276">
        <v>4.3814953248566832E-3</v>
      </c>
      <c r="P1276">
        <v>6.2344635315193103E-3</v>
      </c>
      <c r="Q1276">
        <f t="shared" si="296"/>
        <v>4251.220537051925</v>
      </c>
      <c r="R1276">
        <f t="shared" si="297"/>
        <v>4.2512205370519247</v>
      </c>
    </row>
    <row r="1277" spans="1:18" x14ac:dyDescent="0.3">
      <c r="A1277">
        <v>2.552</v>
      </c>
      <c r="B1277" s="4"/>
      <c r="C1277">
        <v>-28.174577714098</v>
      </c>
      <c r="D1277">
        <v>1.95</v>
      </c>
      <c r="E1277">
        <f t="shared" si="298"/>
        <v>182.48498871776152</v>
      </c>
      <c r="F1277">
        <f t="shared" si="287"/>
        <v>1.9770267848749454E-2</v>
      </c>
      <c r="G1277">
        <f t="shared" si="288"/>
        <v>6.1145158295101407E-2</v>
      </c>
      <c r="H1277">
        <f t="shared" si="289"/>
        <v>51.379254567102478</v>
      </c>
      <c r="I1277">
        <f t="shared" si="290"/>
        <v>1.0238999267155604</v>
      </c>
      <c r="J1277">
        <f t="shared" si="291"/>
        <v>1.0924024683441256</v>
      </c>
      <c r="K1277">
        <f t="shared" si="292"/>
        <v>0.56209838976227811</v>
      </c>
      <c r="L1277">
        <f t="shared" si="293"/>
        <v>1.2430034658515359</v>
      </c>
      <c r="M1277">
        <f t="shared" si="294"/>
        <v>1.0007475353201913</v>
      </c>
      <c r="N1277">
        <f t="shared" si="295"/>
        <v>0.99608436135708778</v>
      </c>
      <c r="O1277">
        <v>4.222724779626273E-3</v>
      </c>
      <c r="P1277">
        <v>6.3375922207466167E-3</v>
      </c>
      <c r="Q1277">
        <f t="shared" si="296"/>
        <v>4251.220537051925</v>
      </c>
      <c r="R1277">
        <f t="shared" si="297"/>
        <v>4.2512205370519247</v>
      </c>
    </row>
    <row r="1278" spans="1:18" x14ac:dyDescent="0.3">
      <c r="A1278">
        <v>2.5539999999999998</v>
      </c>
      <c r="B1278" s="4"/>
      <c r="C1278">
        <v>-28.174577714098</v>
      </c>
      <c r="D1278">
        <v>1.95</v>
      </c>
      <c r="E1278">
        <f t="shared" si="298"/>
        <v>182.48498871776152</v>
      </c>
      <c r="F1278">
        <f t="shared" si="287"/>
        <v>1.9770267848749454E-2</v>
      </c>
      <c r="G1278">
        <f t="shared" si="288"/>
        <v>6.1145158295101407E-2</v>
      </c>
      <c r="H1278">
        <f t="shared" si="289"/>
        <v>51.379254567102478</v>
      </c>
      <c r="I1278">
        <f t="shared" si="290"/>
        <v>1.0238999267155604</v>
      </c>
      <c r="J1278">
        <f t="shared" si="291"/>
        <v>1.0924024683441256</v>
      </c>
      <c r="K1278">
        <f t="shared" si="292"/>
        <v>0.56209838976227811</v>
      </c>
      <c r="L1278">
        <f t="shared" si="293"/>
        <v>1.2430034658515359</v>
      </c>
      <c r="M1278">
        <f t="shared" si="294"/>
        <v>0.99317119076573956</v>
      </c>
      <c r="N1278">
        <f t="shared" si="295"/>
        <v>0.9948230605297983</v>
      </c>
      <c r="O1278">
        <v>4.0544585954635625E-3</v>
      </c>
      <c r="P1278">
        <v>6.4296318105268469E-3</v>
      </c>
      <c r="Q1278">
        <f t="shared" si="296"/>
        <v>4251.220537051925</v>
      </c>
      <c r="R1278">
        <f t="shared" si="297"/>
        <v>4.2512205370519247</v>
      </c>
    </row>
    <row r="1279" spans="1:18" x14ac:dyDescent="0.3">
      <c r="A1279">
        <v>2.556</v>
      </c>
      <c r="B1279" s="4">
        <v>82</v>
      </c>
      <c r="C1279">
        <v>-28.017457771409799</v>
      </c>
      <c r="D1279">
        <v>1.95</v>
      </c>
      <c r="E1279">
        <f>$E$1278+$R$1278</f>
        <v>186.73620925481345</v>
      </c>
      <c r="F1279">
        <f t="shared" si="287"/>
        <v>1.9999228842676332E-2</v>
      </c>
      <c r="G1279">
        <f t="shared" si="288"/>
        <v>6.1853285080442265E-2</v>
      </c>
      <c r="H1279">
        <f t="shared" si="289"/>
        <v>50.791039627144244</v>
      </c>
      <c r="I1279">
        <f t="shared" si="290"/>
        <v>1.0233526670782638</v>
      </c>
      <c r="J1279">
        <f t="shared" si="291"/>
        <v>1.0902525387551092</v>
      </c>
      <c r="K1279">
        <f t="shared" si="292"/>
        <v>0.56257578591049073</v>
      </c>
      <c r="L1279">
        <f t="shared" si="293"/>
        <v>1.2422107148324344</v>
      </c>
      <c r="M1279">
        <f t="shared" si="294"/>
        <v>0.9957578884805609</v>
      </c>
      <c r="N1279">
        <f t="shared" si="295"/>
        <v>1.0025003775829513</v>
      </c>
      <c r="O1279">
        <v>6.1357388676211043E-3</v>
      </c>
      <c r="P1279">
        <v>4.512202433125276E-3</v>
      </c>
      <c r="Q1279">
        <f t="shared" si="296"/>
        <v>4252.6786294057129</v>
      </c>
      <c r="R1279">
        <f t="shared" si="297"/>
        <v>4.2526786294057128</v>
      </c>
    </row>
    <row r="1280" spans="1:18" x14ac:dyDescent="0.3">
      <c r="A1280">
        <v>2.5579999999999998</v>
      </c>
      <c r="B1280" s="4"/>
      <c r="C1280">
        <v>-28.017457771409799</v>
      </c>
      <c r="D1280">
        <v>1.95</v>
      </c>
      <c r="E1280">
        <f t="shared" ref="E1280:E1309" si="299">$E$1278+$R$1278</f>
        <v>186.73620925481345</v>
      </c>
      <c r="F1280">
        <f t="shared" si="287"/>
        <v>1.9999228842676332E-2</v>
      </c>
      <c r="G1280">
        <f t="shared" si="288"/>
        <v>6.1853285080442265E-2</v>
      </c>
      <c r="H1280">
        <f t="shared" si="289"/>
        <v>50.791039627144244</v>
      </c>
      <c r="I1280">
        <f t="shared" si="290"/>
        <v>1.0233526670782638</v>
      </c>
      <c r="J1280">
        <f t="shared" si="291"/>
        <v>1.0902525387551092</v>
      </c>
      <c r="K1280">
        <f t="shared" si="292"/>
        <v>0.56257578591049073</v>
      </c>
      <c r="L1280">
        <f t="shared" si="293"/>
        <v>1.2422107148324344</v>
      </c>
      <c r="M1280">
        <f t="shared" si="294"/>
        <v>0.99715965478289736</v>
      </c>
      <c r="N1280">
        <f t="shared" si="295"/>
        <v>1.0067447972495871</v>
      </c>
      <c r="O1280">
        <v>6.0162818941717879E-3</v>
      </c>
      <c r="P1280">
        <v>4.684531221154517E-3</v>
      </c>
      <c r="Q1280">
        <f t="shared" si="296"/>
        <v>4252.6786294057129</v>
      </c>
      <c r="R1280">
        <f t="shared" si="297"/>
        <v>4.2526786294057128</v>
      </c>
    </row>
    <row r="1281" spans="1:18" x14ac:dyDescent="0.3">
      <c r="A1281">
        <v>2.56</v>
      </c>
      <c r="B1281" s="4"/>
      <c r="C1281">
        <v>-28.017457771409799</v>
      </c>
      <c r="D1281">
        <v>1.95</v>
      </c>
      <c r="E1281">
        <f t="shared" si="299"/>
        <v>186.73620925481345</v>
      </c>
      <c r="F1281">
        <f t="shared" si="287"/>
        <v>1.9999228842676332E-2</v>
      </c>
      <c r="G1281">
        <f t="shared" si="288"/>
        <v>6.1853285080442265E-2</v>
      </c>
      <c r="H1281">
        <f t="shared" si="289"/>
        <v>50.791039627144244</v>
      </c>
      <c r="I1281">
        <f t="shared" si="290"/>
        <v>1.0233526670782638</v>
      </c>
      <c r="J1281">
        <f t="shared" si="291"/>
        <v>1.0902525387551092</v>
      </c>
      <c r="K1281">
        <f t="shared" si="292"/>
        <v>0.56257578591049073</v>
      </c>
      <c r="L1281">
        <f t="shared" si="293"/>
        <v>1.2422107148324344</v>
      </c>
      <c r="M1281">
        <f t="shared" si="294"/>
        <v>0.99828584043126523</v>
      </c>
      <c r="N1281">
        <f t="shared" si="295"/>
        <v>1.0029345279996804</v>
      </c>
      <c r="O1281">
        <v>5.887555193413079E-3</v>
      </c>
      <c r="P1281">
        <v>4.8347122263421539E-3</v>
      </c>
      <c r="Q1281">
        <f t="shared" si="296"/>
        <v>4252.6786294057129</v>
      </c>
      <c r="R1281">
        <f t="shared" si="297"/>
        <v>4.2526786294057128</v>
      </c>
    </row>
    <row r="1282" spans="1:18" x14ac:dyDescent="0.3">
      <c r="A1282">
        <v>2.5619999999999998</v>
      </c>
      <c r="B1282" s="4"/>
      <c r="C1282">
        <v>-28.017457771409799</v>
      </c>
      <c r="D1282">
        <v>1.95</v>
      </c>
      <c r="E1282">
        <f t="shared" si="299"/>
        <v>186.73620925481345</v>
      </c>
      <c r="F1282">
        <f t="shared" si="287"/>
        <v>1.9999228842676332E-2</v>
      </c>
      <c r="G1282">
        <f t="shared" si="288"/>
        <v>6.1853285080442265E-2</v>
      </c>
      <c r="H1282">
        <f t="shared" si="289"/>
        <v>50.791039627144244</v>
      </c>
      <c r="I1282">
        <f t="shared" si="290"/>
        <v>1.0233526670782638</v>
      </c>
      <c r="J1282">
        <f t="shared" si="291"/>
        <v>1.0902525387551092</v>
      </c>
      <c r="K1282">
        <f t="shared" si="292"/>
        <v>0.56257578591049073</v>
      </c>
      <c r="L1282">
        <f t="shared" si="293"/>
        <v>1.2422107148324344</v>
      </c>
      <c r="M1282">
        <f t="shared" si="294"/>
        <v>0.99911570546350215</v>
      </c>
      <c r="N1282">
        <f t="shared" si="295"/>
        <v>1.0084892808605548</v>
      </c>
      <c r="O1282">
        <v>5.7503227306393316E-3</v>
      </c>
      <c r="P1282">
        <v>5.0135960400783056E-3</v>
      </c>
      <c r="Q1282">
        <f t="shared" si="296"/>
        <v>4252.6786294057129</v>
      </c>
      <c r="R1282">
        <f t="shared" si="297"/>
        <v>4.2526786294057128</v>
      </c>
    </row>
    <row r="1283" spans="1:18" x14ac:dyDescent="0.3">
      <c r="A1283">
        <v>2.5640000000000001</v>
      </c>
      <c r="B1283" s="4"/>
      <c r="C1283">
        <v>-28.017457771409799</v>
      </c>
      <c r="D1283">
        <v>1.95</v>
      </c>
      <c r="E1283">
        <f t="shared" si="299"/>
        <v>186.73620925481345</v>
      </c>
      <c r="F1283">
        <f t="shared" ref="F1283:F1309" si="300">0.0462806*SQRT(E1283/1000)</f>
        <v>1.9999228842676332E-2</v>
      </c>
      <c r="G1283">
        <f t="shared" ref="G1283:G1309" si="301">$U$3*F1283/2</f>
        <v>6.1853285080442265E-2</v>
      </c>
      <c r="H1283">
        <f t="shared" ref="H1283:H1309" si="302">PI()/G1283</f>
        <v>50.791039627144244</v>
      </c>
      <c r="I1283">
        <f t="shared" ref="I1283:I1309" si="303">BESSELI(H1283*$Y$5,0)</f>
        <v>1.0233526670782638</v>
      </c>
      <c r="J1283">
        <f t="shared" ref="J1283:J1309" si="304">BESSELI(H1283*D1283*$Y$5,0)</f>
        <v>1.0902525387551092</v>
      </c>
      <c r="K1283">
        <f t="shared" ref="K1283:K1309" si="305">(D1283^2-1)/(D1283^2*I1283+J1283)</f>
        <v>0.56257578591049073</v>
      </c>
      <c r="L1283">
        <f t="shared" ref="L1283:L1309" si="306">I1283+J1283/(D1283^2*I1283+J1283)</f>
        <v>1.2422107148324344</v>
      </c>
      <c r="M1283">
        <f t="shared" ref="M1283:M1309" si="307">((L1283*O1283^2)/$Y$5^2)+(K1283*BESSELI(O1283*H1283,0)*COS(H1283*A1283))</f>
        <v>0.99965391847867058</v>
      </c>
      <c r="N1283">
        <f t="shared" ref="N1283:N1309" si="308">((L1283*P1283^2)/$Y$5^2)-(K1283*BESSELI(P1283*H1283,0)*COS(H1283*A1283))</f>
        <v>0.99922716597399108</v>
      </c>
      <c r="O1283">
        <v>5.6054920329122329E-3</v>
      </c>
      <c r="P1283">
        <v>5.1492606852722453E-3</v>
      </c>
      <c r="Q1283">
        <f t="shared" ref="Q1283:Q1309" si="309">PI()*K1283*$U$4*J1283*COS(C1283*$Y$7)/(4*$Y$6)</f>
        <v>4252.6786294057129</v>
      </c>
      <c r="R1283">
        <f t="shared" ref="R1283:R1309" si="310">Q1283/1000</f>
        <v>4.2526786294057128</v>
      </c>
    </row>
    <row r="1284" spans="1:18" x14ac:dyDescent="0.3">
      <c r="A1284">
        <v>2.5659999999999998</v>
      </c>
      <c r="B1284" s="4"/>
      <c r="C1284">
        <v>-28.017457771409799</v>
      </c>
      <c r="D1284">
        <v>1.95</v>
      </c>
      <c r="E1284">
        <f t="shared" si="299"/>
        <v>186.73620925481345</v>
      </c>
      <c r="F1284">
        <f t="shared" si="300"/>
        <v>1.9999228842676332E-2</v>
      </c>
      <c r="G1284">
        <f t="shared" si="301"/>
        <v>6.1853285080442265E-2</v>
      </c>
      <c r="H1284">
        <f t="shared" si="302"/>
        <v>50.791039627144244</v>
      </c>
      <c r="I1284">
        <f t="shared" si="303"/>
        <v>1.0233526670782638</v>
      </c>
      <c r="J1284">
        <f t="shared" si="304"/>
        <v>1.0902525387551092</v>
      </c>
      <c r="K1284">
        <f t="shared" si="305"/>
        <v>0.56257578591049073</v>
      </c>
      <c r="L1284">
        <f t="shared" si="306"/>
        <v>1.2422107148324344</v>
      </c>
      <c r="M1284">
        <f t="shared" si="307"/>
        <v>1.0052358463028894</v>
      </c>
      <c r="N1284">
        <f t="shared" si="308"/>
        <v>0.99833429095553439</v>
      </c>
      <c r="O1284">
        <v>5.4682115284883275E-3</v>
      </c>
      <c r="P1284">
        <v>5.3069917492038843E-3</v>
      </c>
      <c r="Q1284">
        <f t="shared" si="309"/>
        <v>4252.6786294057129</v>
      </c>
      <c r="R1284">
        <f t="shared" si="310"/>
        <v>4.2526786294057128</v>
      </c>
    </row>
    <row r="1285" spans="1:18" x14ac:dyDescent="0.3">
      <c r="A1285">
        <v>2.5680000000000001</v>
      </c>
      <c r="B1285" s="4"/>
      <c r="C1285">
        <v>-28.017457771409799</v>
      </c>
      <c r="D1285">
        <v>1.95</v>
      </c>
      <c r="E1285">
        <f t="shared" si="299"/>
        <v>186.73620925481345</v>
      </c>
      <c r="F1285">
        <f t="shared" si="300"/>
        <v>1.9999228842676332E-2</v>
      </c>
      <c r="G1285">
        <f t="shared" si="301"/>
        <v>6.1853285080442265E-2</v>
      </c>
      <c r="H1285">
        <f t="shared" si="302"/>
        <v>50.791039627144244</v>
      </c>
      <c r="I1285">
        <f t="shared" si="303"/>
        <v>1.0233526670782638</v>
      </c>
      <c r="J1285">
        <f t="shared" si="304"/>
        <v>1.0902525387551092</v>
      </c>
      <c r="K1285">
        <f t="shared" si="305"/>
        <v>0.56257578591049073</v>
      </c>
      <c r="L1285">
        <f t="shared" si="306"/>
        <v>1.2422107148324344</v>
      </c>
      <c r="M1285">
        <f t="shared" si="307"/>
        <v>1.0050816995109246</v>
      </c>
      <c r="N1285">
        <f t="shared" si="308"/>
        <v>0.99819455019899694</v>
      </c>
      <c r="O1285">
        <v>5.3113407600572666E-3</v>
      </c>
      <c r="P1285">
        <v>5.4632177138937638E-3</v>
      </c>
      <c r="Q1285">
        <f t="shared" si="309"/>
        <v>4252.6786294057129</v>
      </c>
      <c r="R1285">
        <f t="shared" si="310"/>
        <v>4.2526786294057128</v>
      </c>
    </row>
    <row r="1286" spans="1:18" x14ac:dyDescent="0.3">
      <c r="A1286">
        <v>2.57</v>
      </c>
      <c r="B1286" s="4"/>
      <c r="C1286">
        <v>-28.017457771409799</v>
      </c>
      <c r="D1286">
        <v>1.95</v>
      </c>
      <c r="E1286">
        <f t="shared" si="299"/>
        <v>186.73620925481345</v>
      </c>
      <c r="F1286">
        <f t="shared" si="300"/>
        <v>1.9999228842676332E-2</v>
      </c>
      <c r="G1286">
        <f t="shared" si="301"/>
        <v>6.1853285080442265E-2</v>
      </c>
      <c r="H1286">
        <f t="shared" si="302"/>
        <v>50.791039627144244</v>
      </c>
      <c r="I1286">
        <f t="shared" si="303"/>
        <v>1.0233526670782638</v>
      </c>
      <c r="J1286">
        <f t="shared" si="304"/>
        <v>1.0902525387551092</v>
      </c>
      <c r="K1286">
        <f t="shared" si="305"/>
        <v>0.56257578591049073</v>
      </c>
      <c r="L1286">
        <f t="shared" si="306"/>
        <v>1.2422107148324344</v>
      </c>
      <c r="M1286">
        <f t="shared" si="307"/>
        <v>0.99820449027855074</v>
      </c>
      <c r="N1286">
        <f t="shared" si="308"/>
        <v>1.0031503279980014</v>
      </c>
      <c r="O1286">
        <v>5.1320462747847795E-3</v>
      </c>
      <c r="P1286">
        <v>5.6277339425044263E-3</v>
      </c>
      <c r="Q1286">
        <f t="shared" si="309"/>
        <v>4252.6786294057129</v>
      </c>
      <c r="R1286">
        <f t="shared" si="310"/>
        <v>4.2526786294057128</v>
      </c>
    </row>
    <row r="1287" spans="1:18" x14ac:dyDescent="0.3">
      <c r="A1287">
        <v>2.5720000000000001</v>
      </c>
      <c r="B1287" s="4"/>
      <c r="C1287">
        <v>-28.017457771409799</v>
      </c>
      <c r="D1287">
        <v>1.95</v>
      </c>
      <c r="E1287">
        <f t="shared" si="299"/>
        <v>186.73620925481345</v>
      </c>
      <c r="F1287">
        <f t="shared" si="300"/>
        <v>1.9999228842676332E-2</v>
      </c>
      <c r="G1287">
        <f t="shared" si="301"/>
        <v>6.1853285080442265E-2</v>
      </c>
      <c r="H1287">
        <f t="shared" si="302"/>
        <v>50.791039627144244</v>
      </c>
      <c r="I1287">
        <f t="shared" si="303"/>
        <v>1.0233526670782638</v>
      </c>
      <c r="J1287">
        <f t="shared" si="304"/>
        <v>1.0902525387551092</v>
      </c>
      <c r="K1287">
        <f t="shared" si="305"/>
        <v>0.56257578591049073</v>
      </c>
      <c r="L1287">
        <f t="shared" si="306"/>
        <v>1.2422107148324344</v>
      </c>
      <c r="M1287">
        <f t="shared" si="307"/>
        <v>0.99916852183840654</v>
      </c>
      <c r="N1287">
        <f t="shared" si="308"/>
        <v>1.0098509830241482</v>
      </c>
      <c r="O1287">
        <v>4.9721916536394411E-3</v>
      </c>
      <c r="P1287">
        <v>5.7899704075466615E-3</v>
      </c>
      <c r="Q1287">
        <f t="shared" si="309"/>
        <v>4252.6786294057129</v>
      </c>
      <c r="R1287">
        <f t="shared" si="310"/>
        <v>4.2526786294057128</v>
      </c>
    </row>
    <row r="1288" spans="1:18" x14ac:dyDescent="0.3">
      <c r="A1288">
        <v>2.5739999999999998</v>
      </c>
      <c r="B1288" s="4"/>
      <c r="C1288">
        <v>-28.017457771409799</v>
      </c>
      <c r="D1288">
        <v>1.95</v>
      </c>
      <c r="E1288">
        <f t="shared" si="299"/>
        <v>186.73620925481345</v>
      </c>
      <c r="F1288">
        <f t="shared" si="300"/>
        <v>1.9999228842676332E-2</v>
      </c>
      <c r="G1288">
        <f t="shared" si="301"/>
        <v>6.1853285080442265E-2</v>
      </c>
      <c r="H1288">
        <f t="shared" si="302"/>
        <v>50.791039627144244</v>
      </c>
      <c r="I1288">
        <f t="shared" si="303"/>
        <v>1.0233526670782638</v>
      </c>
      <c r="J1288">
        <f t="shared" si="304"/>
        <v>1.0902525387551092</v>
      </c>
      <c r="K1288">
        <f t="shared" si="305"/>
        <v>0.56257578591049073</v>
      </c>
      <c r="L1288">
        <f t="shared" si="306"/>
        <v>1.2422107148324344</v>
      </c>
      <c r="M1288">
        <f t="shared" si="307"/>
        <v>1.0086651867650664</v>
      </c>
      <c r="N1288">
        <f t="shared" si="308"/>
        <v>0.99941335318872382</v>
      </c>
      <c r="O1288">
        <v>4.8374241473965575E-3</v>
      </c>
      <c r="P1288">
        <v>5.9023212306889084E-3</v>
      </c>
      <c r="Q1288">
        <f t="shared" si="309"/>
        <v>4252.6786294057129</v>
      </c>
      <c r="R1288">
        <f t="shared" si="310"/>
        <v>4.2526786294057128</v>
      </c>
    </row>
    <row r="1289" spans="1:18" x14ac:dyDescent="0.3">
      <c r="A1289">
        <v>2.5760000000000001</v>
      </c>
      <c r="B1289" s="4"/>
      <c r="C1289">
        <v>-28.017457771409799</v>
      </c>
      <c r="D1289">
        <v>1.95</v>
      </c>
      <c r="E1289">
        <f t="shared" si="299"/>
        <v>186.73620925481345</v>
      </c>
      <c r="F1289">
        <f t="shared" si="300"/>
        <v>1.9999228842676332E-2</v>
      </c>
      <c r="G1289">
        <f t="shared" si="301"/>
        <v>6.1853285080442265E-2</v>
      </c>
      <c r="H1289">
        <f t="shared" si="302"/>
        <v>50.791039627144244</v>
      </c>
      <c r="I1289">
        <f t="shared" si="303"/>
        <v>1.0233526670782638</v>
      </c>
      <c r="J1289">
        <f t="shared" si="304"/>
        <v>1.0902525387551092</v>
      </c>
      <c r="K1289">
        <f t="shared" si="305"/>
        <v>0.56257578591049073</v>
      </c>
      <c r="L1289">
        <f t="shared" si="306"/>
        <v>1.2422107148324344</v>
      </c>
      <c r="M1289">
        <f t="shared" si="307"/>
        <v>1.003101512667087</v>
      </c>
      <c r="N1289">
        <f t="shared" si="308"/>
        <v>0.99880712977367192</v>
      </c>
      <c r="O1289">
        <v>4.6590477886378785E-3</v>
      </c>
      <c r="P1289">
        <v>6.0315113729867594E-3</v>
      </c>
      <c r="Q1289">
        <f t="shared" si="309"/>
        <v>4252.6786294057129</v>
      </c>
      <c r="R1289">
        <f t="shared" si="310"/>
        <v>4.2526786294057128</v>
      </c>
    </row>
    <row r="1290" spans="1:18" x14ac:dyDescent="0.3">
      <c r="A1290">
        <v>2.5779999999999998</v>
      </c>
      <c r="B1290" s="4"/>
      <c r="C1290">
        <v>-28.017457771409799</v>
      </c>
      <c r="D1290">
        <v>1.95</v>
      </c>
      <c r="E1290">
        <f t="shared" si="299"/>
        <v>186.73620925481345</v>
      </c>
      <c r="F1290">
        <f t="shared" si="300"/>
        <v>1.9999228842676332E-2</v>
      </c>
      <c r="G1290">
        <f t="shared" si="301"/>
        <v>6.1853285080442265E-2</v>
      </c>
      <c r="H1290">
        <f t="shared" si="302"/>
        <v>50.791039627144244</v>
      </c>
      <c r="I1290">
        <f t="shared" si="303"/>
        <v>1.0233526670782638</v>
      </c>
      <c r="J1290">
        <f t="shared" si="304"/>
        <v>1.0902525387551092</v>
      </c>
      <c r="K1290">
        <f t="shared" si="305"/>
        <v>0.56257578591049073</v>
      </c>
      <c r="L1290">
        <f t="shared" si="306"/>
        <v>1.2422107148324344</v>
      </c>
      <c r="M1290">
        <f t="shared" si="307"/>
        <v>1.0031778644988907</v>
      </c>
      <c r="N1290">
        <f t="shared" si="308"/>
        <v>0.99798115962516709</v>
      </c>
      <c r="O1290">
        <v>4.5004490409645539E-3</v>
      </c>
      <c r="P1290">
        <v>6.1514537717080858E-3</v>
      </c>
      <c r="Q1290">
        <f t="shared" si="309"/>
        <v>4252.6786294057129</v>
      </c>
      <c r="R1290">
        <f t="shared" si="310"/>
        <v>4.2526786294057128</v>
      </c>
    </row>
    <row r="1291" spans="1:18" x14ac:dyDescent="0.3">
      <c r="A1291">
        <v>2.58</v>
      </c>
      <c r="B1291" s="4"/>
      <c r="C1291">
        <v>-28.017457771409799</v>
      </c>
      <c r="D1291">
        <v>1.95</v>
      </c>
      <c r="E1291">
        <f t="shared" si="299"/>
        <v>186.73620925481345</v>
      </c>
      <c r="F1291">
        <f t="shared" si="300"/>
        <v>1.9999228842676332E-2</v>
      </c>
      <c r="G1291">
        <f t="shared" si="301"/>
        <v>6.1853285080442265E-2</v>
      </c>
      <c r="H1291">
        <f t="shared" si="302"/>
        <v>50.791039627144244</v>
      </c>
      <c r="I1291">
        <f t="shared" si="303"/>
        <v>1.0233526670782638</v>
      </c>
      <c r="J1291">
        <f t="shared" si="304"/>
        <v>1.0902525387551092</v>
      </c>
      <c r="K1291">
        <f t="shared" si="305"/>
        <v>0.56257578591049073</v>
      </c>
      <c r="L1291">
        <f t="shared" si="306"/>
        <v>1.2422107148324344</v>
      </c>
      <c r="M1291">
        <f t="shared" si="307"/>
        <v>1.0025095464506373</v>
      </c>
      <c r="N1291">
        <f t="shared" si="308"/>
        <v>0.99696013220676383</v>
      </c>
      <c r="O1291">
        <v>4.3442908138426276E-3</v>
      </c>
      <c r="P1291">
        <v>6.2614758599028441E-3</v>
      </c>
      <c r="Q1291">
        <f t="shared" si="309"/>
        <v>4252.6786294057129</v>
      </c>
      <c r="R1291">
        <f t="shared" si="310"/>
        <v>4.2526786294057128</v>
      </c>
    </row>
    <row r="1292" spans="1:18" x14ac:dyDescent="0.3">
      <c r="A1292">
        <v>2.5819999999999999</v>
      </c>
      <c r="B1292" s="4"/>
      <c r="C1292">
        <v>-28.017457771409799</v>
      </c>
      <c r="D1292">
        <v>1.95</v>
      </c>
      <c r="E1292">
        <f t="shared" si="299"/>
        <v>186.73620925481345</v>
      </c>
      <c r="F1292">
        <f t="shared" si="300"/>
        <v>1.9999228842676332E-2</v>
      </c>
      <c r="G1292">
        <f t="shared" si="301"/>
        <v>6.1853285080442265E-2</v>
      </c>
      <c r="H1292">
        <f t="shared" si="302"/>
        <v>50.791039627144244</v>
      </c>
      <c r="I1292">
        <f t="shared" si="303"/>
        <v>1.0233526670782638</v>
      </c>
      <c r="J1292">
        <f t="shared" si="304"/>
        <v>1.0902525387551092</v>
      </c>
      <c r="K1292">
        <f t="shared" si="305"/>
        <v>0.56257578591049073</v>
      </c>
      <c r="L1292">
        <f t="shared" si="306"/>
        <v>1.2422107148324344</v>
      </c>
      <c r="M1292">
        <f t="shared" si="307"/>
        <v>1.000449557079321</v>
      </c>
      <c r="N1292">
        <f t="shared" si="308"/>
        <v>0.99578715030951126</v>
      </c>
      <c r="O1292">
        <v>4.1902451261063749E-3</v>
      </c>
      <c r="P1292">
        <v>6.3610185826885038E-3</v>
      </c>
      <c r="Q1292">
        <f t="shared" si="309"/>
        <v>4252.6786294057129</v>
      </c>
      <c r="R1292">
        <f t="shared" si="310"/>
        <v>4.2526786294057128</v>
      </c>
    </row>
    <row r="1293" spans="1:18" x14ac:dyDescent="0.3">
      <c r="A1293">
        <v>2.5840000000000001</v>
      </c>
      <c r="B1293" s="4"/>
      <c r="C1293">
        <v>-28.017457771409799</v>
      </c>
      <c r="D1293">
        <v>1.95</v>
      </c>
      <c r="E1293">
        <f t="shared" si="299"/>
        <v>186.73620925481345</v>
      </c>
      <c r="F1293">
        <f t="shared" si="300"/>
        <v>1.9999228842676332E-2</v>
      </c>
      <c r="G1293">
        <f t="shared" si="301"/>
        <v>6.1853285080442265E-2</v>
      </c>
      <c r="H1293">
        <f t="shared" si="302"/>
        <v>50.791039627144244</v>
      </c>
      <c r="I1293">
        <f t="shared" si="303"/>
        <v>1.0233526670782638</v>
      </c>
      <c r="J1293">
        <f t="shared" si="304"/>
        <v>1.0902525387551092</v>
      </c>
      <c r="K1293">
        <f t="shared" si="305"/>
        <v>0.56257578591049073</v>
      </c>
      <c r="L1293">
        <f t="shared" si="306"/>
        <v>1.2422107148324344</v>
      </c>
      <c r="M1293">
        <f t="shared" si="307"/>
        <v>1.0010408425858481</v>
      </c>
      <c r="N1293">
        <f t="shared" si="308"/>
        <v>0.99451978312365052</v>
      </c>
      <c r="O1293">
        <v>4.0544585954635625E-3</v>
      </c>
      <c r="P1293">
        <v>6.449622736277005E-3</v>
      </c>
      <c r="Q1293">
        <f t="shared" si="309"/>
        <v>4252.6786294057129</v>
      </c>
      <c r="R1293">
        <f t="shared" si="310"/>
        <v>4.2526786294057128</v>
      </c>
    </row>
    <row r="1294" spans="1:18" x14ac:dyDescent="0.3">
      <c r="A1294">
        <v>2.5859999999999999</v>
      </c>
      <c r="B1294" s="4"/>
      <c r="C1294">
        <v>-28.017457771409799</v>
      </c>
      <c r="D1294">
        <v>1.95</v>
      </c>
      <c r="E1294">
        <f t="shared" si="299"/>
        <v>186.73620925481345</v>
      </c>
      <c r="F1294">
        <f t="shared" si="300"/>
        <v>1.9999228842676332E-2</v>
      </c>
      <c r="G1294">
        <f t="shared" si="301"/>
        <v>6.1853285080442265E-2</v>
      </c>
      <c r="H1294">
        <f t="shared" si="302"/>
        <v>50.791039627144244</v>
      </c>
      <c r="I1294">
        <f t="shared" si="303"/>
        <v>1.0233526670782638</v>
      </c>
      <c r="J1294">
        <f t="shared" si="304"/>
        <v>1.0902525387551092</v>
      </c>
      <c r="K1294">
        <f t="shared" si="305"/>
        <v>0.56257578591049073</v>
      </c>
      <c r="L1294">
        <f t="shared" si="306"/>
        <v>1.2422107148324344</v>
      </c>
      <c r="M1294">
        <f t="shared" si="307"/>
        <v>1.0003930456780195</v>
      </c>
      <c r="N1294">
        <f t="shared" si="308"/>
        <v>0.99322532088872273</v>
      </c>
      <c r="O1294">
        <v>3.9260094131212467E-3</v>
      </c>
      <c r="P1294">
        <v>6.5269160049319782E-3</v>
      </c>
      <c r="Q1294">
        <f t="shared" si="309"/>
        <v>4252.6786294057129</v>
      </c>
      <c r="R1294">
        <f t="shared" si="310"/>
        <v>4.2526786294057128</v>
      </c>
    </row>
    <row r="1295" spans="1:18" x14ac:dyDescent="0.3">
      <c r="A1295">
        <v>2.5880000000000001</v>
      </c>
      <c r="B1295" s="4"/>
      <c r="C1295">
        <v>-28.017457771409799</v>
      </c>
      <c r="D1295">
        <v>1.95</v>
      </c>
      <c r="E1295">
        <f t="shared" si="299"/>
        <v>186.73620925481345</v>
      </c>
      <c r="F1295">
        <f t="shared" si="300"/>
        <v>1.9999228842676332E-2</v>
      </c>
      <c r="G1295">
        <f t="shared" si="301"/>
        <v>6.1853285080442265E-2</v>
      </c>
      <c r="H1295">
        <f t="shared" si="302"/>
        <v>50.791039627144244</v>
      </c>
      <c r="I1295">
        <f t="shared" si="303"/>
        <v>1.0233526670782638</v>
      </c>
      <c r="J1295">
        <f t="shared" si="304"/>
        <v>1.0902525387551092</v>
      </c>
      <c r="K1295">
        <f t="shared" si="305"/>
        <v>0.56257578591049073</v>
      </c>
      <c r="L1295">
        <f t="shared" si="306"/>
        <v>1.2422107148324344</v>
      </c>
      <c r="M1295">
        <f t="shared" si="307"/>
        <v>1.0016043050071628</v>
      </c>
      <c r="N1295">
        <f t="shared" si="308"/>
        <v>0.99197561540661372</v>
      </c>
      <c r="O1295">
        <v>3.818610149173886E-3</v>
      </c>
      <c r="P1295">
        <v>6.5926010607935881E-3</v>
      </c>
      <c r="Q1295">
        <f t="shared" si="309"/>
        <v>4252.6786294057129</v>
      </c>
      <c r="R1295">
        <f t="shared" si="310"/>
        <v>4.2526786294057128</v>
      </c>
    </row>
    <row r="1296" spans="1:18" x14ac:dyDescent="0.3">
      <c r="A1296">
        <v>2.59</v>
      </c>
      <c r="B1296" s="4"/>
      <c r="C1296">
        <v>-28.017457771409799</v>
      </c>
      <c r="D1296">
        <v>1.95</v>
      </c>
      <c r="E1296">
        <f t="shared" si="299"/>
        <v>186.73620925481345</v>
      </c>
      <c r="F1296">
        <f t="shared" si="300"/>
        <v>1.9999228842676332E-2</v>
      </c>
      <c r="G1296">
        <f t="shared" si="301"/>
        <v>6.1853285080442265E-2</v>
      </c>
      <c r="H1296">
        <f t="shared" si="302"/>
        <v>50.791039627144244</v>
      </c>
      <c r="I1296">
        <f t="shared" si="303"/>
        <v>1.0233526670782638</v>
      </c>
      <c r="J1296">
        <f t="shared" si="304"/>
        <v>1.0902525387551092</v>
      </c>
      <c r="K1296">
        <f t="shared" si="305"/>
        <v>0.56257578591049073</v>
      </c>
      <c r="L1296">
        <f t="shared" si="306"/>
        <v>1.2422107148324344</v>
      </c>
      <c r="M1296">
        <f t="shared" si="307"/>
        <v>1.0032183745486916</v>
      </c>
      <c r="N1296">
        <f t="shared" si="308"/>
        <v>0.99084186671436469</v>
      </c>
      <c r="O1296">
        <v>3.7296001857312967E-3</v>
      </c>
      <c r="P1296">
        <v>6.6464449828563619E-3</v>
      </c>
      <c r="Q1296">
        <f t="shared" si="309"/>
        <v>4252.6786294057129</v>
      </c>
      <c r="R1296">
        <f t="shared" si="310"/>
        <v>4.2526786294057128</v>
      </c>
    </row>
    <row r="1297" spans="1:18" x14ac:dyDescent="0.3">
      <c r="A1297">
        <v>2.5920000000000001</v>
      </c>
      <c r="B1297" s="4"/>
      <c r="C1297">
        <v>-28.017457771409799</v>
      </c>
      <c r="D1297">
        <v>1.95</v>
      </c>
      <c r="E1297">
        <f t="shared" si="299"/>
        <v>186.73620925481345</v>
      </c>
      <c r="F1297">
        <f t="shared" si="300"/>
        <v>1.9999228842676332E-2</v>
      </c>
      <c r="G1297">
        <f t="shared" si="301"/>
        <v>6.1853285080442265E-2</v>
      </c>
      <c r="H1297">
        <f t="shared" si="302"/>
        <v>50.791039627144244</v>
      </c>
      <c r="I1297">
        <f t="shared" si="303"/>
        <v>1.0233526670782638</v>
      </c>
      <c r="J1297">
        <f t="shared" si="304"/>
        <v>1.0902525387551092</v>
      </c>
      <c r="K1297">
        <f t="shared" si="305"/>
        <v>0.56257578591049073</v>
      </c>
      <c r="L1297">
        <f t="shared" si="306"/>
        <v>1.2422107148324344</v>
      </c>
      <c r="M1297">
        <f t="shared" si="307"/>
        <v>1.0048703633060565</v>
      </c>
      <c r="N1297">
        <f t="shared" si="308"/>
        <v>0.999826465869326</v>
      </c>
      <c r="O1297">
        <v>3.6598454041376744E-3</v>
      </c>
      <c r="P1297">
        <v>6.7099850997727256E-3</v>
      </c>
      <c r="Q1297">
        <f t="shared" si="309"/>
        <v>4252.6786294057129</v>
      </c>
      <c r="R1297">
        <f t="shared" si="310"/>
        <v>4.2526786294057128</v>
      </c>
    </row>
    <row r="1298" spans="1:18" x14ac:dyDescent="0.3">
      <c r="A1298">
        <v>2.5939999999999999</v>
      </c>
      <c r="B1298" s="4"/>
      <c r="C1298">
        <v>-28.017457771409799</v>
      </c>
      <c r="D1298">
        <v>1.95</v>
      </c>
      <c r="E1298">
        <f t="shared" si="299"/>
        <v>186.73620925481345</v>
      </c>
      <c r="F1298">
        <f t="shared" si="300"/>
        <v>1.9999228842676332E-2</v>
      </c>
      <c r="G1298">
        <f t="shared" si="301"/>
        <v>6.1853285080442265E-2</v>
      </c>
      <c r="H1298">
        <f t="shared" si="302"/>
        <v>50.791039627144244</v>
      </c>
      <c r="I1298">
        <f t="shared" si="303"/>
        <v>1.0233526670782638</v>
      </c>
      <c r="J1298">
        <f t="shared" si="304"/>
        <v>1.0902525387551092</v>
      </c>
      <c r="K1298">
        <f t="shared" si="305"/>
        <v>0.56257578591049073</v>
      </c>
      <c r="L1298">
        <f t="shared" si="306"/>
        <v>1.2422107148324344</v>
      </c>
      <c r="M1298">
        <f t="shared" si="307"/>
        <v>1.0062587674951546</v>
      </c>
      <c r="N1298">
        <f t="shared" si="308"/>
        <v>0.9998073384937578</v>
      </c>
      <c r="O1298">
        <v>3.6100226537467608E-3</v>
      </c>
      <c r="P1298">
        <v>6.7410837747805645E-3</v>
      </c>
      <c r="Q1298">
        <f t="shared" si="309"/>
        <v>4252.6786294057129</v>
      </c>
      <c r="R1298">
        <f t="shared" si="310"/>
        <v>4.2526786294057128</v>
      </c>
    </row>
    <row r="1299" spans="1:18" x14ac:dyDescent="0.3">
      <c r="A1299">
        <v>2.5960000000000001</v>
      </c>
      <c r="B1299" s="4"/>
      <c r="C1299">
        <v>-28.017457771409799</v>
      </c>
      <c r="D1299">
        <v>1.95</v>
      </c>
      <c r="E1299">
        <f t="shared" si="299"/>
        <v>186.73620925481345</v>
      </c>
      <c r="F1299">
        <f t="shared" si="300"/>
        <v>1.9999228842676332E-2</v>
      </c>
      <c r="G1299">
        <f t="shared" si="301"/>
        <v>6.1853285080442265E-2</v>
      </c>
      <c r="H1299">
        <f t="shared" si="302"/>
        <v>50.791039627144244</v>
      </c>
      <c r="I1299">
        <f t="shared" si="303"/>
        <v>1.0233526670782638</v>
      </c>
      <c r="J1299">
        <f t="shared" si="304"/>
        <v>1.0902525387551092</v>
      </c>
      <c r="K1299">
        <f t="shared" si="305"/>
        <v>0.56257578591049073</v>
      </c>
      <c r="L1299">
        <f t="shared" si="306"/>
        <v>1.2422107148324344</v>
      </c>
      <c r="M1299">
        <f t="shared" si="307"/>
        <v>1.0008510343806372</v>
      </c>
      <c r="N1299">
        <f t="shared" si="308"/>
        <v>0.99979534557612704</v>
      </c>
      <c r="O1299">
        <v>3.555259193383069E-3</v>
      </c>
      <c r="P1299">
        <v>6.7593865743944244E-3</v>
      </c>
      <c r="Q1299">
        <f t="shared" si="309"/>
        <v>4252.6786294057129</v>
      </c>
      <c r="R1299">
        <f t="shared" si="310"/>
        <v>4.2526786294057128</v>
      </c>
    </row>
    <row r="1300" spans="1:18" x14ac:dyDescent="0.3">
      <c r="A1300">
        <v>2.5979999999999999</v>
      </c>
      <c r="B1300" s="4"/>
      <c r="C1300">
        <v>-28.017457771409799</v>
      </c>
      <c r="D1300">
        <v>1.95</v>
      </c>
      <c r="E1300">
        <f t="shared" si="299"/>
        <v>186.73620925481345</v>
      </c>
      <c r="F1300">
        <f t="shared" si="300"/>
        <v>1.9999228842676332E-2</v>
      </c>
      <c r="G1300">
        <f t="shared" si="301"/>
        <v>6.1853285080442265E-2</v>
      </c>
      <c r="H1300">
        <f t="shared" si="302"/>
        <v>50.791039627144244</v>
      </c>
      <c r="I1300">
        <f t="shared" si="303"/>
        <v>1.0233526670782638</v>
      </c>
      <c r="J1300">
        <f t="shared" si="304"/>
        <v>1.0902525387551092</v>
      </c>
      <c r="K1300">
        <f t="shared" si="305"/>
        <v>0.56257578591049073</v>
      </c>
      <c r="L1300">
        <f t="shared" si="306"/>
        <v>1.2422107148324344</v>
      </c>
      <c r="M1300">
        <f t="shared" si="307"/>
        <v>1.0010185978001314</v>
      </c>
      <c r="N1300">
        <f t="shared" si="308"/>
        <v>0.99979169091186537</v>
      </c>
      <c r="O1300">
        <v>3.5460403476707224E-3</v>
      </c>
      <c r="P1300">
        <v>6.7647993751313272E-3</v>
      </c>
      <c r="Q1300">
        <f t="shared" si="309"/>
        <v>4252.6786294057129</v>
      </c>
      <c r="R1300">
        <f t="shared" si="310"/>
        <v>4.2526786294057128</v>
      </c>
    </row>
    <row r="1301" spans="1:18" x14ac:dyDescent="0.3">
      <c r="A1301">
        <v>2.6</v>
      </c>
      <c r="B1301" s="4"/>
      <c r="C1301">
        <v>-28.017457771409799</v>
      </c>
      <c r="D1301">
        <v>1.95</v>
      </c>
      <c r="E1301">
        <f t="shared" si="299"/>
        <v>186.73620925481345</v>
      </c>
      <c r="F1301">
        <f t="shared" si="300"/>
        <v>1.9999228842676332E-2</v>
      </c>
      <c r="G1301">
        <f t="shared" si="301"/>
        <v>6.1853285080442265E-2</v>
      </c>
      <c r="H1301">
        <f t="shared" si="302"/>
        <v>50.791039627144244</v>
      </c>
      <c r="I1301">
        <f t="shared" si="303"/>
        <v>1.0233526670782638</v>
      </c>
      <c r="J1301">
        <f t="shared" si="304"/>
        <v>1.0902525387551092</v>
      </c>
      <c r="K1301">
        <f t="shared" si="305"/>
        <v>0.56257578591049073</v>
      </c>
      <c r="L1301">
        <f t="shared" si="306"/>
        <v>1.2422107148324344</v>
      </c>
      <c r="M1301">
        <f t="shared" si="307"/>
        <v>1.0007878879375931</v>
      </c>
      <c r="N1301">
        <f t="shared" si="308"/>
        <v>0.99979674484423786</v>
      </c>
      <c r="O1301">
        <v>3.5588208799051378E-3</v>
      </c>
      <c r="P1301">
        <v>6.7572944254118868E-3</v>
      </c>
      <c r="Q1301">
        <f t="shared" si="309"/>
        <v>4252.6786294057129</v>
      </c>
      <c r="R1301">
        <f t="shared" si="310"/>
        <v>4.2526786294057128</v>
      </c>
    </row>
    <row r="1302" spans="1:18" x14ac:dyDescent="0.3">
      <c r="A1302">
        <v>2.6019999999999999</v>
      </c>
      <c r="B1302" s="4"/>
      <c r="C1302">
        <v>-28.017457771409799</v>
      </c>
      <c r="D1302">
        <v>1.95</v>
      </c>
      <c r="E1302">
        <f t="shared" si="299"/>
        <v>186.73620925481345</v>
      </c>
      <c r="F1302">
        <f t="shared" si="300"/>
        <v>1.9999228842676332E-2</v>
      </c>
      <c r="G1302">
        <f t="shared" si="301"/>
        <v>6.1853285080442265E-2</v>
      </c>
      <c r="H1302">
        <f t="shared" si="302"/>
        <v>50.791039627144244</v>
      </c>
      <c r="I1302">
        <f t="shared" si="303"/>
        <v>1.0233526670782638</v>
      </c>
      <c r="J1302">
        <f t="shared" si="304"/>
        <v>1.0902525387551092</v>
      </c>
      <c r="K1302">
        <f t="shared" si="305"/>
        <v>0.56257578591049073</v>
      </c>
      <c r="L1302">
        <f t="shared" si="306"/>
        <v>1.2422107148324344</v>
      </c>
      <c r="M1302">
        <f t="shared" si="307"/>
        <v>1.0060620302614087</v>
      </c>
      <c r="N1302">
        <f t="shared" si="308"/>
        <v>0.99980999565600903</v>
      </c>
      <c r="O1302">
        <v>3.6167196937031704E-3</v>
      </c>
      <c r="P1302">
        <v>6.7369102135956382E-3</v>
      </c>
      <c r="Q1302">
        <f t="shared" si="309"/>
        <v>4252.6786294057129</v>
      </c>
      <c r="R1302">
        <f t="shared" si="310"/>
        <v>4.2526786294057128</v>
      </c>
    </row>
    <row r="1303" spans="1:18" x14ac:dyDescent="0.3">
      <c r="A1303">
        <v>2.6040000000000001</v>
      </c>
      <c r="B1303" s="4"/>
      <c r="C1303">
        <v>-28.017457771409799</v>
      </c>
      <c r="D1303">
        <v>1.95</v>
      </c>
      <c r="E1303">
        <f t="shared" si="299"/>
        <v>186.73620925481345</v>
      </c>
      <c r="F1303">
        <f t="shared" si="300"/>
        <v>1.9999228842676332E-2</v>
      </c>
      <c r="G1303">
        <f t="shared" si="301"/>
        <v>6.1853285080442265E-2</v>
      </c>
      <c r="H1303">
        <f t="shared" si="302"/>
        <v>50.791039627144244</v>
      </c>
      <c r="I1303">
        <f t="shared" si="303"/>
        <v>1.0233526670782638</v>
      </c>
      <c r="J1303">
        <f t="shared" si="304"/>
        <v>1.0902525387551092</v>
      </c>
      <c r="K1303">
        <f t="shared" si="305"/>
        <v>0.56257578591049073</v>
      </c>
      <c r="L1303">
        <f t="shared" si="306"/>
        <v>1.2422107148324344</v>
      </c>
      <c r="M1303">
        <f t="shared" si="307"/>
        <v>1.0046135364100721</v>
      </c>
      <c r="N1303">
        <f t="shared" si="308"/>
        <v>0.99002917190426676</v>
      </c>
      <c r="O1303">
        <v>3.6698098838703654E-3</v>
      </c>
      <c r="P1303">
        <v>6.6823152205975501E-3</v>
      </c>
      <c r="Q1303">
        <f t="shared" si="309"/>
        <v>4252.6786294057129</v>
      </c>
      <c r="R1303">
        <f t="shared" si="310"/>
        <v>4.2526786294057128</v>
      </c>
    </row>
    <row r="1304" spans="1:18" x14ac:dyDescent="0.3">
      <c r="A1304">
        <v>2.6059999999999999</v>
      </c>
      <c r="B1304" s="4"/>
      <c r="C1304">
        <v>-28.017457771409799</v>
      </c>
      <c r="D1304">
        <v>1.95</v>
      </c>
      <c r="E1304">
        <f t="shared" si="299"/>
        <v>186.73620925481345</v>
      </c>
      <c r="F1304">
        <f t="shared" si="300"/>
        <v>1.9999228842676332E-2</v>
      </c>
      <c r="G1304">
        <f t="shared" si="301"/>
        <v>6.1853285080442265E-2</v>
      </c>
      <c r="H1304">
        <f t="shared" si="302"/>
        <v>50.791039627144244</v>
      </c>
      <c r="I1304">
        <f t="shared" si="303"/>
        <v>1.0233526670782638</v>
      </c>
      <c r="J1304">
        <f t="shared" si="304"/>
        <v>1.0902525387551092</v>
      </c>
      <c r="K1304">
        <f t="shared" si="305"/>
        <v>0.56257578591049073</v>
      </c>
      <c r="L1304">
        <f t="shared" si="306"/>
        <v>1.2422107148324344</v>
      </c>
      <c r="M1304">
        <f t="shared" si="307"/>
        <v>1.0029453641286816</v>
      </c>
      <c r="N1304">
        <f t="shared" si="308"/>
        <v>0.99101486420383145</v>
      </c>
      <c r="O1304">
        <v>3.742735509662492E-3</v>
      </c>
      <c r="P1304">
        <v>6.6385326928812315E-3</v>
      </c>
      <c r="Q1304">
        <f t="shared" si="309"/>
        <v>4252.6786294057129</v>
      </c>
      <c r="R1304">
        <f t="shared" si="310"/>
        <v>4.2526786294057128</v>
      </c>
    </row>
    <row r="1305" spans="1:18" x14ac:dyDescent="0.3">
      <c r="A1305">
        <v>2.6080000000000001</v>
      </c>
      <c r="B1305" s="4"/>
      <c r="C1305">
        <v>-28.017457771409799</v>
      </c>
      <c r="D1305">
        <v>1.95</v>
      </c>
      <c r="E1305">
        <f t="shared" si="299"/>
        <v>186.73620925481345</v>
      </c>
      <c r="F1305">
        <f t="shared" si="300"/>
        <v>1.9999228842676332E-2</v>
      </c>
      <c r="G1305">
        <f t="shared" si="301"/>
        <v>6.1853285080442265E-2</v>
      </c>
      <c r="H1305">
        <f t="shared" si="302"/>
        <v>50.791039627144244</v>
      </c>
      <c r="I1305">
        <f t="shared" si="303"/>
        <v>1.0233526670782638</v>
      </c>
      <c r="J1305">
        <f t="shared" si="304"/>
        <v>1.0902525387551092</v>
      </c>
      <c r="K1305">
        <f t="shared" si="305"/>
        <v>0.56257578591049073</v>
      </c>
      <c r="L1305">
        <f t="shared" si="306"/>
        <v>1.2422107148324344</v>
      </c>
      <c r="M1305">
        <f t="shared" si="307"/>
        <v>1.0013703579232476</v>
      </c>
      <c r="N1305">
        <f t="shared" si="308"/>
        <v>0.99217205839502787</v>
      </c>
      <c r="O1305">
        <v>3.834788692753173E-3</v>
      </c>
      <c r="P1305">
        <v>6.5827567793641257E-3</v>
      </c>
      <c r="Q1305">
        <f t="shared" si="309"/>
        <v>4252.6786294057129</v>
      </c>
      <c r="R1305">
        <f t="shared" si="310"/>
        <v>4.2526786294057128</v>
      </c>
    </row>
    <row r="1306" spans="1:18" x14ac:dyDescent="0.3">
      <c r="A1306">
        <v>2.61</v>
      </c>
      <c r="B1306" s="4"/>
      <c r="C1306">
        <v>-28.017457771409799</v>
      </c>
      <c r="D1306">
        <v>1.95</v>
      </c>
      <c r="E1306">
        <f t="shared" si="299"/>
        <v>186.73620925481345</v>
      </c>
      <c r="F1306">
        <f t="shared" si="300"/>
        <v>1.9999228842676332E-2</v>
      </c>
      <c r="G1306">
        <f t="shared" si="301"/>
        <v>6.1853285080442265E-2</v>
      </c>
      <c r="H1306">
        <f t="shared" si="302"/>
        <v>50.791039627144244</v>
      </c>
      <c r="I1306">
        <f t="shared" si="303"/>
        <v>1.0233526670782638</v>
      </c>
      <c r="J1306">
        <f t="shared" si="304"/>
        <v>1.0902525387551092</v>
      </c>
      <c r="K1306">
        <f t="shared" si="305"/>
        <v>0.56257578591049073</v>
      </c>
      <c r="L1306">
        <f t="shared" si="306"/>
        <v>1.2422107148324344</v>
      </c>
      <c r="M1306">
        <f t="shared" si="307"/>
        <v>1.0002620950980374</v>
      </c>
      <c r="N1306">
        <f t="shared" si="308"/>
        <v>0.99343392824415222</v>
      </c>
      <c r="O1306">
        <v>3.9450735285087562E-3</v>
      </c>
      <c r="P1306">
        <v>6.5151734960367681E-3</v>
      </c>
      <c r="Q1306">
        <f t="shared" si="309"/>
        <v>4252.6786294057129</v>
      </c>
      <c r="R1306">
        <f t="shared" si="310"/>
        <v>4.2526786294057128</v>
      </c>
    </row>
    <row r="1307" spans="1:18" x14ac:dyDescent="0.3">
      <c r="A1307">
        <v>2.6120000000000001</v>
      </c>
      <c r="B1307" s="4"/>
      <c r="C1307">
        <v>-28.017457771409799</v>
      </c>
      <c r="D1307">
        <v>1.95</v>
      </c>
      <c r="E1307">
        <f t="shared" si="299"/>
        <v>186.73620925481345</v>
      </c>
      <c r="F1307">
        <f t="shared" si="300"/>
        <v>1.9999228842676332E-2</v>
      </c>
      <c r="G1307">
        <f t="shared" si="301"/>
        <v>6.1853285080442265E-2</v>
      </c>
      <c r="H1307">
        <f t="shared" si="302"/>
        <v>50.791039627144244</v>
      </c>
      <c r="I1307">
        <f t="shared" si="303"/>
        <v>1.0233526670782638</v>
      </c>
      <c r="J1307">
        <f t="shared" si="304"/>
        <v>1.0902525387551092</v>
      </c>
      <c r="K1307">
        <f t="shared" si="305"/>
        <v>0.56257578591049073</v>
      </c>
      <c r="L1307">
        <f t="shared" si="306"/>
        <v>1.2422107148324344</v>
      </c>
      <c r="M1307">
        <f t="shared" si="307"/>
        <v>0.99493351839280431</v>
      </c>
      <c r="N1307">
        <f t="shared" si="308"/>
        <v>0.99472882176819977</v>
      </c>
      <c r="O1307">
        <v>4.0544585954635625E-3</v>
      </c>
      <c r="P1307">
        <v>6.4360255416153192E-3</v>
      </c>
      <c r="Q1307">
        <f t="shared" si="309"/>
        <v>4252.6786294057129</v>
      </c>
      <c r="R1307">
        <f t="shared" si="310"/>
        <v>4.2526786294057128</v>
      </c>
    </row>
    <row r="1308" spans="1:18" x14ac:dyDescent="0.3">
      <c r="A1308">
        <v>2.6139999999999999</v>
      </c>
      <c r="B1308" s="4"/>
      <c r="C1308">
        <v>-28.017457771409799</v>
      </c>
      <c r="D1308">
        <v>1.95</v>
      </c>
      <c r="E1308">
        <f t="shared" si="299"/>
        <v>186.73620925481345</v>
      </c>
      <c r="F1308">
        <f t="shared" si="300"/>
        <v>1.9999228842676332E-2</v>
      </c>
      <c r="G1308">
        <f t="shared" si="301"/>
        <v>6.1853285080442265E-2</v>
      </c>
      <c r="H1308">
        <f t="shared" si="302"/>
        <v>50.791039627144244</v>
      </c>
      <c r="I1308">
        <f t="shared" si="303"/>
        <v>1.0233526670782638</v>
      </c>
      <c r="J1308">
        <f t="shared" si="304"/>
        <v>1.0902525387551092</v>
      </c>
      <c r="K1308">
        <f t="shared" si="305"/>
        <v>0.56257578591049073</v>
      </c>
      <c r="L1308">
        <f t="shared" si="306"/>
        <v>1.2422107148324344</v>
      </c>
      <c r="M1308">
        <f t="shared" si="307"/>
        <v>1.0006623107883956</v>
      </c>
      <c r="N1308">
        <f t="shared" si="308"/>
        <v>0.99598526963975242</v>
      </c>
      <c r="O1308">
        <v>4.2142526080113816E-3</v>
      </c>
      <c r="P1308">
        <v>6.3456216385343244E-3</v>
      </c>
      <c r="Q1308">
        <f t="shared" si="309"/>
        <v>4252.6786294057129</v>
      </c>
      <c r="R1308">
        <f t="shared" si="310"/>
        <v>4.2526786294057128</v>
      </c>
    </row>
    <row r="1309" spans="1:18" x14ac:dyDescent="0.3">
      <c r="A1309">
        <v>2.6160000000000001</v>
      </c>
      <c r="B1309" s="4"/>
      <c r="C1309">
        <v>-28.017457771409799</v>
      </c>
      <c r="D1309">
        <v>1.95</v>
      </c>
      <c r="E1309">
        <f t="shared" si="299"/>
        <v>186.73620925481345</v>
      </c>
      <c r="F1309">
        <f t="shared" si="300"/>
        <v>1.9999228842676332E-2</v>
      </c>
      <c r="G1309">
        <f t="shared" si="301"/>
        <v>6.1853285080442265E-2</v>
      </c>
      <c r="H1309">
        <f t="shared" si="302"/>
        <v>50.791039627144244</v>
      </c>
      <c r="I1309">
        <f t="shared" si="303"/>
        <v>1.0233526670782638</v>
      </c>
      <c r="J1309">
        <f t="shared" si="304"/>
        <v>1.0902525387551092</v>
      </c>
      <c r="K1309">
        <f t="shared" si="305"/>
        <v>0.56257578591049073</v>
      </c>
      <c r="L1309">
        <f t="shared" si="306"/>
        <v>1.2422107148324344</v>
      </c>
      <c r="M1309">
        <f t="shared" si="307"/>
        <v>1.0030242264991656</v>
      </c>
      <c r="N1309">
        <f t="shared" si="308"/>
        <v>0.99713721279531731</v>
      </c>
      <c r="O1309">
        <v>4.3705223169866114E-3</v>
      </c>
      <c r="P1309">
        <v>6.2443473412866473E-3</v>
      </c>
      <c r="Q1309">
        <f t="shared" si="309"/>
        <v>4252.6786294057129</v>
      </c>
      <c r="R1309">
        <f t="shared" si="310"/>
        <v>4.2526786294057128</v>
      </c>
    </row>
  </sheetData>
  <mergeCells count="82">
    <mergeCell ref="B203:B211"/>
    <mergeCell ref="B212:B221"/>
    <mergeCell ref="B222:B231"/>
    <mergeCell ref="B193:B202"/>
    <mergeCell ref="B34:B40"/>
    <mergeCell ref="B41:B46"/>
    <mergeCell ref="B61:B68"/>
    <mergeCell ref="B69:B75"/>
    <mergeCell ref="B99:B106"/>
    <mergeCell ref="B107:B114"/>
    <mergeCell ref="B115:B122"/>
    <mergeCell ref="B131:B139"/>
    <mergeCell ref="B140:B147"/>
    <mergeCell ref="B157:B165"/>
    <mergeCell ref="B166:B174"/>
    <mergeCell ref="B175:B183"/>
    <mergeCell ref="B148:B156"/>
    <mergeCell ref="B184:B192"/>
    <mergeCell ref="B123:B130"/>
    <mergeCell ref="B76:B82"/>
    <mergeCell ref="B83:B90"/>
    <mergeCell ref="B91:B98"/>
    <mergeCell ref="B47:B53"/>
    <mergeCell ref="B54:B60"/>
    <mergeCell ref="B2:B7"/>
    <mergeCell ref="B8:B13"/>
    <mergeCell ref="B14:B20"/>
    <mergeCell ref="B21:B26"/>
    <mergeCell ref="B27:B33"/>
    <mergeCell ref="B232:B241"/>
    <mergeCell ref="B242:B251"/>
    <mergeCell ref="B252:B262"/>
    <mergeCell ref="B263:B272"/>
    <mergeCell ref="B273:B283"/>
    <mergeCell ref="B284:B294"/>
    <mergeCell ref="B295:B306"/>
    <mergeCell ref="B307:B320"/>
    <mergeCell ref="B321:B329"/>
    <mergeCell ref="B330:B342"/>
    <mergeCell ref="B343:B354"/>
    <mergeCell ref="B355:B367"/>
    <mergeCell ref="B368:B381"/>
    <mergeCell ref="B382:B395"/>
    <mergeCell ref="B396:B409"/>
    <mergeCell ref="B410:B424"/>
    <mergeCell ref="B425:B440"/>
    <mergeCell ref="B441:B456"/>
    <mergeCell ref="B457:B472"/>
    <mergeCell ref="B473:B489"/>
    <mergeCell ref="B490:B507"/>
    <mergeCell ref="B508:B525"/>
    <mergeCell ref="B526:B544"/>
    <mergeCell ref="B545:B563"/>
    <mergeCell ref="B564:B583"/>
    <mergeCell ref="B584:B603"/>
    <mergeCell ref="B604:B624"/>
    <mergeCell ref="B625:B645"/>
    <mergeCell ref="B646:B667"/>
    <mergeCell ref="B668:B689"/>
    <mergeCell ref="B690:B711"/>
    <mergeCell ref="B712:B734"/>
    <mergeCell ref="B735:B759"/>
    <mergeCell ref="B760:B781"/>
    <mergeCell ref="B782:B806"/>
    <mergeCell ref="B807:B830"/>
    <mergeCell ref="B831:B855"/>
    <mergeCell ref="B856:B881"/>
    <mergeCell ref="B882:B907"/>
    <mergeCell ref="B908:B933"/>
    <mergeCell ref="B934:B960"/>
    <mergeCell ref="B961:B987"/>
    <mergeCell ref="B988:B1014"/>
    <mergeCell ref="B1015:B1042"/>
    <mergeCell ref="B1043:B1070"/>
    <mergeCell ref="B1217:B1247"/>
    <mergeCell ref="B1248:B1278"/>
    <mergeCell ref="B1279:B1309"/>
    <mergeCell ref="B1071:B1099"/>
    <mergeCell ref="B1100:B1128"/>
    <mergeCell ref="B1129:B1157"/>
    <mergeCell ref="B1158:B1186"/>
    <mergeCell ref="B1187:B12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oal_Seek_Range_SingleGoal">
                <anchor moveWithCells="1" sizeWithCells="1">
                  <from>
                    <xdr:col>20</xdr:col>
                    <xdr:colOff>129540</xdr:colOff>
                    <xdr:row>10</xdr:row>
                    <xdr:rowOff>106680</xdr:rowOff>
                  </from>
                  <to>
                    <xdr:col>21</xdr:col>
                    <xdr:colOff>320040</xdr:colOff>
                    <xdr:row>12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83"/>
  <sheetViews>
    <sheetView topLeftCell="A30" workbookViewId="0">
      <selection activeCell="Q16" sqref="Q16"/>
    </sheetView>
  </sheetViews>
  <sheetFormatPr defaultRowHeight="14.4" x14ac:dyDescent="0.3"/>
  <cols>
    <col min="2" max="2" width="16.6640625" customWidth="1"/>
  </cols>
  <sheetData>
    <row r="1" spans="1:3" x14ac:dyDescent="0.3">
      <c r="A1" t="s">
        <v>5</v>
      </c>
      <c r="B1" t="s">
        <v>6</v>
      </c>
      <c r="C1" t="s">
        <v>13</v>
      </c>
    </row>
    <row r="2" spans="1:3" x14ac:dyDescent="0.3">
      <c r="A2">
        <v>1</v>
      </c>
      <c r="B2">
        <v>1.0665914219999999</v>
      </c>
      <c r="C2">
        <v>-49.101322099999997</v>
      </c>
    </row>
    <row r="3" spans="1:3" x14ac:dyDescent="0.3">
      <c r="A3">
        <v>2</v>
      </c>
      <c r="B3">
        <v>1.0654627539999999</v>
      </c>
      <c r="C3">
        <v>-49.101322099999997</v>
      </c>
    </row>
    <row r="4" spans="1:3" x14ac:dyDescent="0.3">
      <c r="A4">
        <v>3</v>
      </c>
      <c r="B4">
        <v>1.0665914219999999</v>
      </c>
      <c r="C4">
        <v>-49.085524100000001</v>
      </c>
    </row>
    <row r="5" spans="1:3" x14ac:dyDescent="0.3">
      <c r="A5">
        <v>4</v>
      </c>
      <c r="B5">
        <v>1.0665914219999999</v>
      </c>
      <c r="C5">
        <v>-49.068842619999998</v>
      </c>
    </row>
    <row r="6" spans="1:3" x14ac:dyDescent="0.3">
      <c r="A6">
        <v>5</v>
      </c>
      <c r="B6">
        <v>1.0677200899999999</v>
      </c>
      <c r="C6">
        <v>-49.03054238</v>
      </c>
    </row>
    <row r="7" spans="1:3" x14ac:dyDescent="0.3">
      <c r="A7">
        <v>6</v>
      </c>
      <c r="B7">
        <v>1.0688487579999999</v>
      </c>
      <c r="C7">
        <v>-49.007562239999999</v>
      </c>
    </row>
    <row r="8" spans="1:3" x14ac:dyDescent="0.3">
      <c r="A8">
        <v>7</v>
      </c>
      <c r="B8">
        <v>1.069977427</v>
      </c>
      <c r="C8">
        <v>-48.976922049999999</v>
      </c>
    </row>
    <row r="9" spans="1:3" x14ac:dyDescent="0.3">
      <c r="A9">
        <v>8</v>
      </c>
      <c r="B9">
        <v>1.072234763</v>
      </c>
      <c r="C9">
        <v>-48.953941909999998</v>
      </c>
    </row>
    <row r="10" spans="1:3" x14ac:dyDescent="0.3">
      <c r="A10">
        <v>9</v>
      </c>
      <c r="B10">
        <v>1.073363431</v>
      </c>
      <c r="C10">
        <v>-48.923301719999998</v>
      </c>
    </row>
    <row r="11" spans="1:3" x14ac:dyDescent="0.3">
      <c r="A11">
        <v>10</v>
      </c>
      <c r="B11">
        <v>1.075620767</v>
      </c>
      <c r="C11">
        <v>-48.923301719999998</v>
      </c>
    </row>
    <row r="12" spans="1:3" x14ac:dyDescent="0.3">
      <c r="A12">
        <v>11</v>
      </c>
      <c r="B12">
        <v>1.0790067720000001</v>
      </c>
      <c r="C12">
        <v>-48.877341430000001</v>
      </c>
    </row>
    <row r="13" spans="1:3" x14ac:dyDescent="0.3">
      <c r="A13">
        <v>12</v>
      </c>
      <c r="B13">
        <v>1.0801354400000001</v>
      </c>
      <c r="C13">
        <v>-48.85436129</v>
      </c>
    </row>
    <row r="14" spans="1:3" x14ac:dyDescent="0.3">
      <c r="A14">
        <v>13</v>
      </c>
      <c r="B14">
        <v>1.0812641080000001</v>
      </c>
      <c r="C14">
        <v>-48.85436129</v>
      </c>
    </row>
    <row r="15" spans="1:3" x14ac:dyDescent="0.3">
      <c r="A15">
        <v>14</v>
      </c>
      <c r="B15">
        <v>1.0823927769999999</v>
      </c>
      <c r="C15">
        <v>-48.800740949999998</v>
      </c>
    </row>
    <row r="16" spans="1:3" x14ac:dyDescent="0.3">
      <c r="A16">
        <v>15</v>
      </c>
      <c r="B16">
        <v>1.0869074489999999</v>
      </c>
      <c r="C16">
        <v>-48.785420860000002</v>
      </c>
    </row>
    <row r="17" spans="1:3" x14ac:dyDescent="0.3">
      <c r="A17">
        <v>16</v>
      </c>
      <c r="B17">
        <v>1.0880361169999999</v>
      </c>
      <c r="C17">
        <v>-48.754780670000002</v>
      </c>
    </row>
    <row r="18" spans="1:3" x14ac:dyDescent="0.3">
      <c r="A18">
        <v>17</v>
      </c>
      <c r="B18">
        <v>1.089164786</v>
      </c>
      <c r="C18">
        <v>-48.739460569999999</v>
      </c>
    </row>
    <row r="19" spans="1:3" x14ac:dyDescent="0.3">
      <c r="A19">
        <v>18</v>
      </c>
      <c r="B19">
        <v>1.091422122</v>
      </c>
      <c r="C19">
        <v>-48.678180189999999</v>
      </c>
    </row>
    <row r="20" spans="1:3" x14ac:dyDescent="0.3">
      <c r="A20">
        <v>19</v>
      </c>
      <c r="B20">
        <v>1.0959367950000001</v>
      </c>
      <c r="C20">
        <v>-48.655200049999998</v>
      </c>
    </row>
    <row r="21" spans="1:3" x14ac:dyDescent="0.3">
      <c r="A21">
        <v>20</v>
      </c>
      <c r="B21">
        <v>1.093679458</v>
      </c>
      <c r="C21">
        <v>-48.624559859999998</v>
      </c>
    </row>
    <row r="22" spans="1:3" x14ac:dyDescent="0.3">
      <c r="A22">
        <v>21</v>
      </c>
      <c r="B22">
        <v>1.0981941310000001</v>
      </c>
      <c r="C22">
        <v>-48.609239760000001</v>
      </c>
    </row>
    <row r="23" spans="1:3" x14ac:dyDescent="0.3">
      <c r="A23">
        <v>22</v>
      </c>
      <c r="B23">
        <v>1.0993227990000001</v>
      </c>
      <c r="C23">
        <v>-48.547959380000002</v>
      </c>
    </row>
    <row r="24" spans="1:3" x14ac:dyDescent="0.3">
      <c r="A24">
        <v>23</v>
      </c>
      <c r="B24">
        <v>1.1038374719999999</v>
      </c>
      <c r="C24">
        <v>-48.517319190000002</v>
      </c>
    </row>
    <row r="25" spans="1:3" x14ac:dyDescent="0.3">
      <c r="A25">
        <v>24</v>
      </c>
      <c r="B25">
        <v>1.1072234759999999</v>
      </c>
      <c r="C25">
        <v>-48.471358909999999</v>
      </c>
    </row>
    <row r="26" spans="1:3" x14ac:dyDescent="0.3">
      <c r="A26">
        <v>25</v>
      </c>
      <c r="B26">
        <v>1.111738149</v>
      </c>
      <c r="C26">
        <v>-48.417738569999997</v>
      </c>
    </row>
    <row r="27" spans="1:3" x14ac:dyDescent="0.3">
      <c r="A27">
        <v>26</v>
      </c>
      <c r="B27">
        <v>1.1162528220000001</v>
      </c>
      <c r="C27">
        <v>-48.394758430000003</v>
      </c>
    </row>
    <row r="28" spans="1:3" x14ac:dyDescent="0.3">
      <c r="A28">
        <v>27</v>
      </c>
      <c r="B28">
        <v>1.1207674940000001</v>
      </c>
      <c r="C28">
        <v>-48.341138100000002</v>
      </c>
    </row>
    <row r="29" spans="1:3" x14ac:dyDescent="0.3">
      <c r="A29">
        <v>28</v>
      </c>
      <c r="B29">
        <v>1.128668172</v>
      </c>
      <c r="C29">
        <v>-48.287517770000001</v>
      </c>
    </row>
    <row r="30" spans="1:3" x14ac:dyDescent="0.3">
      <c r="A30">
        <v>29</v>
      </c>
      <c r="B30">
        <v>1.1388261850000001</v>
      </c>
      <c r="C30">
        <v>-48.218577340000003</v>
      </c>
    </row>
    <row r="31" spans="1:3" x14ac:dyDescent="0.3">
      <c r="A31">
        <v>30</v>
      </c>
      <c r="B31">
        <v>1.14785553</v>
      </c>
      <c r="C31">
        <v>-48.164957000000001</v>
      </c>
    </row>
    <row r="32" spans="1:3" x14ac:dyDescent="0.3">
      <c r="A32">
        <v>31</v>
      </c>
      <c r="B32">
        <v>1.1568848759999999</v>
      </c>
      <c r="C32">
        <v>-48.11133667</v>
      </c>
    </row>
    <row r="33" spans="1:3" x14ac:dyDescent="0.3">
      <c r="A33">
        <v>32</v>
      </c>
      <c r="B33">
        <v>1.167042889</v>
      </c>
      <c r="C33">
        <v>-48.061336670000003</v>
      </c>
    </row>
    <row r="34" spans="1:3" x14ac:dyDescent="0.3">
      <c r="A34">
        <v>33</v>
      </c>
      <c r="B34">
        <v>1.1738148980000001</v>
      </c>
      <c r="C34">
        <v>-48.019416100000001</v>
      </c>
    </row>
    <row r="35" spans="1:3" x14ac:dyDescent="0.3">
      <c r="A35">
        <v>34</v>
      </c>
      <c r="B35">
        <v>1.18510158</v>
      </c>
      <c r="C35">
        <v>-47.958135720000001</v>
      </c>
    </row>
    <row r="36" spans="1:3" x14ac:dyDescent="0.3">
      <c r="A36">
        <v>35</v>
      </c>
      <c r="B36">
        <v>1.1986455979999999</v>
      </c>
      <c r="C36">
        <v>-47.850895049999998</v>
      </c>
    </row>
    <row r="37" spans="1:3" x14ac:dyDescent="0.3">
      <c r="A37">
        <v>36</v>
      </c>
      <c r="B37">
        <v>1.242663657</v>
      </c>
      <c r="C37">
        <v>-47.766634529999997</v>
      </c>
    </row>
    <row r="38" spans="1:3" x14ac:dyDescent="0.3">
      <c r="A38">
        <v>37</v>
      </c>
      <c r="B38">
        <v>1.299097065</v>
      </c>
      <c r="C38">
        <v>-47.63641372</v>
      </c>
    </row>
    <row r="39" spans="1:3" x14ac:dyDescent="0.3">
      <c r="A39">
        <v>38</v>
      </c>
      <c r="B39">
        <v>1.351015801</v>
      </c>
      <c r="C39">
        <v>-47.467892669999998</v>
      </c>
    </row>
    <row r="40" spans="1:3" x14ac:dyDescent="0.3">
      <c r="A40">
        <v>39</v>
      </c>
      <c r="B40">
        <v>1.4006772009999999</v>
      </c>
      <c r="C40">
        <v>-47.299371630000003</v>
      </c>
    </row>
    <row r="41" spans="1:3" x14ac:dyDescent="0.3">
      <c r="A41">
        <v>40</v>
      </c>
      <c r="B41">
        <v>1.448081264</v>
      </c>
      <c r="C41">
        <v>-47.100210390000001</v>
      </c>
    </row>
    <row r="42" spans="1:3" x14ac:dyDescent="0.3">
      <c r="A42">
        <v>41</v>
      </c>
      <c r="B42">
        <v>1.4954853269999999</v>
      </c>
      <c r="C42">
        <v>-47.001002100000001</v>
      </c>
    </row>
    <row r="43" spans="1:3" x14ac:dyDescent="0.3">
      <c r="A43">
        <v>42</v>
      </c>
      <c r="B43">
        <v>1.551918736</v>
      </c>
      <c r="C43">
        <v>-46.862748910000001</v>
      </c>
    </row>
    <row r="44" spans="1:3" x14ac:dyDescent="0.3">
      <c r="A44">
        <v>43</v>
      </c>
      <c r="B44">
        <v>1.6015801350000001</v>
      </c>
      <c r="C44">
        <v>-46.579327149999997</v>
      </c>
    </row>
    <row r="45" spans="1:3" x14ac:dyDescent="0.3">
      <c r="A45">
        <v>44</v>
      </c>
      <c r="B45">
        <v>1.6975169299999999</v>
      </c>
      <c r="C45">
        <v>-46.257605150000003</v>
      </c>
    </row>
    <row r="46" spans="1:3" x14ac:dyDescent="0.3">
      <c r="A46">
        <v>45</v>
      </c>
      <c r="B46">
        <v>1.8024830700000001</v>
      </c>
      <c r="C46">
        <v>-45.943543200000001</v>
      </c>
    </row>
    <row r="47" spans="1:3" x14ac:dyDescent="0.3">
      <c r="A47">
        <v>46</v>
      </c>
      <c r="B47">
        <v>1.8972911960000001</v>
      </c>
      <c r="C47">
        <v>-45.537560679999999</v>
      </c>
    </row>
    <row r="48" spans="1:3" x14ac:dyDescent="0.3">
      <c r="A48">
        <v>47</v>
      </c>
      <c r="B48">
        <v>1.95</v>
      </c>
      <c r="C48">
        <v>-45.11625806</v>
      </c>
    </row>
    <row r="49" spans="1:3" x14ac:dyDescent="0.3">
      <c r="A49">
        <v>48</v>
      </c>
      <c r="B49">
        <v>1.95</v>
      </c>
      <c r="C49">
        <v>-44.656655209999997</v>
      </c>
    </row>
    <row r="50" spans="1:3" x14ac:dyDescent="0.3">
      <c r="A50">
        <v>49</v>
      </c>
      <c r="B50">
        <v>1.95</v>
      </c>
      <c r="C50">
        <v>-44.232756500000001</v>
      </c>
    </row>
    <row r="51" spans="1:3" x14ac:dyDescent="0.3">
      <c r="A51">
        <v>50</v>
      </c>
      <c r="B51">
        <v>1.95</v>
      </c>
      <c r="C51">
        <v>-44.174072209999999</v>
      </c>
    </row>
    <row r="52" spans="1:3" x14ac:dyDescent="0.3">
      <c r="A52">
        <v>51</v>
      </c>
      <c r="B52">
        <v>1.95</v>
      </c>
      <c r="C52">
        <v>-43.706809309999997</v>
      </c>
    </row>
    <row r="53" spans="1:3" x14ac:dyDescent="0.3">
      <c r="A53">
        <v>52</v>
      </c>
      <c r="B53">
        <v>1.95</v>
      </c>
      <c r="C53">
        <v>-43.231886359999997</v>
      </c>
    </row>
    <row r="54" spans="1:3" x14ac:dyDescent="0.3">
      <c r="A54">
        <v>53</v>
      </c>
      <c r="B54">
        <v>1.95</v>
      </c>
      <c r="C54">
        <v>-42.741643310000001</v>
      </c>
    </row>
    <row r="55" spans="1:3" x14ac:dyDescent="0.3">
      <c r="A55">
        <v>54</v>
      </c>
      <c r="B55">
        <v>1.95</v>
      </c>
      <c r="C55">
        <v>-42.236080170000001</v>
      </c>
    </row>
    <row r="56" spans="1:3" x14ac:dyDescent="0.3">
      <c r="A56">
        <v>55</v>
      </c>
      <c r="B56">
        <v>1.95</v>
      </c>
      <c r="C56">
        <v>-41.753497170000003</v>
      </c>
    </row>
    <row r="57" spans="1:3" x14ac:dyDescent="0.3">
      <c r="A57">
        <v>56</v>
      </c>
      <c r="B57">
        <v>1.95</v>
      </c>
      <c r="C57">
        <v>-41.224953890000002</v>
      </c>
    </row>
    <row r="58" spans="1:3" x14ac:dyDescent="0.3">
      <c r="A58">
        <v>57</v>
      </c>
      <c r="B58">
        <v>1.95</v>
      </c>
      <c r="C58">
        <v>-40.711730699999997</v>
      </c>
    </row>
    <row r="59" spans="1:3" x14ac:dyDescent="0.3">
      <c r="A59">
        <v>58</v>
      </c>
      <c r="B59">
        <v>1.95</v>
      </c>
      <c r="C59">
        <v>-40.190847470000001</v>
      </c>
    </row>
    <row r="60" spans="1:3" x14ac:dyDescent="0.3">
      <c r="A60">
        <v>59</v>
      </c>
      <c r="B60">
        <v>1.95</v>
      </c>
      <c r="C60">
        <v>-39.708264470000003</v>
      </c>
    </row>
    <row r="61" spans="1:3" x14ac:dyDescent="0.3">
      <c r="A61">
        <v>60</v>
      </c>
      <c r="B61">
        <v>1.95</v>
      </c>
      <c r="C61">
        <v>-39.172061139999997</v>
      </c>
    </row>
    <row r="62" spans="1:3" x14ac:dyDescent="0.3">
      <c r="A62">
        <v>61</v>
      </c>
      <c r="B62">
        <v>1.95</v>
      </c>
      <c r="C62">
        <v>-38.635857809999997</v>
      </c>
    </row>
    <row r="63" spans="1:3" x14ac:dyDescent="0.3">
      <c r="A63">
        <v>62</v>
      </c>
      <c r="B63">
        <v>1.95</v>
      </c>
      <c r="C63">
        <v>-38.084334380000001</v>
      </c>
    </row>
    <row r="64" spans="1:3" x14ac:dyDescent="0.3">
      <c r="A64">
        <v>63</v>
      </c>
      <c r="B64">
        <v>1.95</v>
      </c>
      <c r="C64">
        <v>-37.548131050000002</v>
      </c>
    </row>
    <row r="65" spans="1:3" x14ac:dyDescent="0.3">
      <c r="A65">
        <v>64</v>
      </c>
      <c r="B65">
        <v>1.95</v>
      </c>
      <c r="C65">
        <v>-37.01958776</v>
      </c>
    </row>
    <row r="66" spans="1:3" x14ac:dyDescent="0.3">
      <c r="A66">
        <v>65</v>
      </c>
      <c r="B66">
        <v>1.95</v>
      </c>
      <c r="C66">
        <v>-36.491044479999999</v>
      </c>
    </row>
    <row r="67" spans="1:3" x14ac:dyDescent="0.3">
      <c r="A67">
        <v>66</v>
      </c>
      <c r="B67">
        <v>1.95</v>
      </c>
      <c r="C67">
        <v>-35.936967709999998</v>
      </c>
    </row>
    <row r="68" spans="1:3" x14ac:dyDescent="0.3">
      <c r="A68">
        <v>67</v>
      </c>
      <c r="B68">
        <v>1.95</v>
      </c>
      <c r="C68">
        <v>-35.36501749</v>
      </c>
    </row>
    <row r="69" spans="1:3" x14ac:dyDescent="0.3">
      <c r="A69">
        <v>68</v>
      </c>
      <c r="B69">
        <v>1.95</v>
      </c>
      <c r="C69">
        <v>-34.805834009999998</v>
      </c>
    </row>
    <row r="70" spans="1:3" x14ac:dyDescent="0.3">
      <c r="A70">
        <v>69</v>
      </c>
      <c r="B70">
        <v>1.95</v>
      </c>
      <c r="C70">
        <v>-34.238990489999999</v>
      </c>
    </row>
    <row r="71" spans="1:3" x14ac:dyDescent="0.3">
      <c r="A71">
        <v>70</v>
      </c>
      <c r="B71">
        <v>1.95</v>
      </c>
      <c r="C71">
        <v>-34.023899049999997</v>
      </c>
    </row>
    <row r="72" spans="1:3" x14ac:dyDescent="0.3">
      <c r="A72">
        <v>71</v>
      </c>
      <c r="B72">
        <v>1.95</v>
      </c>
      <c r="C72">
        <v>-33.679807019999998</v>
      </c>
    </row>
    <row r="73" spans="1:3" x14ac:dyDescent="0.3">
      <c r="A73">
        <v>72</v>
      </c>
      <c r="B73">
        <v>1.95</v>
      </c>
      <c r="C73">
        <v>-33.147433710000001</v>
      </c>
    </row>
    <row r="74" spans="1:3" x14ac:dyDescent="0.3">
      <c r="A74">
        <v>73</v>
      </c>
      <c r="B74">
        <v>1.95</v>
      </c>
      <c r="C74">
        <v>-32.553780019999998</v>
      </c>
    </row>
    <row r="75" spans="1:3" x14ac:dyDescent="0.3">
      <c r="A75">
        <v>74</v>
      </c>
      <c r="B75">
        <v>1.95</v>
      </c>
      <c r="C75">
        <v>-31.986936499999999</v>
      </c>
    </row>
    <row r="76" spans="1:3" x14ac:dyDescent="0.3">
      <c r="A76">
        <v>75</v>
      </c>
      <c r="B76">
        <v>1.95</v>
      </c>
      <c r="C76">
        <v>-31.42009298</v>
      </c>
    </row>
    <row r="77" spans="1:3" x14ac:dyDescent="0.3">
      <c r="A77">
        <v>76</v>
      </c>
      <c r="B77">
        <v>1.95</v>
      </c>
      <c r="C77">
        <v>-30.860909500000002</v>
      </c>
    </row>
    <row r="78" spans="1:3" x14ac:dyDescent="0.3">
      <c r="A78">
        <v>77</v>
      </c>
      <c r="B78">
        <v>1.95</v>
      </c>
      <c r="C78">
        <v>-30.27874589</v>
      </c>
    </row>
    <row r="79" spans="1:3" x14ac:dyDescent="0.3">
      <c r="A79">
        <v>78</v>
      </c>
      <c r="B79">
        <v>1.95</v>
      </c>
      <c r="C79">
        <v>-29.704242319999999</v>
      </c>
    </row>
    <row r="80" spans="1:3" x14ac:dyDescent="0.3">
      <c r="A80">
        <v>79</v>
      </c>
      <c r="B80">
        <v>1.95</v>
      </c>
      <c r="C80">
        <v>-29.129738750000001</v>
      </c>
    </row>
    <row r="81" spans="1:3" x14ac:dyDescent="0.3">
      <c r="A81">
        <v>80</v>
      </c>
      <c r="B81">
        <v>1.95</v>
      </c>
      <c r="C81">
        <v>-28.590982069999999</v>
      </c>
    </row>
    <row r="82" spans="1:3" x14ac:dyDescent="0.3">
      <c r="A82">
        <v>81</v>
      </c>
      <c r="B82">
        <v>1.95</v>
      </c>
      <c r="C82">
        <v>-28.174577710000001</v>
      </c>
    </row>
    <row r="83" spans="1:3" x14ac:dyDescent="0.3">
      <c r="A83">
        <v>82</v>
      </c>
      <c r="B83">
        <v>1.95</v>
      </c>
      <c r="C83">
        <v>-28.01745777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coin</dc:creator>
  <cp:lastModifiedBy>coin</cp:lastModifiedBy>
  <dcterms:created xsi:type="dcterms:W3CDTF">2021-07-29T17:41:32Z</dcterms:created>
  <dcterms:modified xsi:type="dcterms:W3CDTF">2021-11-09T10:39:33Z</dcterms:modified>
</cp:coreProperties>
</file>